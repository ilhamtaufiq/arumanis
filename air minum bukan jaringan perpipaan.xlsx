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NC.SPAM.TA.2026\POKIR 2026\Upload ke 1\6.Pesantren Al Maruf Rt.03 Rw.01 Kp.Bobojong-Bobojong-Mande\"/>
    </mc:Choice>
  </mc:AlternateContent>
  <xr:revisionPtr revIDLastSave="0" documentId="13_ncr:1_{9699D20F-A04B-450D-8A16-B220594D4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B" sheetId="5" r:id="rId1"/>
    <sheet name="HARSAT" sheetId="1" r:id="rId2"/>
    <sheet name="ANALISA" sheetId="3" r:id="rId3"/>
    <sheet name="UPAH BAHAN" sheetId="2" r:id="rId4"/>
    <sheet name="JADWAL" sheetId="7" r:id="rId5"/>
    <sheet name="ANALISA SR" sheetId="9" r:id="rId6"/>
    <sheet name="SMKK" sheetId="10" r:id="rId7"/>
    <sheet name="Sheet1" sheetId="13" r:id="rId8"/>
    <sheet name="BOR 8&quot;" sheetId="4" state="hidden" r:id="rId9"/>
    <sheet name="BOR 6&quot;" sheetId="11" state="hidden" r:id="rId10"/>
    <sheet name="BOR 4&quot;" sheetId="12" r:id="rId11"/>
    <sheet name="BOR 3&quot;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p">#REF!</definedName>
    <definedName name="___Ibr1">#REF!</definedName>
    <definedName name="___lmb1">#REF!</definedName>
    <definedName name="__asb5">[1]BAHAN!$E$78</definedName>
    <definedName name="__BAB2">#REF!</definedName>
    <definedName name="__BAB3">'[2]met bab3'!#REF!</definedName>
    <definedName name="__BAB7">#REF!</definedName>
    <definedName name="__BAB8">'[2]anal bab8'!#REF!</definedName>
    <definedName name="__cor175">#REF!</definedName>
    <definedName name="__cor225">#REF!</definedName>
    <definedName name="__cor300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grv20">[1]BAHAN!$E$116</definedName>
    <definedName name="__grv30">[1]BAHAN!#REF!</definedName>
    <definedName name="__Ibr1">#REF!</definedName>
    <definedName name="__IV100000">#REF!</definedName>
    <definedName name="__kc3">[1]BAHAN!$E$192</definedName>
    <definedName name="__kc5">[1]BAHAN!$E$193</definedName>
    <definedName name="__LL01">#REF!</definedName>
    <definedName name="__LL02">#REF!</definedName>
    <definedName name="__LL03">#REF!</definedName>
    <definedName name="__LL04">#REF!</definedName>
    <definedName name="__LL05">#REF!</definedName>
    <definedName name="__LL06">#REF!</definedName>
    <definedName name="__LL07">#REF!</definedName>
    <definedName name="__LL08">#REF!</definedName>
    <definedName name="__LL09">#REF!</definedName>
    <definedName name="__lmb1">#REF!</definedName>
    <definedName name="__MB01">#REF!</definedName>
    <definedName name="__MB02">#REF!</definedName>
    <definedName name="__MB06">#REF!</definedName>
    <definedName name="__MB07">#REF!</definedName>
    <definedName name="__MB10">#REF!</definedName>
    <definedName name="__MB11">#REF!</definedName>
    <definedName name="__MB12">#REF!</definedName>
    <definedName name="__MB13">#REF!</definedName>
    <definedName name="__MB14">#REF!</definedName>
    <definedName name="__MB15">#REF!</definedName>
    <definedName name="__MB16">#REF!</definedName>
    <definedName name="__MB18">#REF!</definedName>
    <definedName name="__MB19">#REF!</definedName>
    <definedName name="__MB20">#REF!</definedName>
    <definedName name="__MB21">#REF!</definedName>
    <definedName name="__MB22">#REF!</definedName>
    <definedName name="__MB24">#REF!</definedName>
    <definedName name="__MB28">#REF!</definedName>
    <definedName name="__MB35">#REF!</definedName>
    <definedName name="__MB44">#REF!</definedName>
    <definedName name="__mix175">[1]BAHAN!$E$20</definedName>
    <definedName name="__mix225">[1]BAHAN!$E$21</definedName>
    <definedName name="__mix300">[1]BAHAN!$E$22</definedName>
    <definedName name="__MM01">#REF!</definedName>
    <definedName name="__MM02">#REF!</definedName>
    <definedName name="__MM03">#REF!</definedName>
    <definedName name="__MM04">#REF!</definedName>
    <definedName name="__MM05">#REF!</definedName>
    <definedName name="__MM06">#REF!</definedName>
    <definedName name="__MM07">#REF!</definedName>
    <definedName name="__MM08">#REF!</definedName>
    <definedName name="__MM1">#REF!</definedName>
    <definedName name="__MM10">#REF!</definedName>
    <definedName name="__MM11">#REF!</definedName>
    <definedName name="__MM12">#REF!</definedName>
    <definedName name="__MM13">#REF!</definedName>
    <definedName name="__MM14">#REF!</definedName>
    <definedName name="__MM15">#REF!</definedName>
    <definedName name="__MM16">#REF!</definedName>
    <definedName name="__MM18">#REF!</definedName>
    <definedName name="__MM19">#REF!</definedName>
    <definedName name="__MM20">#REF!</definedName>
    <definedName name="__MM21">#REF!</definedName>
    <definedName name="__MM22">#REF!</definedName>
    <definedName name="__MM24">#REF!</definedName>
    <definedName name="__MM28">#REF!</definedName>
    <definedName name="__MM35">#REF!</definedName>
    <definedName name="__MM37">#REF!</definedName>
    <definedName name="__MM38">#REF!</definedName>
    <definedName name="__MM39">#REF!</definedName>
    <definedName name="__MM44">#REF!</definedName>
    <definedName name="__MM46">#REF!</definedName>
    <definedName name="__pb1">#REF!</definedName>
    <definedName name="__pek2">#REF!</definedName>
    <definedName name="__pk13">[1]BAHAN!$E$187</definedName>
    <definedName name="__pk47">[1]BAHAN!$E$188</definedName>
    <definedName name="__pk8">[1]BAHAN!$E$189</definedName>
    <definedName name="__pvc05">[1]BAHAN!$E$125</definedName>
    <definedName name="__pvc4">[1]BAHAN!$E$131</definedName>
    <definedName name="__rst20">[1]BAHAN!#REF!</definedName>
    <definedName name="__rst30">[1]BAHAN!#REF!</definedName>
    <definedName name="__tg20">[1]BAHAN!#REF!</definedName>
    <definedName name="__tg30">[1]BAHAN!#REF!</definedName>
    <definedName name="__ZZ1">#REF!</definedName>
    <definedName name="__ZZ4">#REF!</definedName>
    <definedName name="_1Excel_BuiltIn_Print_Area_3_1">#REF!</definedName>
    <definedName name="_2Excel_BuiltIn_Print_Area_4_1">#REF!</definedName>
    <definedName name="_3Excel_BuiltIn_Print_Area_5_1">#REF!</definedName>
    <definedName name="_4Excel_BuiltIn_Print_Area_7_1">#REF!</definedName>
    <definedName name="_5Excel_BuiltIn_Print_Titles_3_1">#REF!</definedName>
    <definedName name="_6Excel_BuiltIn_Print_Titles_4_1">#REF!</definedName>
    <definedName name="_7Excel_BuiltIn_Print_Titles_5_1">#REF!</definedName>
    <definedName name="_asb5">[3]BAHAN!$G$88</definedName>
    <definedName name="_BAB2">#REF!</definedName>
    <definedName name="_BAB3">'[2]met bab3'!#REF!</definedName>
    <definedName name="_BAB7">#REF!</definedName>
    <definedName name="_BAB8">'[2]anal bab8'!#REF!</definedName>
    <definedName name="_cor175">#N/A</definedName>
    <definedName name="_cor225">#N/A</definedName>
    <definedName name="_cor300">#N/A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Fill" hidden="1">#REF!</definedName>
    <definedName name="_grv20">[3]BAHAN!$G$128</definedName>
    <definedName name="_Ibr1">#REF!</definedName>
    <definedName name="_IV100000">#REF!</definedName>
    <definedName name="_kc3">[3]BAHAN!$G$206</definedName>
    <definedName name="_kc5">[3]BAHAN!$G$207</definedName>
    <definedName name="_Key1" hidden="1">#REF!</definedName>
    <definedName name="_Key2" hidden="1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lmb1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ix175">[4]BAHAN!$E$22</definedName>
    <definedName name="_mix225">[4]BAHAN!$E$23</definedName>
    <definedName name="_mix300">[4]BAHAN!$E$24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Order1" hidden="1">255</definedName>
    <definedName name="_pb1">#REF!</definedName>
    <definedName name="_pbs05">[3]BAHAN!$G$140</definedName>
    <definedName name="_pbs1">[3]BAHAN!$G$142</definedName>
    <definedName name="_pbs15">[3]BAHAN!$G$143</definedName>
    <definedName name="_pbs3">[3]BAHAN!$G$145</definedName>
    <definedName name="_pbs34">[3]BAHAN!$G$141</definedName>
    <definedName name="_pbs4">[3]BAHAN!$G$146</definedName>
    <definedName name="_pek2">[3]UPAH!#REF!</definedName>
    <definedName name="_pk13">[3]BAHAN!$G$194</definedName>
    <definedName name="_pk47">[3]BAHAN!$G$195</definedName>
    <definedName name="_pk8">[3]BAHAN!$G$196</definedName>
    <definedName name="_ply9">[3]BAHAN!$G$93</definedName>
    <definedName name="_pvc05">[3]BAHAN!$G$130</definedName>
    <definedName name="_pvc1">[3]BAHAN!$G$132</definedName>
    <definedName name="_pvc15">[3]BAHAN!$G$133</definedName>
    <definedName name="_pvc2">[3]BAHAN!$G$134</definedName>
    <definedName name="_pvc25">[3]BAHAN!$G$135</definedName>
    <definedName name="_pvc3">[3]BAHAN!$G$136</definedName>
    <definedName name="_pvc34">[3]BAHAN!$G$131</definedName>
    <definedName name="_pvc4">[3]BAHAN!$G$137</definedName>
    <definedName name="_rst20">[3]BAHAN!#REF!</definedName>
    <definedName name="_rst30">[3]BAHAN!#REF!</definedName>
    <definedName name="_Sort" hidden="1">#REF!</definedName>
    <definedName name="_tg20">[3]BAHAN!#REF!</definedName>
    <definedName name="_tg30">[3]BAHAN!#REF!</definedName>
    <definedName name="_ZZ1">#REF!</definedName>
    <definedName name="_ZZ4">#REF!</definedName>
    <definedName name="a">#REF!</definedName>
    <definedName name="A.100.04">[5]Analisa!$J$17</definedName>
    <definedName name="A.100.06">[5]Analisa!$J$33</definedName>
    <definedName name="A.100.07">[5]Analisa!$J$46</definedName>
    <definedName name="A.100.08">[5]Analisa!$J$56</definedName>
    <definedName name="A.200.01.1">[5]Analisa!$J$65</definedName>
    <definedName name="A.200.02.1">[5]Analisa!$J$75</definedName>
    <definedName name="A.200.02.3">[5]Analisa!$J$85</definedName>
    <definedName name="A.200.02.4">[5]Analisa!$J$108</definedName>
    <definedName name="A.300.01.1">[5]Analisa!$J$119</definedName>
    <definedName name="A.300.01.2">[5]Analisa!$J$133</definedName>
    <definedName name="A.400.01.1">[5]Analisa!$J$147</definedName>
    <definedName name="A.400.02.1">[5]Analisa!$J$169</definedName>
    <definedName name="A.400.02.11">[5]Analisa!$J$314</definedName>
    <definedName name="A.400.02.4">[5]Analisa!$J$217</definedName>
    <definedName name="A.400.02.6">[5]Analisa!$J$239</definedName>
    <definedName name="A.400.02.8">[5]Analisa!$J$283</definedName>
    <definedName name="A.430.02.2">[5]Analisa!$J$363</definedName>
    <definedName name="A.430.03.2">[5]Analisa!$J$402</definedName>
    <definedName name="A.500.01.4">[5]Analisa!$J$415</definedName>
    <definedName name="A.500.02.4">[5]Analisa!$J$430</definedName>
    <definedName name="A.500.04.1">[5]Analisa!$J$455</definedName>
    <definedName name="A.500.04.2">[5]Analisa!$J$469</definedName>
    <definedName name="A.600.01.1">[5]Analisa!$J$500</definedName>
    <definedName name="A.700.01.4">[5]Analisa!$J$512</definedName>
    <definedName name="A.700.03.1">[5]Analisa!$J$539</definedName>
    <definedName name="A.830.02.2">[5]Analisa!$J$597</definedName>
    <definedName name="A.830.03.1">[5]Analisa!$J$612</definedName>
    <definedName name="A.850.01.2">[5]Analisa!$J$882</definedName>
    <definedName name="A.850.03.1">[5]Analisa!$J$896</definedName>
    <definedName name="A.850.03.2">[5]Analisa!$J$910</definedName>
    <definedName name="A.850.03.3">[5]Analisa!$J$923</definedName>
    <definedName name="A.999.02">[5]Analisa!$J$975</definedName>
    <definedName name="A.999.04">[5]Analisa!$J$984</definedName>
    <definedName name="A.999.07">[5]Analisa!$J$1015</definedName>
    <definedName name="A.999.08">[5]Analisa!$J$1025</definedName>
    <definedName name="A.BM.01">[5]Analisa!$J$641</definedName>
    <definedName name="A.CJ.02">[5]Analisa!$J$626</definedName>
    <definedName name="A.G.01.1">[5]Analisa!$J$745</definedName>
    <definedName name="A.G.01.2">[5]Analisa!$J$772</definedName>
    <definedName name="A.G.01.3">[5]Analisa!$J$781</definedName>
    <definedName name="A.G.02.1">[5]Analisa!$J$790</definedName>
    <definedName name="A.G.02.2">[5]Analisa!$J$799</definedName>
    <definedName name="A.G.02.3">[5]Analisa!$J$808</definedName>
    <definedName name="A.J.04">[5]Analisa!$J$715</definedName>
    <definedName name="A.KJ.03">[5]Analisa!$J$736</definedName>
    <definedName name="A.KS.04">[5]Analisa!$J$655</definedName>
    <definedName name="A.PK.04">[5]Analisa!$J$703</definedName>
    <definedName name="A.PP.04">[5]Analisa!$J$688</definedName>
    <definedName name="A_Bekisting_Biasa">'[6]Analisis Harga Sat'!$J$166</definedName>
    <definedName name="A_Beton_camp_123">'[6]Analisis Harga Sat'!$J$139</definedName>
    <definedName name="A_Beton135">'[6]Analisis Harga Sat'!$J$126</definedName>
    <definedName name="A_Galian_Tanah_Biasa">'[6]Analisis Harga Sat'!$J$26</definedName>
    <definedName name="A_Galian_Tanah_Keras">'[6]Analisis Harga Sat'!$J$34</definedName>
    <definedName name="A_Pembesian">'[6]Analisis Harga Sat'!$J$152</definedName>
    <definedName name="A_Pembuangan_Perataan_Sisa_Galian">'[6]Analisis Harga Sat'!$J$67</definedName>
    <definedName name="A_Penyambungan_PipaD1">'[6]Analisis Harga Sat'!$J$248</definedName>
    <definedName name="A_Penyambungan_PipaD15">'[6]Analisis Harga Sat'!$J$239</definedName>
    <definedName name="A_Urugan_Tanah_Kembali">'[6]Analisis Harga Sat'!$J$59</definedName>
    <definedName name="AA_05">'[7]HRG BHN'!$G$18</definedName>
    <definedName name="AA_10">'[7]HRG BHN'!$G$24</definedName>
    <definedName name="AA_12">'[7]HRG BHN'!$G$26</definedName>
    <definedName name="ab">'[8]Sat~Bahu'!$C$49</definedName>
    <definedName name="abantu">'[8]Sat~Bahu'!$C$76</definedName>
    <definedName name="AC">'[9]Sat~Bahu'!$C$49</definedName>
    <definedName name="aciabeton15">#REF!</definedName>
    <definedName name="acian">#REF!</definedName>
    <definedName name="acian2">#REF!</definedName>
    <definedName name="acianpropil13">#REF!</definedName>
    <definedName name="acidak">#REF!</definedName>
    <definedName name="addakwah">#REF!</definedName>
    <definedName name="AGG">#REF!</definedName>
    <definedName name="aibon">[3]BAHAN!$G$152</definedName>
    <definedName name="air">[3]BAHAN!$G$24</definedName>
    <definedName name="akep">[10]BAHAN!$G$181</definedName>
    <definedName name="ALAT">#REF!</definedName>
    <definedName name="ALATUTAMA">#REF!</definedName>
    <definedName name="alba">[3]BAHAN!$G$66</definedName>
    <definedName name="alba2.20">#REF!</definedName>
    <definedName name="albidayah">#REF!</definedName>
    <definedName name="alfajar">#REF!</definedName>
    <definedName name="alhidayah">#REF!</definedName>
    <definedName name="alhidayah2">#REF!</definedName>
    <definedName name="alikhlas">#REF!</definedName>
    <definedName name="alkhoer">#REF!</definedName>
    <definedName name="almf">[3]BAHAN!$G$248</definedName>
    <definedName name="aloha">[11]REKAP!$I$28</definedName>
    <definedName name="ALPA">'[2]met bab3'!#REF!</definedName>
    <definedName name="als">[3]BAHAN!$G$247</definedName>
    <definedName name="altb">[1]BAHAN!$E$245</definedName>
    <definedName name="AMP">[3]ANALISA!#REF!</definedName>
    <definedName name="ampelas">#N/A</definedName>
    <definedName name="ampl">[3]BAHAN!$G$49</definedName>
    <definedName name="ANALBAHAN">#REF!</definedName>
    <definedName name="ANALHSA">#REF!</definedName>
    <definedName name="AnalisaSTR">#REF!</definedName>
    <definedName name="analisis">[12]BAHAN!$E$110</definedName>
    <definedName name="angan">[13]bil!$C$2:$C$12</definedName>
    <definedName name="AP">#REF!</definedName>
    <definedName name="APA">'[2]met bab3'!#REF!</definedName>
    <definedName name="area">#REF!</definedName>
    <definedName name="AS">'[9]Sat~Bahu'!$C$76</definedName>
    <definedName name="as.1000">'[8]Sat~Bahu'!$C$102</definedName>
    <definedName name="as.200">'[8]Sat~Bahu'!$C$103</definedName>
    <definedName name="asbes">#REF!</definedName>
    <definedName name="asbesgel">#REF!</definedName>
    <definedName name="asgel5">[3]BAHAN!$G$236</definedName>
    <definedName name="ASPAL">#REF!</definedName>
    <definedName name="ASSASUL">#REF!</definedName>
    <definedName name="atb">'[8]Sat~Bahu'!$C$86</definedName>
    <definedName name="AZ">#REF!</definedName>
    <definedName name="b">#REF!</definedName>
    <definedName name="b.belah">#REF!</definedName>
    <definedName name="B.Jambi">#REF!</definedName>
    <definedName name="B.SARI">[3]ANALISA!#REF!</definedName>
    <definedName name="b.super.5.10">#REF!</definedName>
    <definedName name="ba">#REF!</definedName>
    <definedName name="BAHAN">#REF!</definedName>
    <definedName name="BAHAN?">'[14]Harsat Bahan'!$A$6:$E$693</definedName>
    <definedName name="bahan175">#N/A</definedName>
    <definedName name="bahan225">#N/A</definedName>
    <definedName name="bahanbesi">#N/A</definedName>
    <definedName name="bahanpapan">#N/A</definedName>
    <definedName name="bahanredy225">'[15]ANALISA (2)'!$H$235</definedName>
    <definedName name="bahanstoot">#N/A</definedName>
    <definedName name="BAJA">#REF!</definedName>
    <definedName name="bak">[3]BAHAN!$G$227</definedName>
    <definedName name="bakcp">[3]ANALISA!#REF!</definedName>
    <definedName name="bakcp2">'[15]ANALISA (5)'!#REF!</definedName>
    <definedName name="bakkm">[3]BAHAN!#REF!</definedName>
    <definedName name="balok225">#REF!</definedName>
    <definedName name="bata">#REF!</definedName>
    <definedName name="bata13">#REF!</definedName>
    <definedName name="bata15">#REF!</definedName>
    <definedName name="bata40">#REF!</definedName>
    <definedName name="batacok">[3]BAHAN!$G$16</definedName>
    <definedName name="batako">#REF!</definedName>
    <definedName name="batamerah">[3]ANALISA!#REF!</definedName>
    <definedName name="batu.jogja">#REF!</definedName>
    <definedName name="batubelah">#REF!</definedName>
    <definedName name="BATUKALI">#REF!</definedName>
    <definedName name="batuslate">#REF!</definedName>
    <definedName name="BB">[3]ANALISA!#REF!</definedName>
    <definedName name="bb.05">'[8]Sat~Bahu'!$C$41</definedName>
    <definedName name="bb.1">'[8]Sat~Bahu'!$C$40</definedName>
    <definedName name="bb.10">'[8]Sat~Bahu'!$C$35</definedName>
    <definedName name="bb.2">'[8]Sat~Bahu'!$C$39</definedName>
    <definedName name="bb.3">'[8]Sat~Bahu'!$C$38</definedName>
    <definedName name="bb.5">'[8]Sat~Bahu'!$C$37</definedName>
    <definedName name="BB_03">'[16]HRG BHN'!#REF!</definedName>
    <definedName name="BB_04">'[16]HRG BHN'!#REF!</definedName>
    <definedName name="BB_06">'[16]HRG BHN'!#REF!</definedName>
    <definedName name="bbasbes">#REF!</definedName>
    <definedName name="bbasgel">[3]BAHAN!$G$256</definedName>
    <definedName name="bbgsgt">[3]BAHAN!#REF!</definedName>
    <definedName name="bbsplt">[3]BAHAN!#REF!</definedName>
    <definedName name="bcor">#REF!</definedName>
    <definedName name="bcp">[3]BAHAN!$G$154</definedName>
    <definedName name="bek.ap">'[17]Sat~Bahu'!#REF!</definedName>
    <definedName name="bekism">#N/A</definedName>
    <definedName name="bekisp">#N/A</definedName>
    <definedName name="BENSIN">#REF!</definedName>
    <definedName name="bersih">[3]SATUAN!$I$15</definedName>
    <definedName name="besi10.sii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#N/A</definedName>
    <definedName name="besi39">#N/A</definedName>
    <definedName name="besi6.sii">#REF!</definedName>
    <definedName name="besi6sii">#REF!</definedName>
    <definedName name="besi8sii">#REF!</definedName>
    <definedName name="BESIBETON">#REF!</definedName>
    <definedName name="beton.225m">#REF!</definedName>
    <definedName name="beton.tumbuk">#REF!</definedName>
    <definedName name="beton175m">#REF!</definedName>
    <definedName name="beton175R">#REF!</definedName>
    <definedName name="beton225r">#REF!</definedName>
    <definedName name="beton250m">#REF!</definedName>
    <definedName name="beton250r">#REF!</definedName>
    <definedName name="betoncor">[3]ANALISA!#REF!</definedName>
    <definedName name="bgbgl">[3]BAHAN!#REF!</definedName>
    <definedName name="bgblt">[3]BAHAN!$G$250</definedName>
    <definedName name="bgsgl">[3]BAHAN!#REF!</definedName>
    <definedName name="bgsgt">[3]BAHAN!#REF!</definedName>
    <definedName name="bgsp">[3]BAHAN!$G$251</definedName>
    <definedName name="BhnMulti9mm">'[15]ANALISA (2)'!$H$346</definedName>
    <definedName name="bil">[13]bil!$B$2:$B$12</definedName>
    <definedName name="bilik">#REF!</definedName>
    <definedName name="bkjtw">#REF!</definedName>
    <definedName name="bkmberg">#REF!</definedName>
    <definedName name="bkmbw">#REF!</definedName>
    <definedName name="bkmn">#REF!</definedName>
    <definedName name="bkmorando">[3]ANALISA!#REF!</definedName>
    <definedName name="bkmwberg">#REF!</definedName>
    <definedName name="blkbjr">[3]ANALISA!#REF!</definedName>
    <definedName name="blkbor">[3]ANALISA!#REF!</definedName>
    <definedName name="blkht1">[3]BAHAN!$G$64</definedName>
    <definedName name="blkht2">[3]ANALISA!#REF!</definedName>
    <definedName name="blkkmp">[3]ANALISA!#REF!</definedName>
    <definedName name="blksam">[3]ANALISA!#REF!</definedName>
    <definedName name="BLKT">'[8]Sat~Bahu'!$C$18</definedName>
    <definedName name="bln">#REF!</definedName>
    <definedName name="BLT">'[8]Sat~Bahu'!$C$19</definedName>
    <definedName name="BLTT">'[8]Sat~Bahu'!$C$17</definedName>
    <definedName name="blw">'[8]Sat~Bahu'!$C$113</definedName>
    <definedName name="bmorandowr">[3]ANALISA!#REF!</definedName>
    <definedName name="bojong1">#REF!</definedName>
    <definedName name="bojongsari">#REF!</definedName>
    <definedName name="BOJONGSARI1">[3]ANALISA!#REF!</definedName>
    <definedName name="bojongsari2">#REF!</definedName>
    <definedName name="border">#REF!</definedName>
    <definedName name="borneo4.6">#REF!</definedName>
    <definedName name="borneo5.10">#REF!</definedName>
    <definedName name="borneo5.7">#REF!</definedName>
    <definedName name="borneo6.12">#REF!</definedName>
    <definedName name="borneobalok">#N/A</definedName>
    <definedName name="bouwplnk">#REF!</definedName>
    <definedName name="BSB">[3]ANALISA!#REF!</definedName>
    <definedName name="bsbtn">[3]BAHAN!$G$158</definedName>
    <definedName name="bssk">[3]BAHAN!$G$164</definedName>
    <definedName name="BSSP">[3]ANALISA!#REF!</definedName>
    <definedName name="btapg">[3]BAHAN!$G$59</definedName>
    <definedName name="btb">'[8]Sat~Bahu'!$C$67</definedName>
    <definedName name="bthj">[3]BAHAN!#REF!</definedName>
    <definedName name="btkr">[3]BAHAN!#REF!</definedName>
    <definedName name="btkrw">[3]BAHAN!#REF!</definedName>
    <definedName name="BTM">[3]ANALISA!#REF!</definedName>
    <definedName name="btmr">[3]BAHAN!#REF!</definedName>
    <definedName name="btmrh">[3]BAHAN!$G$18</definedName>
    <definedName name="btn">#REF!</definedName>
    <definedName name="btp">'[8]Sat~Bahu'!$C$48</definedName>
    <definedName name="btpb">'[8]Sat~Bahu'!$C$32</definedName>
    <definedName name="btpch">[3]BAHAN!$G$14</definedName>
    <definedName name="btponda">[3]BAHAN!$G$15</definedName>
    <definedName name="btrip">[3]BAHAN!$G$167</definedName>
    <definedName name="btth">[3]BAHAN!$G$114</definedName>
    <definedName name="bubungasbes">[3]ANALISA!#REF!</definedName>
    <definedName name="bubungbtn">#REF!</definedName>
    <definedName name="budibakti">#REF!</definedName>
    <definedName name="BUDIBAKTI1">[3]ANALISA!#REF!</definedName>
    <definedName name="budidaya">#REF!</definedName>
    <definedName name="buis20">[3]BAHAN!#REF!</definedName>
    <definedName name="buis30">[3]BAHAN!#REF!</definedName>
    <definedName name="buisbeton">#REF!</definedName>
    <definedName name="BULLDOZER">#REF!</definedName>
    <definedName name="bungasari">#REF!</definedName>
    <definedName name="bungkuskolom">#REF!</definedName>
    <definedName name="buniwangi">#REF!</definedName>
    <definedName name="bvlam">#REF!</definedName>
    <definedName name="c.23">[18]analisa!$I$3978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ab">'[8]Sat~Bahu'!#REF!</definedName>
    <definedName name="canopi">#REF!</definedName>
    <definedName name="cat">#REF!</definedName>
    <definedName name="catbesi">#REF!</definedName>
    <definedName name="catdinding">#REF!</definedName>
    <definedName name="catdindingbaru">[3]ANALISA!#REF!</definedName>
    <definedName name="catdindingdalam">#REF!</definedName>
    <definedName name="catdindingluar">#REF!</definedName>
    <definedName name="catduko">#REF!</definedName>
    <definedName name="catkayu">#REF!</definedName>
    <definedName name="catkayubaru">[3]ANALISA!#REF!</definedName>
    <definedName name="catkayuulang">[3]ANALISA!#REF!</definedName>
    <definedName name="catlangit">#REF!</definedName>
    <definedName name="catlist">#REF!</definedName>
    <definedName name="catluar">#REF!</definedName>
    <definedName name="catplafond">#REF!</definedName>
    <definedName name="CC_02">'[16]HRG BHN'!#REF!</definedName>
    <definedName name="CC_03">'[16]HRG BHN'!#REF!</definedName>
    <definedName name="CC_06A">'[16]HRG BHN'!#REF!</definedName>
    <definedName name="CC_13A">'[7]HRG BHN'!$G$71</definedName>
    <definedName name="CC_17A">'[7]HRG BHN'!$G$84</definedName>
    <definedName name="CC_18">'[7]HRG BHN'!$G$85</definedName>
    <definedName name="CC_23">'[7]HRG BHN'!$G$93</definedName>
    <definedName name="cendana">#REF!</definedName>
    <definedName name="cikaret">#REF!</definedName>
    <definedName name="CIKARET1">[3]ANALISA!#REF!</definedName>
    <definedName name="cikondang">#REF!</definedName>
    <definedName name="cilangkap">#REF!</definedName>
    <definedName name="cintasari">#REF!</definedName>
    <definedName name="cipanas">#REF!</definedName>
    <definedName name="CIPANAS2">[3]ANALISA!#REF!</definedName>
    <definedName name="cipetir">#REF!</definedName>
    <definedName name="cirenda">#REF!</definedName>
    <definedName name="ckayu">[3]BAHAN!$G$30</definedName>
    <definedName name="CKB">[3]ANALISA!#REF!</definedName>
    <definedName name="ckl">[3]ANALISA!#REF!</definedName>
    <definedName name="Closet.c420">#REF!</definedName>
    <definedName name="Closet.ddk">#REF!</definedName>
    <definedName name="closet.jkok">#REF!</definedName>
    <definedName name="clsddk">[3]BAHAN!$G$217</definedName>
    <definedName name="clstd">[3]BAHAN!$G$215</definedName>
    <definedName name="CMS">#REF!</definedName>
    <definedName name="comp">'[8]Sat~Bahu'!$C$111</definedName>
    <definedName name="COMPRESSOR">#REF!</definedName>
    <definedName name="concrete">'[19]WF '!#REF!</definedName>
    <definedName name="CONCRETEMIXER">#REF!</definedName>
    <definedName name="CONCRETEVIBRO">#REF!</definedName>
    <definedName name="CRANE">#REF!</definedName>
    <definedName name="CRS">#REF!</definedName>
    <definedName name="CT">[3]ANALISA!#REF!</definedName>
    <definedName name="ctembok">[3]BAHAN!$G$28</definedName>
    <definedName name="cv">'[8]Sat~Bahu'!$C$101</definedName>
    <definedName name="cycllop">#REF!</definedName>
    <definedName name="D">#REF!</definedName>
    <definedName name="DAERAH">#REF!</definedName>
    <definedName name="DAFTARSEWA">#REF!</definedName>
    <definedName name="DARULARKOM">#REF!</definedName>
    <definedName name="Data.1">[20]DATA!$B$10</definedName>
    <definedName name="Data.2">[20]DATA!$B$12</definedName>
    <definedName name="Data.3">[20]DATA!$B$13</definedName>
    <definedName name="Data.4">[20]DATA!$B$19</definedName>
    <definedName name="Data.5">[20]DATA!$B$20</definedName>
    <definedName name="daunpintukaca">#REF!</definedName>
    <definedName name="daunpintuteak">#REF!</definedName>
    <definedName name="dd">[21]UPAH!$G$24</definedName>
    <definedName name="DD_01">'[16]HRG BHN'!#REF!</definedName>
    <definedName name="DD_01A">'[16]HRG BHN'!#REF!</definedName>
    <definedName name="DD_01B">'[16]HRG BHN'!#REF!</definedName>
    <definedName name="dempulplastik">#N/A</definedName>
    <definedName name="dewi2">#REF!</definedName>
    <definedName name="dewi6">#REF!</definedName>
    <definedName name="dgf">[15]BAHAN!#REF!</definedName>
    <definedName name="dinding20">#REF!</definedName>
    <definedName name="dindingbronjong">#REF!</definedName>
    <definedName name="dindingpemisah">[3]ANALISA!#REF!</definedName>
    <definedName name="dindingulang">#REF!</definedName>
    <definedName name="direksi">[3]SATUAN!#REF!</definedName>
    <definedName name="dirgud">[3]SATUAN!#REF!</definedName>
    <definedName name="dk">[3]BAHAN!$G$268</definedName>
    <definedName name="dmpky">[3]BAHAN!$G$33</definedName>
    <definedName name="dozer">'[8]Sat~Bahu'!$C$91</definedName>
    <definedName name="dragon">[3]BAHAN!#REF!</definedName>
    <definedName name="drkeet">#REF!</definedName>
    <definedName name="ds">[3]BAHAN!$G$270</definedName>
    <definedName name="dsd">#REF!</definedName>
    <definedName name="dt.35">'[8]Sat~Bahu'!$C$108</definedName>
    <definedName name="Dt.5">'[8]Sat~Bahu'!$C$107</definedName>
    <definedName name="DUMPTRUCK1">#REF!</definedName>
    <definedName name="DUMPTRUCK2">#REF!</definedName>
    <definedName name="E">#REF!</definedName>
    <definedName name="E.001">#REF!</definedName>
    <definedName name="E.010">#REF!</definedName>
    <definedName name="e.020">#REF!</definedName>
    <definedName name="E.05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91">[22]bahan!$E$94</definedName>
    <definedName name="e.092">[22]bahan!$E$95</definedName>
    <definedName name="e.153">#REF!</definedName>
    <definedName name="e.154">#REF!</definedName>
    <definedName name="e.157">#REF!</definedName>
    <definedName name="e.182">#REF!</definedName>
    <definedName name="e.211">#REF!</definedName>
    <definedName name="E.212">#REF!</definedName>
    <definedName name="e.221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E_01">'[16]HRG BHN'!#REF!</definedName>
    <definedName name="EE_02">'[7]HRG BHN'!$G$116</definedName>
    <definedName name="EE_04C">'[7]HRG BHN'!$G$132</definedName>
    <definedName name="EE_18">'[7]HRG BHN'!$G$164</definedName>
    <definedName name="EE_20">'[7]HRG BHN'!$G$166</definedName>
    <definedName name="EE_30">'[16]HRG BHN'!#REF!</definedName>
    <definedName name="EE_31">'[16]HRG BHN'!#REF!</definedName>
    <definedName name="EE_32">'[16]HRG BHN'!#REF!</definedName>
    <definedName name="EE_33">'[16]HRG BHN'!#REF!</definedName>
    <definedName name="EE_34">'[16]HRG BHN'!#REF!</definedName>
    <definedName name="EE_35">'[16]HRG BHN'!#REF!</definedName>
    <definedName name="eee">'[23]Anl-BM'!$G$11</definedName>
    <definedName name="engjnd">[3]BAHAN!$G$266</definedName>
    <definedName name="engpnt">[3]BAHAN!$G$267</definedName>
    <definedName name="engptr">[3]BAHAN!#REF!</definedName>
    <definedName name="ET">[3]ANALISA!#REF!</definedName>
    <definedName name="eternit">#REF!</definedName>
    <definedName name="EXCAVATOR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7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f">#REF!</definedName>
    <definedName name="f.drain">#REF!</definedName>
    <definedName name="fasadekayu">#REF!</definedName>
    <definedName name="fd">[3]BAHAN!$G$139</definedName>
    <definedName name="FF_14">'[16]HRG BHN'!#REF!</definedName>
    <definedName name="FF_15">'[16]HRG BHN'!#REF!</definedName>
    <definedName name="FF_16">'[16]HRG BHN'!#REF!</definedName>
    <definedName name="FF_17">'[16]HRG BHN'!#REF!</definedName>
    <definedName name="FF_18">'[16]HRG BHN'!#REF!</definedName>
    <definedName name="FF_19">'[16]HRG BHN'!#REF!</definedName>
    <definedName name="FF_20">'[16]HRG BHN'!#REF!</definedName>
    <definedName name="FF_20A">'[16]HRG BHN'!#REF!</definedName>
    <definedName name="FF_21">'[16]HRG BHN'!#REF!</definedName>
    <definedName name="FF_21B">'[16]HRG BHN'!#REF!</definedName>
    <definedName name="FF_30">'[7]HRG BHN'!$G$230</definedName>
    <definedName name="FF_33">'[16]HRG BHN'!#REF!</definedName>
    <definedName name="FF_33A">'[16]HRG BHN'!#REF!</definedName>
    <definedName name="FF_34">'[16]HRG BHN'!#REF!</definedName>
    <definedName name="FF_35">'[16]HRG BHN'!#REF!</definedName>
    <definedName name="FF_36">'[16]HRG BHN'!#REF!</definedName>
    <definedName name="FF_37">'[16]HRG BHN'!#REF!</definedName>
    <definedName name="FINISHER">#REF!</definedName>
    <definedName name="FLATBEDTRUCK">#REF!</definedName>
    <definedName name="floorhardener">#REF!</definedName>
    <definedName name="fox">[3]BAHAN!$G$151</definedName>
    <definedName name="FULVIMIXER">#REF!</definedName>
    <definedName name="g.50a">[24]ANALISA!$I$1102</definedName>
    <definedName name="g.50ba">[18]analisa!$I$4053</definedName>
    <definedName name="G.50BT">#REF!</definedName>
    <definedName name="G.50C">[18]analisa!$I$2515</definedName>
    <definedName name="G.50D">[18]analisa!$I$3322</definedName>
    <definedName name="G.50I">[18]analisa!$I$2589</definedName>
    <definedName name="g.50krm">[18]analisa!$I$4128</definedName>
    <definedName name="G.50TB">[18]analisa!$I$4350</definedName>
    <definedName name="G.Kramik">#REF!</definedName>
    <definedName name="gali">#REF!</definedName>
    <definedName name="galian">#REF!</definedName>
    <definedName name="galitnh">[3]SATUAN!#REF!</definedName>
    <definedName name="gcampaka">#REF!</definedName>
    <definedName name="GENSET">#REF!</definedName>
    <definedName name="gentengbtn">#REF!</definedName>
    <definedName name="GG_10A">'[16]HRG BHN'!#REF!</definedName>
    <definedName name="GG_10B">'[16]HRG BHN'!#REF!</definedName>
    <definedName name="GG_10C">'[16]HRG BHN'!#REF!</definedName>
    <definedName name="GG_10D">'[16]HRG BHN'!#REF!</definedName>
    <definedName name="GG_11">'[16]HRG BHN'!#REF!</definedName>
    <definedName name="gkjtw">#REF!</definedName>
    <definedName name="gkmberg">#REF!</definedName>
    <definedName name="gkmbw">#REF!</definedName>
    <definedName name="gkmn">#REF!</definedName>
    <definedName name="gkmorando">[3]ANALISA!#REF!</definedName>
    <definedName name="gkmwberg">#REF!</definedName>
    <definedName name="glsgn">[3]BAHAN!$G$209</definedName>
    <definedName name="glsln">[3]BAHAN!#REF!</definedName>
    <definedName name="gpek">#REF!</definedName>
    <definedName name="gr.20">#REF!</definedName>
    <definedName name="GR.50">#REF!</definedName>
    <definedName name="grader">'[8]Sat~Bahu'!$C$92</definedName>
    <definedName name="GRAVEL">#REF!</definedName>
    <definedName name="grc">#REF!</definedName>
    <definedName name="grsb20">[3]BAHAN!#REF!</definedName>
    <definedName name="grsb30">[3]BAHAN!#REF!</definedName>
    <definedName name="GTB">[3]ANALISA!#REF!</definedName>
    <definedName name="GTBB">[3]ANALISA!#REF!</definedName>
    <definedName name="GTBM">[3]ANALISA!#REF!</definedName>
    <definedName name="Gtcadas">'[15]ANALISA (2)'!$G$99</definedName>
    <definedName name="gtgmet">[3]BAHAN!$G$243</definedName>
    <definedName name="GTM">[3]ANALISA!#REF!</definedName>
    <definedName name="gvlam">#REF!</definedName>
    <definedName name="gyp">[3]BAHAN!$G$100</definedName>
    <definedName name="gypsum.9">#REF!</definedName>
    <definedName name="gypsum.prf">#REF!</definedName>
    <definedName name="h_abu">#REF!</definedName>
    <definedName name="h_balok_borneo">#REF!</definedName>
    <definedName name="H_Bata_Merah">'[6]Daf Harg Satuan Bahan'!$E$26</definedName>
    <definedName name="h_batako_kecil">#REF!</definedName>
    <definedName name="H_Batu_Belah">'[6]Daf Harg Satuan Bahan'!$E$25</definedName>
    <definedName name="h_batu_bronjol">#REF!</definedName>
    <definedName name="h_batu_gosok">#REF!</definedName>
    <definedName name="h_batu_koral">#REF!</definedName>
    <definedName name="h_batu_pinggir_besar">#REF!</definedName>
    <definedName name="h_batu_pinggir_beton">#REF!</definedName>
    <definedName name="h_batu_pinggir_beton_besar">#REF!</definedName>
    <definedName name="h_batu_pinggir_beton_kecil">#REF!</definedName>
    <definedName name="h_batu_pinggir_kecil">#REF!</definedName>
    <definedName name="h_batu_telor">#REF!</definedName>
    <definedName name="h_batu_tempel">#REF!</definedName>
    <definedName name="h_batu_tempel_hitam">#REF!</definedName>
    <definedName name="H_Besi_Beton">'[6]Daf Harg Satuan Bahan'!$E$27</definedName>
    <definedName name="H_Besi_Profil_Plat">'[6]Daf Harg Satuan Bahan'!$E$30</definedName>
    <definedName name="H_Besi_Siku">'[6]Daf Harg Satuan Bahan'!$E$31</definedName>
    <definedName name="H_Kawat_Beton">'[6]Daf Harg Satuan Bahan'!$E$28</definedName>
    <definedName name="H_Kayu_Bekisting">'[6]Daf Harg Satuan Bahan'!$E$38</definedName>
    <definedName name="H_Kayu_Stoot">'[6]Daf Harg Satuan Bahan'!$E$41</definedName>
    <definedName name="h_kenek_truk">#REF!</definedName>
    <definedName name="H_Kep_Tukang">'[6]Daf Harg Satuan Bahan'!$E$15</definedName>
    <definedName name="h_kepala_tukang_batu">#REF!</definedName>
    <definedName name="h_kepala_tukang_besi_beton">#REF!</definedName>
    <definedName name="h_kepala_tukang_besi_profil">#REF!</definedName>
    <definedName name="h_kepala_tukang_cat_plitur">#REF!</definedName>
    <definedName name="h_kepala_tukang_kayu">#REF!</definedName>
    <definedName name="H_Mandor">'[6]Daf Harg Satuan Bahan'!$E$14</definedName>
    <definedName name="h_operator_alat_besar">#REF!</definedName>
    <definedName name="H_Paku">'[6]Daf Harg Satuan Bahan'!$E$29</definedName>
    <definedName name="h_papan_borneo">#REF!</definedName>
    <definedName name="H_Pasir_Beton">'[6]Daf Harg Satuan Bahan'!$E$22</definedName>
    <definedName name="H_Pasir_Pasang">'[6]Daf Harg Satuan Bahan'!$E$21</definedName>
    <definedName name="h_pasir_teras">#REF!</definedName>
    <definedName name="H_Pasir_Urug">'[6]Daf Harg Satuan Bahan'!$E$20</definedName>
    <definedName name="H_Pekerja">'[6]Daf Harg Satuan Bahan'!$E$9</definedName>
    <definedName name="h_pekerja_setengah_terampil">#REF!</definedName>
    <definedName name="h_pekerja_terampil">#REF!</definedName>
    <definedName name="h_pembantu_operator">#REF!</definedName>
    <definedName name="h_penjaga_malam">#REF!</definedName>
    <definedName name="H_Pipa_GI_dia._4__untuk_selubung">'[6]HaRGA SAT pIPA'!$D$5</definedName>
    <definedName name="H_PipaGI_15">'[6]HaRGA SAT pIPA'!$D$10</definedName>
    <definedName name="H_SemenPC">'[6]Daf Harg Satuan Bahan'!$E$24</definedName>
    <definedName name="h_sirtu">#REF!</definedName>
    <definedName name="h_sopir_truk">#REF!</definedName>
    <definedName name="H_Split">'[6]Daf Harg Satuan Bahan'!$E$23</definedName>
    <definedName name="h_split_dua_tiga">#REF!</definedName>
    <definedName name="h_split_duatiga">#REF!</definedName>
    <definedName name="h_split_lima_tujuh">#REF!</definedName>
    <definedName name="h_split_limatujuh">#REF!</definedName>
    <definedName name="h_split_satu_dua">#REF!</definedName>
    <definedName name="h_split_setengah">#REF!</definedName>
    <definedName name="h_split_tiga_lima">#REF!</definedName>
    <definedName name="h_split_tigalima">#REF!</definedName>
    <definedName name="H_Tkg_Batu">'[6]Daf Harg Satuan Bahan'!$E$10</definedName>
    <definedName name="H_Tkg_Besi">'[6]Daf Harg Satuan Bahan'!$E$12</definedName>
    <definedName name="H_Tkg_Kayu">'[6]Daf Harg Satuan Bahan'!$E$11</definedName>
    <definedName name="H_Tkg_Pipa">'[6]Daf Harg Satuan Bahan'!$E$13</definedName>
    <definedName name="h_tukang_batu_setengah_terampil">#REF!</definedName>
    <definedName name="h_tukang_batu_terampil">#REF!</definedName>
    <definedName name="h_tukang_besi_beton_setengah_terampil">#REF!</definedName>
    <definedName name="h_tukang_besi_beton_terampil">#REF!</definedName>
    <definedName name="h_tukang_besi_profil_setengah_terampil">#REF!</definedName>
    <definedName name="h_tukang_besi_profil_terampil">#REF!</definedName>
    <definedName name="h_tukang_cat_plitur_setengah_terampil">#REF!</definedName>
    <definedName name="h_tukang_cat_plitur_terampil">#REF!</definedName>
    <definedName name="h_tukang_gali">#REF!</definedName>
    <definedName name="h_tukang_kayu_setengah_terampil">#REF!</definedName>
    <definedName name="h_tukang_kayu_terampil">#REF!</definedName>
    <definedName name="hab">'[8]Sat~Bahu'!$H$49</definedName>
    <definedName name="habantu">'[8]Sat~Bahu'!$H$76</definedName>
    <definedName name="hakatk">[3]BAHAN!#REF!</definedName>
    <definedName name="hakbs">[3]BAHAN!$G$262</definedName>
    <definedName name="has.200">'[8]Sat~Bahu'!$H$103</definedName>
    <definedName name="hasb">'[25]Sat~Bahu'!$H$50</definedName>
    <definedName name="hatb">'[8]Sat~Bahu'!$H$86</definedName>
    <definedName name="hbb.05">'[8]Sat~Bahu'!$H$41</definedName>
    <definedName name="hbb.1">'[8]Sat~Bahu'!$H$40</definedName>
    <definedName name="hbb.10">'[8]Sat~Bahu'!$H$35</definedName>
    <definedName name="hbb.2">'[8]Sat~Bahu'!$H$39</definedName>
    <definedName name="hbb.3">'[8]Sat~Bahu'!$H$38</definedName>
    <definedName name="hbb.5">'[8]Sat~Bahu'!$H$37</definedName>
    <definedName name="hblw">'[8]Sat~Bahu'!$H$113</definedName>
    <definedName name="hbtb">'[8]Sat~Bahu'!$H$67</definedName>
    <definedName name="hbtp">'[8]Sat~Bahu'!$H$48</definedName>
    <definedName name="hbtpb">'[8]Sat~Bahu'!$H$32</definedName>
    <definedName name="hcab">'[8]Sat~Bahu'!#REF!</definedName>
    <definedName name="hcomp">'[8]Sat~Bahu'!$H$111</definedName>
    <definedName name="hcs">#REF!</definedName>
    <definedName name="hcslab">'[19]WF '!#REF!</definedName>
    <definedName name="hcv">'[8]Sat~Bahu'!$H$101</definedName>
    <definedName name="hdozer">'[8]Sat~Bahu'!$H$91</definedName>
    <definedName name="hdt.35">'[8]Sat~Bahu'!$H$108</definedName>
    <definedName name="hdt.5">'[8]Sat~Bahu'!$H$107</definedName>
    <definedName name="he">#REF!</definedName>
    <definedName name="hgrader">'[8]Sat~Bahu'!$H$92</definedName>
    <definedName name="hhrs">'[8]Sat~Bahu'!$H$87</definedName>
    <definedName name="hinis">#REF!</definedName>
    <definedName name="hkb">'[8]Sat~Bahu'!$H$62</definedName>
    <definedName name="hkgb">'[8]Sat~Bahu'!$H$29</definedName>
    <definedName name="hkpb">'[8]Sat~Bahu'!$H$58</definedName>
    <definedName name="hks">'[8]Sat~Bahu'!$H$30</definedName>
    <definedName name="hkup">'[8]Sat~Bahu'!$H$77</definedName>
    <definedName name="HM">#REF!</definedName>
    <definedName name="hmg.3r">'[8]Sat~Bahu'!$H$96</definedName>
    <definedName name="hmgb">'[8]Sat~Bahu'!$H$98</definedName>
    <definedName name="hmgrk">'[8]Sat~Bahu'!$H$99</definedName>
    <definedName name="hmgt">'[8]Sat~Bahu'!$H$97</definedName>
    <definedName name="hmp.182">'[8]Sat~Bahu'!$H$104</definedName>
    <definedName name="hmt">'[8]Sat~Bahu'!$H$53</definedName>
    <definedName name="hpav">'[8]Sat~Bahu'!$H$82</definedName>
    <definedName name="hpb.125">'[8]Sat~Bahu'!$H$109</definedName>
    <definedName name="hpb.200hp">'[8]Sat~Bahu'!$H$93</definedName>
    <definedName name="hpc">'[8]Sat~Bahu'!$H$55</definedName>
    <definedName name="hpj">'[8]Sat~Bahu'!$H$66</definedName>
    <definedName name="hpsaub">'[8]Sat~Bahu'!$H$46</definedName>
    <definedName name="hpsp">'[8]Sat~Bahu'!$H$47</definedName>
    <definedName name="hpsu">'[8]Sat~Bahu'!$H$45</definedName>
    <definedName name="hptdll">'[8]Sat~Bahu'!$H$114</definedName>
    <definedName name="hQ">'[8]Sat~Bahu'!$H$28</definedName>
    <definedName name="hrs">'[8]Sat~Bahu'!$C$87</definedName>
    <definedName name="hs.1000">'[8]Sat~Bahu'!$H$102</definedName>
    <definedName name="HSA">#REF!</definedName>
    <definedName name="HSAA">#REF!</definedName>
    <definedName name="HSAH">#REF!</definedName>
    <definedName name="HSAK">#REF!</definedName>
    <definedName name="hstam">'[8]Sat~Bahu'!$H$100</definedName>
    <definedName name="hstpb">'[8]Sat~Bahu'!$H$31</definedName>
    <definedName name="htanki">'[8]Sat~Bahu'!$H$105</definedName>
    <definedName name="htnh">'[8]Sat~Bahu'!$H$88</definedName>
    <definedName name="htrailer">'[8]Sat~Bahu'!$H$106</definedName>
    <definedName name="hwl.80hp">'[8]Sat~Bahu'!$H$94</definedName>
    <definedName name="hwp.5">'[8]Sat~Bahu'!$H$112</definedName>
    <definedName name="hwt.60hp">'[8]Sat~Bahu'!$H$95</definedName>
    <definedName name="icon">#REF!</definedName>
    <definedName name="II_01D">'[16]HRG BHN'!#REF!</definedName>
    <definedName name="II_12">'[16]HRG BHN'!#REF!</definedName>
    <definedName name="II_13">'[16]HRG BHN'!#REF!</definedName>
    <definedName name="II_14">'[16]HRG BHN'!#REF!</definedName>
    <definedName name="ijk">[3]BAHAN!$G$273</definedName>
    <definedName name="islamiyah">#REF!</definedName>
    <definedName name="iwf">[3]BAHAN!$G$166</definedName>
    <definedName name="J.210">#REF!</definedName>
    <definedName name="JACKHAMMER">#REF!</definedName>
    <definedName name="jalusi">#REF!</definedName>
    <definedName name="jambudipa">#REF!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14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endelaatas">#REF!</definedName>
    <definedName name="jetpm">[3]BAHAN!$G$231</definedName>
    <definedName name="JJ_19C">'[16]HRG BHN'!#REF!</definedName>
    <definedName name="JJ_20">'[7]HRG BHN'!$G$409</definedName>
    <definedName name="JJ_21">'[16]HRG BHN'!#REF!</definedName>
    <definedName name="JJ_21A">'[7]HRG BHN'!$G$410</definedName>
    <definedName name="JJ_21B">'[16]HRG BHN'!#REF!</definedName>
    <definedName name="JJ_23">'[16]HRG BHN'!#REF!</definedName>
    <definedName name="JUDUL">#REF!</definedName>
    <definedName name="K">'[8]Sat~Bahu'!$C$16</definedName>
    <definedName name="k.027">'[4]analisa (2)'!$I$3759</definedName>
    <definedName name="k.030">[18]analisa!$I$3614</definedName>
    <definedName name="K.110">[18]analisa!$I$72</definedName>
    <definedName name="K.210">[18]analisa!$I$146</definedName>
    <definedName name="K.220">[18]analisa!$I$220</definedName>
    <definedName name="K.224">[18]analisa!$I$294</definedName>
    <definedName name="K.225">[18]analisa!$I$368</definedName>
    <definedName name="K.225B">[18]analisa!$I$4424</definedName>
    <definedName name="k.225c">[22]analisa!$I$4274</definedName>
    <definedName name="K.225TNH">[18]analisa!$I$3396</definedName>
    <definedName name="K.310">[18]analisa!$I$442</definedName>
    <definedName name="k.310bk">[18]analisa!$I$4942</definedName>
    <definedName name="K.311">[18]analisa!$I$516</definedName>
    <definedName name="K.320">[18]analisa!$I$590</definedName>
    <definedName name="K.321">[18]analisa!$I$664</definedName>
    <definedName name="K.341">#REF!</definedName>
    <definedName name="K.342">[18]analisa!$I$2663</definedName>
    <definedName name="k.40.40.roman.crk">#REF!</definedName>
    <definedName name="k.410">#REF!</definedName>
    <definedName name="K.410A">[18]analisa!$I$738</definedName>
    <definedName name="K.410B">[18]analisa!$I$812</definedName>
    <definedName name="k.410bk">#REF!</definedName>
    <definedName name="k.411">#REF!</definedName>
    <definedName name="K.420">[18]analisa!$I$886</definedName>
    <definedName name="k.422">[18]analisa!$I$3105</definedName>
    <definedName name="K.424">[18]analisa!$I$960</definedName>
    <definedName name="k.510">#REF!</definedName>
    <definedName name="k.512">#REF!</definedName>
    <definedName name="k.513">#REF!</definedName>
    <definedName name="K.514">[18]analisa!$I$1034</definedName>
    <definedName name="K.515">[18]analisa!$I$1108</definedName>
    <definedName name="k.515bk">#REF!</definedName>
    <definedName name="K.516">[18]analisa!$I$1182</definedName>
    <definedName name="k.516b">[18]analisa!$I$3469</definedName>
    <definedName name="K.516C">#REF!</definedName>
    <definedName name="K.520">[18]analisa!$I$1256</definedName>
    <definedName name="k.520a">#REF!</definedName>
    <definedName name="k.520b">#REF!</definedName>
    <definedName name="k.521">[18]analisa!$I$1330</definedName>
    <definedName name="K.522">[18]analisa!$I$1404</definedName>
    <definedName name="k.523">[18]analisa!$I$1478</definedName>
    <definedName name="k.523bk">[18]analisa!$I$4868</definedName>
    <definedName name="K.528">[18]analisa!$I$1552</definedName>
    <definedName name="K.529">[18]analisa!$I$3031</definedName>
    <definedName name="K.612">[18]analisa!$I$1626</definedName>
    <definedName name="K.615">#REF!</definedName>
    <definedName name="K.615C">#REF!</definedName>
    <definedName name="k.616">[18]analisa!$I$3176</definedName>
    <definedName name="k.616a">[18]analisa!#REF!</definedName>
    <definedName name="k.617">[18]analisa!$I$3248</definedName>
    <definedName name="K.618">[18]analisa!$I$1701</definedName>
    <definedName name="k.618s">[18]analisa!$I$2811</definedName>
    <definedName name="k.619">[18]analisa!$I$2884</definedName>
    <definedName name="k.620">[18]analisa!$I$2957</definedName>
    <definedName name="k.621">#REF!</definedName>
    <definedName name="k.631">[18]analisa!$I$3685</definedName>
    <definedName name="K.636">[18]analisa!$I$1775</definedName>
    <definedName name="K.637">#REF!</definedName>
    <definedName name="k.638">#REF!</definedName>
    <definedName name="k.640">[18]analisa!$I$1849</definedName>
    <definedName name="K.641">[18]analisa!$I$1923</definedName>
    <definedName name="k.642">[18]analisa!$I$3833</definedName>
    <definedName name="k.705">#REF!</definedName>
    <definedName name="K.710">[18]analisa!$I$1997</definedName>
    <definedName name="K.715">[18]analisa!$I$2071</definedName>
    <definedName name="K.715B">#REF!</definedName>
    <definedName name="k.719">#REF!</definedName>
    <definedName name="K.720">[18]analisa!$I$2145</definedName>
    <definedName name="K.723">[18]analisa!$I$2219</definedName>
    <definedName name="K.724">[18]analisa!$I$2293</definedName>
    <definedName name="K.725">[18]analisa!$I$2367</definedName>
    <definedName name="k.810">[18]analisa!$I$2737</definedName>
    <definedName name="K.815">#REF!</definedName>
    <definedName name="k.815a">[18]analisa!$I$2441</definedName>
    <definedName name="k.815b">[18]analisa!$I$3543</definedName>
    <definedName name="k.860">[18]analisa!$I$4646</definedName>
    <definedName name="k.880">#REF!</definedName>
    <definedName name="K.BAJ">#REF!</definedName>
    <definedName name="k.beton">#REF!</definedName>
    <definedName name="k.ddg.20.25.rmn.crk">#REF!</definedName>
    <definedName name="k.ddg.rmn.20.25.pls">#REF!</definedName>
    <definedName name="k.dp">#REF!</definedName>
    <definedName name="K.KRB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ab">'[8]Sat~Bahu'!$F$49</definedName>
    <definedName name="kabantu">'[8]Sat~Bahu'!$F$76</definedName>
    <definedName name="kaca.es">#REF!</definedName>
    <definedName name="kaca.p.5">#REF!</definedName>
    <definedName name="kalmn">[3]BAHAN!$G$168</definedName>
    <definedName name="kalmw">[3]BAHAN!$G$169</definedName>
    <definedName name="kamprot">#REF!</definedName>
    <definedName name="kantordireksi">[11]REKAP!$I$15</definedName>
    <definedName name="karp">[3]BAHAN!$G$115</definedName>
    <definedName name="kas.200">'[8]Sat~Bahu'!$G$103</definedName>
    <definedName name="kaso">[3]ANALISA!#REF!</definedName>
    <definedName name="KASOPL">[3]ANALISA!#REF!</definedName>
    <definedName name="kasoreng">#REF!</definedName>
    <definedName name="katb">'[8]Sat~Bahu'!$F$86</definedName>
    <definedName name="KAWATBERONJONG">#REF!</definedName>
    <definedName name="KAWATBETON">#REF!</definedName>
    <definedName name="kayuulang">#REF!</definedName>
    <definedName name="kb">'[8]Sat~Bahu'!$C$62</definedName>
    <definedName name="kbb.05">'[8]Sat~Bahu'!$F$41</definedName>
    <definedName name="kbb.1">'[8]Sat~Bahu'!$F$40</definedName>
    <definedName name="kbb.10">'[8]Sat~Bahu'!$F$35</definedName>
    <definedName name="kbb.2">'[8]Sat~Bahu'!$F$39</definedName>
    <definedName name="kbb.3">'[8]Sat~Bahu'!$F$38</definedName>
    <definedName name="kbb.5">'[8]Sat~Bahu'!$F$37</definedName>
    <definedName name="kbbs">[3]BAHAN!$G$71</definedName>
    <definedName name="kbkb">[3]BAHAN!$G$69</definedName>
    <definedName name="kbks">[3]BAHAN!$G$67</definedName>
    <definedName name="KBLKT">'[8]Sat~Bahu'!$G$18</definedName>
    <definedName name="KBLT">'[8]Sat~Bahu'!$G$19</definedName>
    <definedName name="KBLTT">'[8]Sat~Bahu'!$G$17</definedName>
    <definedName name="kblw">'[8]Sat~Bahu'!$G$113</definedName>
    <definedName name="kbtb">'[8]Sat~Bahu'!$F$67</definedName>
    <definedName name="kbtp">'[8]Sat~Bahu'!$F$48</definedName>
    <definedName name="kbtpb">'[8]Sat~Bahu'!$F$32</definedName>
    <definedName name="kcab">'[8]Sat~Bahu'!#REF!</definedName>
    <definedName name="kcomp">'[8]Sat~Bahu'!$G$111</definedName>
    <definedName name="kcpln">[3]BAHAN!#REF!</definedName>
    <definedName name="kcptr">[3]BAHAN!#REF!</definedName>
    <definedName name="kcv">'[8]Sat~Bahu'!$G$101</definedName>
    <definedName name="kdozer">'[8]Sat~Bahu'!$G$91</definedName>
    <definedName name="kdt.35">'[8]Sat~Bahu'!$G$108</definedName>
    <definedName name="kdt.5">'[8]Sat~Bahu'!$G$107</definedName>
    <definedName name="kenek">#REF!</definedName>
    <definedName name="KENEK_TRUK">#REF!</definedName>
    <definedName name="KEPALA_TUKANG_BATU">#REF!</definedName>
    <definedName name="KEPALA_TUKANG_BESI_BETON">#REF!</definedName>
    <definedName name="KEPALA_TUKANG_BESI_PROFIL">#REF!</definedName>
    <definedName name="KEPALA_TUKANG_CAT__PLITUR">#REF!</definedName>
    <definedName name="KEPALA_TUKANG_KAYU">#REF!</definedName>
    <definedName name="keptkbatu">#N/A</definedName>
    <definedName name="KEPTKCAT">#N/A</definedName>
    <definedName name="keptkkayu">#N/A</definedName>
    <definedName name="Ker.L13">#REF!</definedName>
    <definedName name="keramik20">#REF!</definedName>
    <definedName name="keramik30">#REF!</definedName>
    <definedName name="keramik40">#REF!</definedName>
    <definedName name="KEROSENE">#REF!</definedName>
    <definedName name="kgb">'[8]Sat~Bahu'!$C$29</definedName>
    <definedName name="kgrader">'[8]Sat~Bahu'!$G$92</definedName>
    <definedName name="khrs">'[8]Sat~Bahu'!$F$87</definedName>
    <definedName name="kipayung">#REF!</definedName>
    <definedName name="KK">'[8]Sat~Bahu'!$G$16</definedName>
    <definedName name="kkb">'[8]Sat~Bahu'!$F$62</definedName>
    <definedName name="kkgb">'[8]Sat~Bahu'!$F$29</definedName>
    <definedName name="kkpb">'[8]Sat~Bahu'!$F$58</definedName>
    <definedName name="kks">'[8]Sat~Bahu'!$F$30</definedName>
    <definedName name="KKT">'[8]Sat~Bahu'!$G$9</definedName>
    <definedName name="kkup">'[8]Sat~Bahu'!$F$77</definedName>
    <definedName name="KM">#REF!</definedName>
    <definedName name="kmg.3r">'[8]Sat~Bahu'!$G$96</definedName>
    <definedName name="kmgb">'[8]Sat~Bahu'!$G$98</definedName>
    <definedName name="kmgrk">'[8]Sat~Bahu'!$G$99</definedName>
    <definedName name="kmgt">'[8]Sat~Bahu'!$G$97</definedName>
    <definedName name="KML">'[8]Sat~Bahu'!$G$6</definedName>
    <definedName name="kmp.182">'[8]Sat~Bahu'!$G$104</definedName>
    <definedName name="kmp.banjar">#REF!</definedName>
    <definedName name="kmt">'[8]Sat~Bahu'!$F$53</definedName>
    <definedName name="kodok">[3]BAHAN!#REF!</definedName>
    <definedName name="kodokgls">[3]BAHAN!#REF!</definedName>
    <definedName name="KODTK">'[8]Sat~Bahu'!$G$10</definedName>
    <definedName name="KOT">'[8]Sat~Bahu'!$G$11</definedName>
    <definedName name="kpav">'[8]Sat~Bahu'!$F$82</definedName>
    <definedName name="KPAYUNG">[3]ANALISA!#REF!</definedName>
    <definedName name="kpb">'[8]Sat~Bahu'!$C$58</definedName>
    <definedName name="kpb.125">'[8]Sat~Bahu'!$G$109</definedName>
    <definedName name="kpb.200HP">'[8]Sat~Bahu'!$G$93</definedName>
    <definedName name="kpb.500">'[8]Sat~Bahu'!$G$110</definedName>
    <definedName name="kpbs">[3]BAHAN!$G$72</definedName>
    <definedName name="kpc">'[8]Sat~Bahu'!$F$55</definedName>
    <definedName name="kpj">'[8]Sat~Bahu'!$F$66</definedName>
    <definedName name="kpkb">[3]BAHAN!$G$70</definedName>
    <definedName name="kpks">[3]BAHAN!$G$68</definedName>
    <definedName name="KPO">'[8]Sat~Bahu'!$G$13</definedName>
    <definedName name="kpsaub">'[8]Sat~Bahu'!$F$46</definedName>
    <definedName name="kpsp">'[8]Sat~Bahu'!$F$47</definedName>
    <definedName name="kpsu">'[8]Sat~Bahu'!$F$45</definedName>
    <definedName name="kptdll">'[8]Sat~Bahu'!$G$114</definedName>
    <definedName name="kQ">'[8]Sat~Bahu'!$F$28</definedName>
    <definedName name="kran.bbk">#REF!</definedName>
    <definedName name="kran.ddg">#REF!</definedName>
    <definedName name="KRB">[3]ANALISA!#REF!</definedName>
    <definedName name="krm">#REF!</definedName>
    <definedName name="krmk10">[3]BAHAN!#REF!</definedName>
    <definedName name="krmk10wr">[3]BAHAN!#REF!</definedName>
    <definedName name="krmk20">[3]BAHAN!$G$107</definedName>
    <definedName name="krmk20wr">[3]BAHAN!$G$108</definedName>
    <definedName name="krmk30">[3]BAHAN!$G$109</definedName>
    <definedName name="krmk30wr">[3]BAHAN!$G$110</definedName>
    <definedName name="krmk40">[3]BAHAN!$G$111</definedName>
    <definedName name="krmk40wr">[3]BAHAN!$G$112</definedName>
    <definedName name="krnkn">[3]BAHAN!$G$213</definedName>
    <definedName name="ks">'[8]Sat~Bahu'!$C$30</definedName>
    <definedName name="ks.1000">'[8]Sat~Bahu'!$G$102</definedName>
    <definedName name="ks57kbj">[3]BAHAN!#REF!</definedName>
    <definedName name="ks57km">[3]BAHAN!#REF!</definedName>
    <definedName name="ks57ras">[3]BAHAN!$G$80</definedName>
    <definedName name="KST">'[8]Sat~Bahu'!$G$14</definedName>
    <definedName name="kstam">'[8]Sat~Bahu'!$G$100</definedName>
    <definedName name="kstpb">'[8]Sat~Bahu'!$F$31</definedName>
    <definedName name="kt">'[8]Sat~Bahu'!$C$9</definedName>
    <definedName name="ktanki">'[8]Sat~Bahu'!$G$105</definedName>
    <definedName name="KTB">[3]ANALISA!#REF!</definedName>
    <definedName name="ktk">[3]UPAH!$G$11</definedName>
    <definedName name="ktnh">'[8]Sat~Bahu'!$F$88</definedName>
    <definedName name="ktrailer">'[8]Sat~Bahu'!$G$106</definedName>
    <definedName name="kudakamper">[3]ANALISA!#REF!</definedName>
    <definedName name="kudakayu">#REF!</definedName>
    <definedName name="kudakls2">#REF!</definedName>
    <definedName name="kudakru">#REF!</definedName>
    <definedName name="kudamedan">#REF!</definedName>
    <definedName name="kuk">[10]BAHAN!$G$179</definedName>
    <definedName name="kunci1">[3]BAHAN!#REF!</definedName>
    <definedName name="kunci2">[3]BAHAN!$G$260</definedName>
    <definedName name="kunciwc">[3]BAHAN!$G$261</definedName>
    <definedName name="kup">'[8]Sat~Bahu'!$C$77</definedName>
    <definedName name="kusen">#REF!</definedName>
    <definedName name="kusen.alum">#REF!</definedName>
    <definedName name="kusenal">#REF!</definedName>
    <definedName name="kusenkamper">[3]ANALISA!#REF!</definedName>
    <definedName name="kusenkayu">#REF!</definedName>
    <definedName name="kusenkls2">#REF!</definedName>
    <definedName name="kusensamar">#REF!</definedName>
    <definedName name="kutamanis">#REF!</definedName>
    <definedName name="kwas">[3]BAHAN!$G$38</definedName>
    <definedName name="kwas3">#N/A</definedName>
    <definedName name="kwbtn">[3]BAHAN!$G$159</definedName>
    <definedName name="kwl.80hp">'[8]Sat~Bahu'!$G$94</definedName>
    <definedName name="kwp.5">'[8]Sat~Bahu'!$G$112</definedName>
    <definedName name="kwt.60hp">'[8]Sat~Bahu'!$G$95</definedName>
    <definedName name="kwtlas">[3]BAHAN!$G$163</definedName>
    <definedName name="KYB">[3]ANALISA!#REF!</definedName>
    <definedName name="KYK">[3]ANALISA!#REF!</definedName>
    <definedName name="l.061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9">#REF!</definedName>
    <definedName name="l.101">#REF!</definedName>
    <definedName name="l.103">#REF!</definedName>
    <definedName name="l.106">#REF!</definedName>
    <definedName name="L.SARI">[3]ANALISA!#REF!</definedName>
    <definedName name="langitbaru">[3]ANALISA!#REF!</definedName>
    <definedName name="langitulang">#REF!</definedName>
    <definedName name="lantai20">#REF!</definedName>
    <definedName name="lantai30">#REF!</definedName>
    <definedName name="lantaibeton225">[3]ANALISA!#REF!</definedName>
    <definedName name="lantaibtn225">#REF!</definedName>
    <definedName name="lantaipapan">#REF!</definedName>
    <definedName name="lgs">[3]ANALISA!#REF!</definedName>
    <definedName name="limbangan">#REF!</definedName>
    <definedName name="lisgyp">[3]BAHAN!$G$101</definedName>
    <definedName name="lisplang">#REF!</definedName>
    <definedName name="lisplank">[3]ANALISA!#REF!</definedName>
    <definedName name="list">#REF!</definedName>
    <definedName name="LOS">[3]SATUAN!#REF!</definedName>
    <definedName name="ltkerja">#REF!</definedName>
    <definedName name="Lts">#REF!</definedName>
    <definedName name="m">#N/A</definedName>
    <definedName name="m.012">#REF!</definedName>
    <definedName name="m.012a">#REF!</definedName>
    <definedName name="m.012b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5">#REF!</definedName>
    <definedName name="M.080">#REF!</definedName>
    <definedName name="M.162">#REF!</definedName>
    <definedName name="M.166">#REF!</definedName>
    <definedName name="M.167">#REF!</definedName>
    <definedName name="M.170">#REF!</definedName>
    <definedName name="M.180">#REF!</definedName>
    <definedName name="M.181">#REF!</definedName>
    <definedName name="m.cat">#REF!</definedName>
    <definedName name="m.wf">#REF!</definedName>
    <definedName name="M_A_N_D_O_R">#REF!</definedName>
    <definedName name="man">[3]UPAH!$G$10</definedName>
    <definedName name="mandor">#REF!</definedName>
    <definedName name="MARGA2">[3]ANALISA!#REF!</definedName>
    <definedName name="margaluyu">#REF!</definedName>
    <definedName name="MAS">[3]ANALISA!#REF!</definedName>
    <definedName name="matlaut">#REF!</definedName>
    <definedName name="MAX">#REF!</definedName>
    <definedName name="MB">[3]ANALISA!#REF!</definedName>
    <definedName name="MB01A">#REF!</definedName>
    <definedName name="MCT">[3]ANALISA!#REF!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lamik">#REF!</definedName>
    <definedName name="meni">[3]BAHAN!$G$34</definedName>
    <definedName name="meni.kayu">#REF!</definedName>
    <definedName name="mg.3r">'[8]Sat~Bahu'!$C$96</definedName>
    <definedName name="mgb">'[8]Sat~Bahu'!$C$98</definedName>
    <definedName name="mgrk">'[8]Sat~Bahu'!$C$99</definedName>
    <definedName name="mgt">'[8]Sat~Bahu'!$C$97</definedName>
    <definedName name="MINYAKPELUMAS">#REF!</definedName>
    <definedName name="MK">[3]ANALISA!#REF!</definedName>
    <definedName name="ML">'[8]Sat~Bahu'!$C$6</definedName>
    <definedName name="mlex.w">#REF!</definedName>
    <definedName name="MM_01">'[16]HRG BHN'!#REF!</definedName>
    <definedName name="MM_02">'[16]HRG BHN'!#REF!</definedName>
    <definedName name="MM01A">#REF!</definedName>
    <definedName name="MM03A">#REF!</definedName>
    <definedName name="mor">[3]BAHAN!$G$238</definedName>
    <definedName name="morandowarna">[3]ANALISA!#REF!</definedName>
    <definedName name="morg">[3]BAHAN!$G$239</definedName>
    <definedName name="morgls">[3]BAHAN!#REF!</definedName>
    <definedName name="morw">[3]BAHAN!$G$240</definedName>
    <definedName name="mowi.w.shield">#REF!</definedName>
    <definedName name="mowi.ws">#REF!</definedName>
    <definedName name="mp.182">'[8]Sat~Bahu'!$C$104</definedName>
    <definedName name="mrtl">[3]ANALISA!#REF!</definedName>
    <definedName name="mt">'[8]Sat~Bahu'!$C$53</definedName>
    <definedName name="multi.18">#REF!</definedName>
    <definedName name="multi.4">#REF!</definedName>
    <definedName name="multi.6">#REF!</definedName>
    <definedName name="multi.9">#REF!</definedName>
    <definedName name="MUSLIMIN">#REF!</definedName>
    <definedName name="N">#REF!</definedName>
    <definedName name="nako">[3]BAHAN!#REF!</definedName>
    <definedName name="neglasari">#REF!</definedName>
    <definedName name="nkgtm">[3]BAHAN!$G$255</definedName>
    <definedName name="Nok">#REF!</definedName>
    <definedName name="nokk">[3]BAHAN!#REF!</definedName>
    <definedName name="noknat">[3]BAHAN!#REF!</definedName>
    <definedName name="nokwr">[3]BAHAN!#REF!</definedName>
    <definedName name="nurulfalah">#REF!</definedName>
    <definedName name="nurulhuda">#REF!</definedName>
    <definedName name="ok">#REF!</definedName>
    <definedName name="OKT">'[8]Sat~Bahu'!$C$12</definedName>
    <definedName name="OO_02">'[7]HRG BHN'!$G$546</definedName>
    <definedName name="op">[1]UPAH!$E$21</definedName>
    <definedName name="OPERATOR_ALAT_BESAR">#REF!</definedName>
    <definedName name="OT">'[8]Sat~Bahu'!$C$11</definedName>
    <definedName name="p">#N/A</definedName>
    <definedName name="p.bI">#REF!</definedName>
    <definedName name="p.kmp.smrd.3.20">#REF!</definedName>
    <definedName name="p.triplek">#REF!</definedName>
    <definedName name="P_E_K_E_R_J_A">#REF!</definedName>
    <definedName name="pa">#REF!</definedName>
    <definedName name="paku">#N/A</definedName>
    <definedName name="paku5.7.10">#REF!</definedName>
    <definedName name="papan.m.3.20">#REF!</definedName>
    <definedName name="parkay">#REF!</definedName>
    <definedName name="PASIR">#REF!</definedName>
    <definedName name="PASIRBCAMP">#REF!</definedName>
    <definedName name="PASIRURUG">#REF!</definedName>
    <definedName name="pav">'[8]Sat~Bahu'!$C$82</definedName>
    <definedName name="pavnat6">[3]BAHAN!$G$122</definedName>
    <definedName name="pavnat8">[3]BAHAN!$G$123</definedName>
    <definedName name="pavwr6">[3]BAHAN!$G$124</definedName>
    <definedName name="pavwr8">[3]BAHAN!$G$125</definedName>
    <definedName name="pb.125">'[8]Sat~Bahu'!$C$109</definedName>
    <definedName name="pb.200hp">'[8]Sat~Bahu'!$C$93</definedName>
    <definedName name="pb.500">'[8]Sat~Bahu'!$C$110</definedName>
    <definedName name="pbk">[3]BAHAN!$G$118</definedName>
    <definedName name="pc">[3]BAHAN!$G$21</definedName>
    <definedName name="pcputih">[3]ANALISA!#REF!</definedName>
    <definedName name="pcw">[3]BAHAN!$G$22</definedName>
    <definedName name="pcwrn">[3]ANALISA!#REF!</definedName>
    <definedName name="pearlstone">#REF!</definedName>
    <definedName name="PEDESTRIANROLLER">#REF!</definedName>
    <definedName name="pek">[3]UPAH!$G$16</definedName>
    <definedName name="pekerja">[26]upah!$F$8</definedName>
    <definedName name="PEKERJA_SETENGAH_TERAMPIL">#REF!</definedName>
    <definedName name="PEKERJA_SETENGAH_TRAMPIL">#REF!</definedName>
    <definedName name="PEKERJA_TERAMPIL">#REF!</definedName>
    <definedName name="peksetengah">#N/A</definedName>
    <definedName name="Pelaksana">'[27]L. Hr'!$R$79</definedName>
    <definedName name="PELATRAMBU">#REF!</definedName>
    <definedName name="PELUMAS">#REF!</definedName>
    <definedName name="PEMBANTU_OPERATOR__MEKANIK">#REF!</definedName>
    <definedName name="pembantutkbatu">#N/A</definedName>
    <definedName name="pemisah">#REF!</definedName>
    <definedName name="pengki">[3]ANALISA!#REF!</definedName>
    <definedName name="PENJAGA_MALAM">#REF!</definedName>
    <definedName name="PERANCAH">#REF!</definedName>
    <definedName name="pintu1">#REF!</definedName>
    <definedName name="pintu2">#REF!</definedName>
    <definedName name="pintu3">#REF!</definedName>
    <definedName name="pintu4">#REF!</definedName>
    <definedName name="pintu5">#REF!</definedName>
    <definedName name="PIPAGALVANIS">#REF!</definedName>
    <definedName name="pj">'[8]Sat~Bahu'!$C$66</definedName>
    <definedName name="PKC">[3]ANALISA!#REF!</definedName>
    <definedName name="pkgyp">[3]BAHAN!$G$197</definedName>
    <definedName name="pkpcg">[3]BAHAN!$G$198</definedName>
    <definedName name="plafond">#REF!</definedName>
    <definedName name="plamir">[3]BAHAN!$G$32</definedName>
    <definedName name="plamur">#REF!</definedName>
    <definedName name="plamur.matex">#REF!</definedName>
    <definedName name="plastik">#REF!</definedName>
    <definedName name="PLAT">#REF!</definedName>
    <definedName name="plester13">#REF!</definedName>
    <definedName name="plester15">#REF!</definedName>
    <definedName name="plesterwater">#REF!</definedName>
    <definedName name="plin">[3]BAHAN!$G$113</definedName>
    <definedName name="PLK">[3]ANALISA!#REF!</definedName>
    <definedName name="plms">[3]BAHAN!$G$52</definedName>
    <definedName name="plt">[3]BAHAN!$G$40</definedName>
    <definedName name="pltg">[3]BAHAN!$G$237</definedName>
    <definedName name="pltgkb">[3]BAHAN!#REF!</definedName>
    <definedName name="pltgls">[3]BAHAN!#REF!</definedName>
    <definedName name="pltgwr10">[3]BAHAN!#REF!</definedName>
    <definedName name="pltgwr15">[3]BAHAN!#REF!</definedName>
    <definedName name="pmp">[3]BAHAN!#REF!</definedName>
    <definedName name="pmunding">#REF!</definedName>
    <definedName name="PO">'[8]Sat~Bahu'!$C$13</definedName>
    <definedName name="pondasi225">#REF!</definedName>
    <definedName name="pondljr">[3]SATUAN!$I$19</definedName>
    <definedName name="pop">[1]UPAH!$E$22</definedName>
    <definedName name="PORS">[3]ANALISA!#REF!</definedName>
    <definedName name="pp">[3]BAHAN!$G$269</definedName>
    <definedName name="ppasang">#N/A</definedName>
    <definedName name="ppn.m.3.20.serut">#REF!</definedName>
    <definedName name="ppn2.30">#REF!</definedName>
    <definedName name="ppn3.30">#REF!</definedName>
    <definedName name="ppnbjr">[3]ANALISA!#REF!</definedName>
    <definedName name="ppnbor">[3]ANALISA!#REF!</definedName>
    <definedName name="ppnht1">[3]BAHAN!$G$65</definedName>
    <definedName name="ppnht2">[3]ANALISA!#REF!</definedName>
    <definedName name="ppnkmp">[3]ANALISA!#REF!</definedName>
    <definedName name="ppnsam">[3]ANALISA!#REF!</definedName>
    <definedName name="print">#REF!</definedName>
    <definedName name="_xlnm.Print_Area" localSheetId="2">ANALISA!$A$2:$N$1318</definedName>
    <definedName name="_xlnm.Print_Area" localSheetId="4">JADWAL!$B$2:$AC$42</definedName>
    <definedName name="_xlnm.Print_Area" localSheetId="0">RAB!$B$2:$K$395</definedName>
    <definedName name="_xlnm.Print_Area" localSheetId="3">'UPAH BAHAN'!$B$2:$H$238</definedName>
    <definedName name="_xlnm.Print_Area">#REF!</definedName>
    <definedName name="PRINT_AREA_MI">'[16]HRG BHN'!#REF!</definedName>
    <definedName name="_xlnm.Print_Titles" localSheetId="0">RAB!$75:$77</definedName>
    <definedName name="_xlnm.Print_Titles" localSheetId="3">'UPAH BAHAN'!$13:$15</definedName>
    <definedName name="profil">[3]BAHAN!$G$73</definedName>
    <definedName name="psaub">'[8]Sat~Bahu'!$C$46</definedName>
    <definedName name="PSB">[3]ANALISA!#REF!</definedName>
    <definedName name="psbtn">[3]BAHAN!$G$13</definedName>
    <definedName name="psp">'[8]Sat~Bahu'!$C$47</definedName>
    <definedName name="pspsg">[3]BAHAN!$G$12</definedName>
    <definedName name="Psr.psg">#REF!</definedName>
    <definedName name="psr.trs">#REF!</definedName>
    <definedName name="pst">[3]UPAH!#REF!</definedName>
    <definedName name="PSU">[3]ANALISA!#REF!</definedName>
    <definedName name="pt">#N/A</definedName>
    <definedName name="ptdll">'[8]Sat~Bahu'!$C$114</definedName>
    <definedName name="purug">[3]BAHAN!$G$10</definedName>
    <definedName name="PUSAT">#REF!</definedName>
    <definedName name="PVB">#REF!</definedName>
    <definedName name="pvc.0.5.mas.d">#REF!</definedName>
    <definedName name="pvc.0.7.5.Mas.d">#REF!</definedName>
    <definedName name="pvc.1.M.abu">#REF!</definedName>
    <definedName name="pvc.2.5.Mas.d">#REF!</definedName>
    <definedName name="pvc.2.mas.d">#REF!</definedName>
    <definedName name="pvc.3.mas.d">#REF!</definedName>
    <definedName name="pvc.4.mas.d">#REF!</definedName>
    <definedName name="pvc1.2.aw">#REF!</definedName>
    <definedName name="pvc1.2.wav.aw">#REF!</definedName>
    <definedName name="pvc2d">#REF!</definedName>
    <definedName name="pvc3.4.aw">#REF!</definedName>
    <definedName name="pvc3d">#REF!</definedName>
    <definedName name="pvc4d">#REF!</definedName>
    <definedName name="Q">'[8]Sat~Bahu'!$C$28</definedName>
    <definedName name="rahayu">#REF!</definedName>
    <definedName name="rb">'[28]Harsat Bahan'!$A$8:$E$874</definedName>
    <definedName name="REKAP">[3]ANALISA!#REF!</definedName>
    <definedName name="reng">#REF!</definedName>
    <definedName name="reng23kb">[3]BAHAN!#REF!</definedName>
    <definedName name="reng23ras">[3]BAHAN!$G$82</definedName>
    <definedName name="reng34km">[3]BAHAN!#REF!</definedName>
    <definedName name="reng34ras">[3]BAHAN!$G$83</definedName>
    <definedName name="RINCIANSEWA">#REF!</definedName>
    <definedName name="RINCIANSEWA2">#REF!</definedName>
    <definedName name="rolcat">[3]BAHAN!$G$35</definedName>
    <definedName name="ros">[3]BAHAN!$G$19</definedName>
    <definedName name="rsd">[3]BAHAN!$G$54</definedName>
    <definedName name="s.tukang">#REF!</definedName>
    <definedName name="s.warna">#REF!</definedName>
    <definedName name="sa">[3]BAHAN!$G$57</definedName>
    <definedName name="sab">'[8]Sat~Bahu'!$G$49</definedName>
    <definedName name="sabantu">'[8]Sat~Bahu'!$G$76</definedName>
    <definedName name="sanyo">[3]BAHAN!$G$230</definedName>
    <definedName name="sarogol">#REF!</definedName>
    <definedName name="satb">'[8]Sat~Bahu'!$G$86</definedName>
    <definedName name="sbb.05">'[8]Sat~Bahu'!$G$41</definedName>
    <definedName name="sbb.1">'[8]Sat~Bahu'!$G$40</definedName>
    <definedName name="sbb.10">'[8]Sat~Bahu'!$G$35</definedName>
    <definedName name="sbb.2">'[8]Sat~Bahu'!$G$39</definedName>
    <definedName name="sbb.3">'[8]Sat~Bahu'!$G$38</definedName>
    <definedName name="sbb.5">'[8]Sat~Bahu'!$G$37</definedName>
    <definedName name="sbn">[3]BAHAN!$G$58</definedName>
    <definedName name="sbtb">'[8]Sat~Bahu'!$G$67</definedName>
    <definedName name="sbtp">'[8]Sat~Bahu'!$G$48</definedName>
    <definedName name="scab">'[8]Sat~Bahu'!#REF!</definedName>
    <definedName name="sddg">[15]ANALISA!#REF!</definedName>
    <definedName name="sdtbk">[3]ANALISA!#REF!</definedName>
    <definedName name="sealer">#REF!</definedName>
    <definedName name="sealer.mowi">#REF!</definedName>
    <definedName name="sealer.vini">#REF!</definedName>
    <definedName name="Semen">#REF!</definedName>
    <definedName name="semenpc">#N/A</definedName>
    <definedName name="senggel">[3]ANALISA!#REF!</definedName>
    <definedName name="senggol">#REF!</definedName>
    <definedName name="SENGPL">[3]ANALISA!#REF!</definedName>
    <definedName name="sgel">[3]BAHAN!$G$245</definedName>
    <definedName name="shrs">'[8]Sat~Bahu'!$G$87</definedName>
    <definedName name="sikp">[3]ANALISA!#REF!</definedName>
    <definedName name="simpang">#REF!</definedName>
    <definedName name="sirtu">[3]BAHAN!$G$11</definedName>
    <definedName name="skb">'[8]Sat~Bahu'!$G$62</definedName>
    <definedName name="skgb">'[8]Sat~Bahu'!$G$29</definedName>
    <definedName name="skp">[3]ANALISA!#REF!</definedName>
    <definedName name="skpb">'[8]Sat~Bahu'!$G$58</definedName>
    <definedName name="skr">[3]BAHAN!$G$203</definedName>
    <definedName name="sks">'[8]Sat~Bahu'!$G$30</definedName>
    <definedName name="skup">'[8]Sat~Bahu'!$G$77</definedName>
    <definedName name="sln">[3]BAHAN!$G$153</definedName>
    <definedName name="sloof175">#REF!</definedName>
    <definedName name="slotp">[3]BAHAN!$G$263</definedName>
    <definedName name="slr">[3]BAHAN!$G$56</definedName>
    <definedName name="smt">'[8]Sat~Bahu'!$G$53</definedName>
    <definedName name="SOLAR">#REF!</definedName>
    <definedName name="SOPIR_TRUK">#REF!</definedName>
    <definedName name="spav">'[8]Sat~Bahu'!$G$82</definedName>
    <definedName name="spc">'[8]Sat~Bahu'!$G$55</definedName>
    <definedName name="spj">'[8]Sat~Bahu'!$G$66</definedName>
    <definedName name="splat">[3]BAHAN!$G$246</definedName>
    <definedName name="split1.2">#REF!</definedName>
    <definedName name="split2.3">#REF!</definedName>
    <definedName name="SPRAYER">#REF!</definedName>
    <definedName name="spsaub">'[8]Sat~Bahu'!$G$46</definedName>
    <definedName name="spsp">'[8]Sat~Bahu'!$G$47</definedName>
    <definedName name="spsu">'[8]Sat~Bahu'!$G$45</definedName>
    <definedName name="sQ">'[8]Sat~Bahu'!$G$28</definedName>
    <definedName name="SS">#REF!</definedName>
    <definedName name="sstpb">'[8]Sat~Bahu'!$G$31</definedName>
    <definedName name="st">[3]BAHAN!$G$221</definedName>
    <definedName name="stairnzing">#REF!</definedName>
    <definedName name="stam">'[8]Sat~Bahu'!$C$100</definedName>
    <definedName name="steel">'[19]WF '!#REF!</definedName>
    <definedName name="stnh">'[8]Sat~Bahu'!$G$88</definedName>
    <definedName name="STONECRUSHER">#REF!</definedName>
    <definedName name="stoot">#N/A</definedName>
    <definedName name="stpb">'[8]Sat~Bahu'!$C$31</definedName>
    <definedName name="stpkrn">[3]BAHAN!#REF!</definedName>
    <definedName name="sukatani">#REF!</definedName>
    <definedName name="SUMBER">#REF!</definedName>
    <definedName name="sunloid">#REF!</definedName>
    <definedName name="T">#REF!</definedName>
    <definedName name="t.sabun">#REF!</definedName>
    <definedName name="talangseng">#REF!</definedName>
    <definedName name="TAMPER">#REF!</definedName>
    <definedName name="TANDEMROLLER">#REF!</definedName>
    <definedName name="tankfb05">[3]BAHAN!$G$225</definedName>
    <definedName name="tankfb1">[3]BAHAN!$G$226</definedName>
    <definedName name="tankfb2">[3]BAHAN!#REF!</definedName>
    <definedName name="tanki">'[8]Sat~Bahu'!$C$105</definedName>
    <definedName name="tb">#REF!</definedName>
    <definedName name="teak">[3]BAHAN!$G$50</definedName>
    <definedName name="teakoil">#REF!</definedName>
    <definedName name="teakwpt">[3]BAHAN!$G$94</definedName>
    <definedName name="tegel20">#REF!</definedName>
    <definedName name="tegel30">#REF!</definedName>
    <definedName name="tegelabu20">[3]ANALISA!#REF!</definedName>
    <definedName name="tegelabu30">[3]ANALISA!#REF!</definedName>
    <definedName name="terntang">#REF!</definedName>
    <definedName name="terpt">[3]BAHAN!$G$47</definedName>
    <definedName name="tg">[1]UPAH!$E$20</definedName>
    <definedName name="tgbdk30">[3]BAHAN!#REF!</definedName>
    <definedName name="tgbsh20">[3]BAHAN!#REF!</definedName>
    <definedName name="tgbsh30">[3]BAHAN!#REF!</definedName>
    <definedName name="tgwafel20">[3]BAHAN!#REF!</definedName>
    <definedName name="tgwafel30">[3]BAHAN!#REF!</definedName>
    <definedName name="tgwrn20">[3]BAHAN!#REF!</definedName>
    <definedName name="tgwrn30">[3]BAHAN!#REF!</definedName>
    <definedName name="THREEWHEELROLLER">#REF!</definedName>
    <definedName name="tinerb">#N/A</definedName>
    <definedName name="tipar">#REF!</definedName>
    <definedName name="TIREROLLER">#REF!</definedName>
    <definedName name="tk">[3]BAHAN!$G$265</definedName>
    <definedName name="TK_01">'[7]HRG BHN'!$G$607</definedName>
    <definedName name="TK_03A">'[7]HRG BHN'!$G$610</definedName>
    <definedName name="TK_03B">'[7]HRG BHN'!$G$611</definedName>
    <definedName name="TK_04A">'[7]HRG BHN'!$G$616</definedName>
    <definedName name="TK_04B">'[7]HRG BHN'!$G$617</definedName>
    <definedName name="TK_05">'[7]HRG BHN'!$G$613</definedName>
    <definedName name="TK_05A">'[7]HRG BHN'!$G$619</definedName>
    <definedName name="TK_09">'[7]HRG BHN'!$G$627</definedName>
    <definedName name="TK_13">'[7]HRG BHN'!$G$632</definedName>
    <definedName name="tkb">[3]UPAH!$G$14</definedName>
    <definedName name="TKBS">[3]ANALISA!#REF!</definedName>
    <definedName name="tkc">[3]UPAH!$G$15</definedName>
    <definedName name="tkcatmelamik">#N/A</definedName>
    <definedName name="tkg">#REF!</definedName>
    <definedName name="TKK">[3]ANALISA!#REF!</definedName>
    <definedName name="TKR">[3]ANALISA!#REF!</definedName>
    <definedName name="TKRK">[3]ANALISA!#REF!</definedName>
    <definedName name="tkt">[3]UPAH!$G$12</definedName>
    <definedName name="tktayuhalus">#N/A</definedName>
    <definedName name="tky">[3]UPAH!$G$13</definedName>
    <definedName name="tnh">'[8]Sat~Bahu'!$C$88</definedName>
    <definedName name="TO">[3]ANALISA!#REF!</definedName>
    <definedName name="tpgyp">[3]BAHAN!$G$102</definedName>
    <definedName name="TRACKLOADER">#REF!</definedName>
    <definedName name="trailer">'[8]Sat~Bahu'!$C$106</definedName>
    <definedName name="TRIP">[3]ANALISA!#REF!</definedName>
    <definedName name="trip3">[3]BAHAN!$G$89</definedName>
    <definedName name="trip4">[3]BAHAN!$G$90</definedName>
    <definedName name="triplek">#REF!</definedName>
    <definedName name="trippt">[3]BAHAN!$G$91</definedName>
    <definedName name="tst">[3]UPAH!#REF!</definedName>
    <definedName name="tukang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PLITUR_SETENGAH_TERAMPIL">#REF!</definedName>
    <definedName name="TUKANG_CAT__PLITUR_TERAMPIL">#REF!</definedName>
    <definedName name="TUKANG_GALI">#REF!</definedName>
    <definedName name="TUKANG_KAYU_SETENGAH_TERAMPIL">#REF!</definedName>
    <definedName name="TUKANG_KAYU_TERAMPIL">#REF!</definedName>
    <definedName name="tukng">#REF!</definedName>
    <definedName name="turbo">[3]BAHAN!#REF!</definedName>
    <definedName name="turbogls">[3]BAHAN!#REF!</definedName>
    <definedName name="u.bekisting">#REF!</definedName>
    <definedName name="u.besi">#REF!</definedName>
    <definedName name="u.cor">#REF!</definedName>
    <definedName name="UBLKT">'[8]Sat~Bahu'!$H$18</definedName>
    <definedName name="UBLT">'[8]Sat~Bahu'!$H$19</definedName>
    <definedName name="UBLTT">'[8]Sat~Bahu'!$H$17</definedName>
    <definedName name="UK">'[8]Sat~Bahu'!$H$16</definedName>
    <definedName name="UKT">'[8]Sat~Bahu'!$H$9</definedName>
    <definedName name="UML">'[8]Sat~Bahu'!$H$6</definedName>
    <definedName name="UOKT">'[8]Sat~Bahu'!$H$12</definedName>
    <definedName name="UOT">'[8]Sat~Bahu'!$H$11</definedName>
    <definedName name="UPAH">#REF!</definedName>
    <definedName name="upah175">#N/A</definedName>
    <definedName name="upah225">#N/A</definedName>
    <definedName name="upahbesi">#N/A</definedName>
    <definedName name="upahpapan">#N/A</definedName>
    <definedName name="upahredy">'[15]ANALISA (2)'!$J$234</definedName>
    <definedName name="upahstoot">#N/A</definedName>
    <definedName name="Uphmulti9mm">'[15]ANALISA (2)'!$I$346</definedName>
    <definedName name="UPO">'[8]Sat~Bahu'!$H$13</definedName>
    <definedName name="urgkmb">[3]SATUAN!$I$27</definedName>
    <definedName name="urgpsr5">[3]SATUAN!$I$30</definedName>
    <definedName name="urinoir">#REF!</definedName>
    <definedName name="urnor">[3]BAHAN!$G$219</definedName>
    <definedName name="urug">#REF!</definedName>
    <definedName name="uruganpasir">[3]ANALISA!#REF!</definedName>
    <definedName name="urugantanah">[3]ANALISA!#REF!</definedName>
    <definedName name="urugpasir">#REF!</definedName>
    <definedName name="UST">'[8]Sat~Bahu'!$H$14</definedName>
    <definedName name="UTK">'[8]Sat~Bahu'!$H$10</definedName>
    <definedName name="V">#REF!</definedName>
    <definedName name="vbv">[29]BAHAN!#REF!</definedName>
    <definedName name="ver">[3]BAHAN!$G$51</definedName>
    <definedName name="VIBROROLLER">#REF!</definedName>
    <definedName name="vlam">[3]BAHAN!#REF!</definedName>
    <definedName name="W">#REF!</definedName>
    <definedName name="w.stain">#REF!</definedName>
    <definedName name="washtafel">#REF!</definedName>
    <definedName name="wastpl">[3]BAHAN!$G$220</definedName>
    <definedName name="water.prof">#REF!</definedName>
    <definedName name="WATERPUMP">#REF!</definedName>
    <definedName name="WATERTANKER">#REF!</definedName>
    <definedName name="wd">[3]BAHAN!$G$155</definedName>
    <definedName name="WHEELLOADER">#REF!</definedName>
    <definedName name="wl.80hp">'[8]Sat~Bahu'!$C$94</definedName>
    <definedName name="Wp.5">'[8]Sat~Bahu'!$C$112</definedName>
    <definedName name="wppr">[3]BAHAN!$G$119</definedName>
    <definedName name="wstpt">[3]BAHAN!#REF!</definedName>
    <definedName name="wstwr">[3]BAHAN!#REF!</definedName>
    <definedName name="wt.60hp">'[8]Sat~Bahu'!$C$95</definedName>
    <definedName name="WTP">'[23]Anl-BM'!$H$6</definedName>
    <definedName name="xxx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L102" i="5" l="1"/>
  <c r="C203" i="5"/>
  <c r="J203" i="5"/>
  <c r="I364" i="5"/>
  <c r="G28" i="10"/>
  <c r="G29" i="10" s="1"/>
  <c r="G30" i="10" s="1"/>
  <c r="G31" i="10" s="1"/>
  <c r="H26" i="10"/>
  <c r="H21" i="10"/>
  <c r="H20" i="10"/>
  <c r="H19" i="10"/>
  <c r="G18" i="10"/>
  <c r="I197" i="5"/>
  <c r="I198" i="5"/>
  <c r="I199" i="5"/>
  <c r="I196" i="5"/>
  <c r="J106" i="5"/>
  <c r="D106" i="5"/>
  <c r="J103" i="5"/>
  <c r="J154" i="5"/>
  <c r="J153" i="5"/>
  <c r="C154" i="5"/>
  <c r="C153" i="5"/>
  <c r="J140" i="5"/>
  <c r="J139" i="5"/>
  <c r="C140" i="5"/>
  <c r="C139" i="5"/>
  <c r="I140" i="5"/>
  <c r="I154" i="5" s="1"/>
  <c r="I139" i="5"/>
  <c r="I153" i="5" s="1"/>
  <c r="J100" i="5" l="1"/>
  <c r="J99" i="5"/>
  <c r="J96" i="5"/>
  <c r="J118" i="5"/>
  <c r="C118" i="5"/>
  <c r="B250" i="1" l="1"/>
  <c r="B251" i="1"/>
  <c r="C249" i="1"/>
  <c r="H249" i="1"/>
  <c r="B201" i="2"/>
  <c r="B202" i="2"/>
  <c r="B203" i="2" s="1"/>
  <c r="B204" i="2" s="1"/>
  <c r="G249" i="3"/>
  <c r="G250" i="3"/>
  <c r="G251" i="3" s="1"/>
  <c r="G252" i="3" s="1"/>
  <c r="G253" i="3" s="1"/>
  <c r="G254" i="3" s="1"/>
  <c r="G255" i="3" s="1"/>
  <c r="G234" i="3"/>
  <c r="J234" i="3" s="1"/>
  <c r="G235" i="3"/>
  <c r="G236" i="3" s="1"/>
  <c r="G233" i="3"/>
  <c r="G232" i="3"/>
  <c r="G219" i="3"/>
  <c r="G220" i="3"/>
  <c r="G221" i="3"/>
  <c r="G222" i="3"/>
  <c r="G218" i="3"/>
  <c r="G217" i="3"/>
  <c r="J214" i="3"/>
  <c r="G206" i="3"/>
  <c r="G207" i="3"/>
  <c r="G208" i="3"/>
  <c r="G209" i="3"/>
  <c r="G205" i="3"/>
  <c r="G204" i="3"/>
  <c r="E23" i="14"/>
  <c r="E34" i="14" s="1"/>
  <c r="J34" i="14" s="1"/>
  <c r="E22" i="14"/>
  <c r="E21" i="14"/>
  <c r="E33" i="14" s="1"/>
  <c r="E20" i="14"/>
  <c r="E19" i="14"/>
  <c r="E12" i="14"/>
  <c r="G31" i="14"/>
  <c r="G32" i="14" s="1"/>
  <c r="K246" i="3"/>
  <c r="C66" i="1"/>
  <c r="C61" i="1"/>
  <c r="C56" i="1"/>
  <c r="K351" i="3"/>
  <c r="M351" i="3" s="1"/>
  <c r="K338" i="3"/>
  <c r="M338" i="3" s="1"/>
  <c r="K350" i="3"/>
  <c r="L356" i="3"/>
  <c r="N356" i="3" s="1"/>
  <c r="N355" i="3"/>
  <c r="L355" i="3"/>
  <c r="N354" i="3"/>
  <c r="L354" i="3"/>
  <c r="M352" i="3"/>
  <c r="N352" i="3" s="1"/>
  <c r="L350" i="3"/>
  <c r="N350" i="3" s="1"/>
  <c r="L343" i="3"/>
  <c r="L342" i="3"/>
  <c r="N342" i="3" s="1"/>
  <c r="L341" i="3"/>
  <c r="N341" i="3" s="1"/>
  <c r="M339" i="3"/>
  <c r="N339" i="3" s="1"/>
  <c r="K325" i="3"/>
  <c r="M325" i="3" s="1"/>
  <c r="L330" i="3"/>
  <c r="L329" i="3"/>
  <c r="L328" i="3"/>
  <c r="N328" i="3" s="1"/>
  <c r="N330" i="3"/>
  <c r="N329" i="3"/>
  <c r="M326" i="3"/>
  <c r="N326" i="3" s="1"/>
  <c r="K230" i="3"/>
  <c r="M230" i="3" s="1"/>
  <c r="K202" i="3"/>
  <c r="K215" i="3" s="1"/>
  <c r="K228" i="3" s="1"/>
  <c r="K244" i="3" s="1"/>
  <c r="K311" i="3" s="1"/>
  <c r="J233" i="3"/>
  <c r="J232" i="3"/>
  <c r="A226" i="3"/>
  <c r="A242" i="3" s="1"/>
  <c r="J215" i="3"/>
  <c r="A213" i="3"/>
  <c r="J202" i="3"/>
  <c r="L202" i="3" s="1"/>
  <c r="I96" i="14"/>
  <c r="J96" i="14" s="1"/>
  <c r="E95" i="14"/>
  <c r="E94" i="14"/>
  <c r="I93" i="14"/>
  <c r="G93" i="14"/>
  <c r="G94" i="14" s="1"/>
  <c r="I79" i="14"/>
  <c r="J92" i="14" s="1"/>
  <c r="I65" i="14"/>
  <c r="J65" i="14" s="1"/>
  <c r="G64" i="14"/>
  <c r="E64" i="14"/>
  <c r="I63" i="14"/>
  <c r="G63" i="14"/>
  <c r="J63" i="14" s="1"/>
  <c r="J62" i="14"/>
  <c r="I51" i="14"/>
  <c r="I52" i="14" s="1"/>
  <c r="J61" i="14" s="1"/>
  <c r="I50" i="14"/>
  <c r="J66" i="14" s="1"/>
  <c r="J36" i="14"/>
  <c r="I35" i="14"/>
  <c r="J35" i="14" s="1"/>
  <c r="I34" i="14"/>
  <c r="I32" i="14"/>
  <c r="I33" i="14" s="1"/>
  <c r="J30" i="14"/>
  <c r="E32" i="14"/>
  <c r="I16" i="14"/>
  <c r="I17" i="14" s="1"/>
  <c r="J29" i="14" s="1"/>
  <c r="D382" i="5"/>
  <c r="L128" i="5"/>
  <c r="I50" i="12"/>
  <c r="G237" i="3" l="1"/>
  <c r="J236" i="3"/>
  <c r="J235" i="3"/>
  <c r="J93" i="14"/>
  <c r="M357" i="3"/>
  <c r="N351" i="3"/>
  <c r="N357" i="3" s="1"/>
  <c r="L357" i="3"/>
  <c r="M344" i="3"/>
  <c r="N338" i="3"/>
  <c r="N343" i="3"/>
  <c r="N325" i="3"/>
  <c r="M331" i="3"/>
  <c r="L215" i="3"/>
  <c r="N215" i="3" s="1"/>
  <c r="M239" i="3"/>
  <c r="N230" i="3"/>
  <c r="N202" i="3"/>
  <c r="M246" i="3"/>
  <c r="J33" i="14"/>
  <c r="J32" i="14"/>
  <c r="I64" i="14"/>
  <c r="I94" i="14" s="1"/>
  <c r="I95" i="14" s="1"/>
  <c r="J95" i="14" s="1"/>
  <c r="I80" i="14"/>
  <c r="I81" i="14" s="1"/>
  <c r="J91" i="14" s="1"/>
  <c r="J97" i="14"/>
  <c r="J31" i="14"/>
  <c r="J237" i="3" l="1"/>
  <c r="G238" i="3"/>
  <c r="J238" i="3" s="1"/>
  <c r="J37" i="14"/>
  <c r="J39" i="14" s="1"/>
  <c r="J40" i="14" s="1"/>
  <c r="J41" i="14" s="1"/>
  <c r="N358" i="3"/>
  <c r="N359" i="3" s="1"/>
  <c r="H56" i="1" s="1"/>
  <c r="M256" i="3"/>
  <c r="N246" i="3"/>
  <c r="J64" i="14"/>
  <c r="J67" i="14" s="1"/>
  <c r="J94" i="14"/>
  <c r="J98" i="14" s="1"/>
  <c r="C75" i="1"/>
  <c r="J289" i="5"/>
  <c r="I110" i="5"/>
  <c r="L113" i="5" s="1"/>
  <c r="C282" i="1"/>
  <c r="H282" i="1"/>
  <c r="J116" i="5" s="1"/>
  <c r="J100" i="14" l="1"/>
  <c r="J101" i="14" s="1"/>
  <c r="J102" i="14" s="1"/>
  <c r="J69" i="14"/>
  <c r="J70" i="14"/>
  <c r="J71" i="14" s="1"/>
  <c r="I116" i="5"/>
  <c r="C5" i="13" l="1"/>
  <c r="I114" i="5"/>
  <c r="J288" i="5"/>
  <c r="J258" i="5"/>
  <c r="I258" i="5"/>
  <c r="I289" i="5"/>
  <c r="I288" i="5"/>
  <c r="I287" i="5"/>
  <c r="K287" i="5" s="1"/>
  <c r="M259" i="5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I286" i="5" s="1"/>
  <c r="I99" i="5"/>
  <c r="M139" i="5"/>
  <c r="I138" i="5"/>
  <c r="C138" i="5"/>
  <c r="C30" i="5"/>
  <c r="B30" i="5"/>
  <c r="J286" i="5"/>
  <c r="H239" i="1"/>
  <c r="H240" i="1"/>
  <c r="H241" i="1"/>
  <c r="J284" i="5" s="1"/>
  <c r="H242" i="1"/>
  <c r="D240" i="1"/>
  <c r="D241" i="1"/>
  <c r="D201" i="5" s="1"/>
  <c r="D242" i="1"/>
  <c r="D239" i="1"/>
  <c r="C29" i="1"/>
  <c r="C273" i="5" s="1"/>
  <c r="C28" i="1"/>
  <c r="C272" i="5" s="1"/>
  <c r="K505" i="3"/>
  <c r="O505" i="3"/>
  <c r="P505" i="3" s="1"/>
  <c r="K492" i="3"/>
  <c r="M140" i="5" l="1"/>
  <c r="J201" i="5"/>
  <c r="I277" i="5"/>
  <c r="K277" i="5" s="1"/>
  <c r="I269" i="5"/>
  <c r="I261" i="5"/>
  <c r="K261" i="5" s="1"/>
  <c r="I284" i="5"/>
  <c r="K284" i="5" s="1"/>
  <c r="I278" i="5"/>
  <c r="K260" i="5"/>
  <c r="I276" i="5"/>
  <c r="I270" i="5"/>
  <c r="I268" i="5"/>
  <c r="K268" i="5" s="1"/>
  <c r="I285" i="5"/>
  <c r="I262" i="5"/>
  <c r="K262" i="5" s="1"/>
  <c r="K289" i="5"/>
  <c r="K288" i="5"/>
  <c r="K258" i="5"/>
  <c r="I273" i="5"/>
  <c r="I259" i="5"/>
  <c r="I280" i="5"/>
  <c r="I272" i="5"/>
  <c r="I264" i="5"/>
  <c r="I283" i="5"/>
  <c r="I275" i="5"/>
  <c r="I267" i="5"/>
  <c r="K267" i="5" s="1"/>
  <c r="I282" i="5"/>
  <c r="I274" i="5"/>
  <c r="K274" i="5" s="1"/>
  <c r="I266" i="5"/>
  <c r="I281" i="5"/>
  <c r="I265" i="5"/>
  <c r="I279" i="5"/>
  <c r="I271" i="5"/>
  <c r="I263" i="5"/>
  <c r="K286" i="5"/>
  <c r="K495" i="3" l="1"/>
  <c r="K508" i="3" s="1"/>
  <c r="M508" i="3" s="1"/>
  <c r="N508" i="3" s="1"/>
  <c r="M507" i="3"/>
  <c r="M505" i="3"/>
  <c r="N505" i="3" s="1"/>
  <c r="M494" i="3"/>
  <c r="N494" i="3" s="1"/>
  <c r="M492" i="3"/>
  <c r="N492" i="3" s="1"/>
  <c r="H153" i="1"/>
  <c r="K1312" i="3"/>
  <c r="M1312" i="3" s="1"/>
  <c r="N1312" i="3" s="1"/>
  <c r="K1315" i="3"/>
  <c r="L1315" i="3" s="1"/>
  <c r="M513" i="3" l="1"/>
  <c r="M495" i="3"/>
  <c r="N507" i="3"/>
  <c r="L1316" i="3"/>
  <c r="N1315" i="3"/>
  <c r="M500" i="3" l="1"/>
  <c r="N495" i="3"/>
  <c r="C26" i="5"/>
  <c r="B26" i="5"/>
  <c r="K123" i="5"/>
  <c r="K125" i="5" s="1"/>
  <c r="J117" i="5"/>
  <c r="K111" i="5"/>
  <c r="K112" i="5"/>
  <c r="K87" i="5"/>
  <c r="E95" i="12"/>
  <c r="G94" i="12"/>
  <c r="E94" i="12"/>
  <c r="I93" i="12"/>
  <c r="J93" i="12" s="1"/>
  <c r="G93" i="12"/>
  <c r="I79" i="12"/>
  <c r="J92" i="12" s="1"/>
  <c r="I65" i="12"/>
  <c r="J65" i="12" s="1"/>
  <c r="G64" i="12"/>
  <c r="E64" i="12"/>
  <c r="I63" i="12"/>
  <c r="G63" i="12"/>
  <c r="J63" i="12" s="1"/>
  <c r="J62" i="12"/>
  <c r="I51" i="12"/>
  <c r="I52" i="12" s="1"/>
  <c r="J61" i="12" s="1"/>
  <c r="J66" i="12"/>
  <c r="I35" i="12"/>
  <c r="J35" i="12" s="1"/>
  <c r="I34" i="12"/>
  <c r="E33" i="12"/>
  <c r="I32" i="12"/>
  <c r="I33" i="12" s="1"/>
  <c r="G31" i="12"/>
  <c r="G32" i="12" s="1"/>
  <c r="E23" i="12"/>
  <c r="E34" i="12" s="1"/>
  <c r="J34" i="12" s="1"/>
  <c r="E22" i="12"/>
  <c r="E21" i="12"/>
  <c r="E20" i="12"/>
  <c r="E32" i="12" s="1"/>
  <c r="J32" i="12" s="1"/>
  <c r="E19" i="12"/>
  <c r="K15" i="11"/>
  <c r="I16" i="11"/>
  <c r="I17" i="11" s="1"/>
  <c r="J29" i="11" s="1"/>
  <c r="E19" i="11"/>
  <c r="G31" i="11" s="1"/>
  <c r="E20" i="11"/>
  <c r="E21" i="11"/>
  <c r="E22" i="11"/>
  <c r="E23" i="11"/>
  <c r="E34" i="11" s="1"/>
  <c r="J34" i="11" s="1"/>
  <c r="J30" i="11"/>
  <c r="E32" i="11"/>
  <c r="E33" i="11"/>
  <c r="J33" i="11" s="1"/>
  <c r="J35" i="11"/>
  <c r="J36" i="11"/>
  <c r="I50" i="11"/>
  <c r="I51" i="11"/>
  <c r="I52" i="11"/>
  <c r="J61" i="11" s="1"/>
  <c r="J62" i="11"/>
  <c r="G63" i="11"/>
  <c r="J63" i="11" s="1"/>
  <c r="I63" i="11"/>
  <c r="I93" i="11" s="1"/>
  <c r="J93" i="11" s="1"/>
  <c r="E64" i="11"/>
  <c r="I64" i="11"/>
  <c r="I65" i="11"/>
  <c r="J65" i="11"/>
  <c r="J66" i="11"/>
  <c r="I79" i="11"/>
  <c r="I80" i="11"/>
  <c r="I81" i="11"/>
  <c r="J91" i="11"/>
  <c r="J98" i="11" s="1"/>
  <c r="J92" i="11"/>
  <c r="G93" i="11"/>
  <c r="E94" i="11"/>
  <c r="G94" i="11"/>
  <c r="I94" i="11"/>
  <c r="I95" i="11" s="1"/>
  <c r="J94" i="11"/>
  <c r="E95" i="11"/>
  <c r="J95" i="11" s="1"/>
  <c r="I96" i="11"/>
  <c r="J96" i="11" s="1"/>
  <c r="J97" i="11"/>
  <c r="K26" i="5" l="1"/>
  <c r="L125" i="5"/>
  <c r="J33" i="12"/>
  <c r="I64" i="12"/>
  <c r="I94" i="12" s="1"/>
  <c r="I95" i="12" s="1"/>
  <c r="J95" i="12" s="1"/>
  <c r="I96" i="12"/>
  <c r="J96" i="12" s="1"/>
  <c r="J36" i="12"/>
  <c r="J29" i="12"/>
  <c r="I80" i="12"/>
  <c r="J97" i="12"/>
  <c r="J30" i="12"/>
  <c r="I81" i="12"/>
  <c r="J91" i="12" s="1"/>
  <c r="J31" i="12"/>
  <c r="J100" i="11"/>
  <c r="J101" i="11" s="1"/>
  <c r="J102" i="11" s="1"/>
  <c r="J31" i="11"/>
  <c r="G32" i="11"/>
  <c r="J32" i="11" s="1"/>
  <c r="G64" i="11"/>
  <c r="J64" i="11" s="1"/>
  <c r="J67" i="11" s="1"/>
  <c r="J37" i="12" l="1"/>
  <c r="J94" i="12"/>
  <c r="J98" i="12" s="1"/>
  <c r="J64" i="12"/>
  <c r="J67" i="12" s="1"/>
  <c r="J69" i="11"/>
  <c r="J70" i="11"/>
  <c r="J71" i="11" s="1"/>
  <c r="J37" i="11"/>
  <c r="J100" i="12" l="1"/>
  <c r="J101" i="12" s="1"/>
  <c r="J102" i="12" s="1"/>
  <c r="J69" i="12"/>
  <c r="J70" i="12"/>
  <c r="J71" i="12" s="1"/>
  <c r="J39" i="12"/>
  <c r="J40" i="12" s="1"/>
  <c r="J41" i="12" s="1"/>
  <c r="K143" i="3" s="1"/>
  <c r="J39" i="11"/>
  <c r="J40" i="11" s="1"/>
  <c r="J41" i="11" l="1"/>
  <c r="K84" i="3"/>
  <c r="K110" i="3" s="1"/>
  <c r="I96" i="4" l="1"/>
  <c r="J96" i="4" s="1"/>
  <c r="E95" i="4"/>
  <c r="G94" i="4"/>
  <c r="E94" i="4"/>
  <c r="J94" i="4" s="1"/>
  <c r="I93" i="4"/>
  <c r="J93" i="4" s="1"/>
  <c r="G93" i="4"/>
  <c r="I79" i="4"/>
  <c r="J92" i="4" s="1"/>
  <c r="J65" i="4"/>
  <c r="I65" i="4"/>
  <c r="I64" i="4"/>
  <c r="I94" i="4" s="1"/>
  <c r="I95" i="4" s="1"/>
  <c r="J95" i="4" s="1"/>
  <c r="G64" i="4"/>
  <c r="J64" i="4" s="1"/>
  <c r="E64" i="4"/>
  <c r="I63" i="4"/>
  <c r="G63" i="4"/>
  <c r="J63" i="4" s="1"/>
  <c r="J62" i="4"/>
  <c r="I51" i="4"/>
  <c r="I52" i="4" s="1"/>
  <c r="J61" i="4" s="1"/>
  <c r="J67" i="4" s="1"/>
  <c r="I50" i="4"/>
  <c r="J66" i="4" s="1"/>
  <c r="J36" i="4"/>
  <c r="J35" i="4"/>
  <c r="G31" i="4"/>
  <c r="J31" i="4" s="1"/>
  <c r="J30" i="4"/>
  <c r="E23" i="4"/>
  <c r="E34" i="4" s="1"/>
  <c r="J34" i="4" s="1"/>
  <c r="E22" i="4"/>
  <c r="E21" i="4"/>
  <c r="E33" i="4" s="1"/>
  <c r="J33" i="4" s="1"/>
  <c r="E20" i="4"/>
  <c r="E32" i="4" s="1"/>
  <c r="E19" i="4"/>
  <c r="G32" i="4" s="1"/>
  <c r="I16" i="4"/>
  <c r="I17" i="4" s="1"/>
  <c r="J29" i="4" s="1"/>
  <c r="K15" i="4"/>
  <c r="K171" i="3"/>
  <c r="G179" i="3"/>
  <c r="J179" i="3" s="1"/>
  <c r="G178" i="3"/>
  <c r="J178" i="3" s="1"/>
  <c r="G177" i="3"/>
  <c r="J177" i="3" s="1"/>
  <c r="G176" i="3"/>
  <c r="J176" i="3" s="1"/>
  <c r="G175" i="3"/>
  <c r="J175" i="3" s="1"/>
  <c r="G174" i="3"/>
  <c r="J174" i="3" s="1"/>
  <c r="G173" i="3"/>
  <c r="J173" i="3" s="1"/>
  <c r="A167" i="3"/>
  <c r="A183" i="3" s="1"/>
  <c r="J109" i="3"/>
  <c r="J110" i="3" s="1"/>
  <c r="J63" i="3"/>
  <c r="J48" i="3"/>
  <c r="K113" i="3"/>
  <c r="G120" i="3"/>
  <c r="J120" i="3" s="1"/>
  <c r="G119" i="3"/>
  <c r="J119" i="3" s="1"/>
  <c r="G118" i="3"/>
  <c r="J118" i="3" s="1"/>
  <c r="G117" i="3"/>
  <c r="J117" i="3" s="1"/>
  <c r="G116" i="3"/>
  <c r="J116" i="3" s="1"/>
  <c r="G115" i="3"/>
  <c r="J115" i="3" s="1"/>
  <c r="G114" i="3"/>
  <c r="J114" i="3" s="1"/>
  <c r="J155" i="3"/>
  <c r="J156" i="3" s="1"/>
  <c r="A154" i="3"/>
  <c r="A108" i="3" s="1"/>
  <c r="A124" i="3" s="1"/>
  <c r="J143" i="3"/>
  <c r="J96" i="3"/>
  <c r="J97" i="3" s="1"/>
  <c r="A95" i="3"/>
  <c r="J84" i="3"/>
  <c r="G136" i="3" l="1"/>
  <c r="J136" i="3" s="1"/>
  <c r="J250" i="3"/>
  <c r="J252" i="3"/>
  <c r="J251" i="3"/>
  <c r="J253" i="3"/>
  <c r="J249" i="3"/>
  <c r="J255" i="3"/>
  <c r="J254" i="3"/>
  <c r="G195" i="3"/>
  <c r="J195" i="3" s="1"/>
  <c r="G196" i="3"/>
  <c r="J196" i="3" s="1"/>
  <c r="J125" i="3"/>
  <c r="J126" i="3" s="1"/>
  <c r="G132" i="3"/>
  <c r="J132" i="3" s="1"/>
  <c r="G137" i="3"/>
  <c r="J137" i="3" s="1"/>
  <c r="G190" i="3"/>
  <c r="J190" i="3" s="1"/>
  <c r="G192" i="3"/>
  <c r="J192" i="3" s="1"/>
  <c r="G193" i="3"/>
  <c r="J193" i="3" s="1"/>
  <c r="J69" i="4"/>
  <c r="J70" i="4" s="1"/>
  <c r="J71" i="4" s="1"/>
  <c r="J32" i="4"/>
  <c r="J37" i="4" s="1"/>
  <c r="I80" i="4"/>
  <c r="J97" i="4"/>
  <c r="I81" i="4"/>
  <c r="J91" i="4" s="1"/>
  <c r="J98" i="4" s="1"/>
  <c r="G191" i="3"/>
  <c r="J191" i="3" s="1"/>
  <c r="J168" i="3"/>
  <c r="J184" i="3" s="1"/>
  <c r="G194" i="3"/>
  <c r="J194" i="3" s="1"/>
  <c r="G131" i="3"/>
  <c r="J131" i="3" s="1"/>
  <c r="G133" i="3"/>
  <c r="J133" i="3" s="1"/>
  <c r="G134" i="3"/>
  <c r="J134" i="3" s="1"/>
  <c r="G135" i="3"/>
  <c r="J135" i="3" s="1"/>
  <c r="J185" i="3" l="1"/>
  <c r="J169" i="3"/>
  <c r="J39" i="4"/>
  <c r="J40" i="4" s="1"/>
  <c r="J41" i="4" s="1"/>
  <c r="J100" i="4"/>
  <c r="J101" i="4" s="1"/>
  <c r="J102" i="4" s="1"/>
  <c r="J228" i="3" l="1"/>
  <c r="L228" i="3" s="1"/>
  <c r="J243" i="3"/>
  <c r="J244" i="3" s="1"/>
  <c r="L244" i="3" s="1"/>
  <c r="B5" i="1"/>
  <c r="A5" i="3" s="1"/>
  <c r="B5" i="2" s="1"/>
  <c r="E5" i="1"/>
  <c r="D5" i="3" s="1"/>
  <c r="E5" i="2" s="1"/>
  <c r="F5" i="1"/>
  <c r="E5" i="3" s="1"/>
  <c r="F5" i="2" s="1"/>
  <c r="B6" i="1"/>
  <c r="A6" i="3" s="1"/>
  <c r="B6" i="2" s="1"/>
  <c r="E6" i="1"/>
  <c r="D6" i="3" s="1"/>
  <c r="E6" i="2" s="1"/>
  <c r="F6" i="1"/>
  <c r="E6" i="3" s="1"/>
  <c r="F6" i="2" s="1"/>
  <c r="B7" i="1"/>
  <c r="A7" i="3" s="1"/>
  <c r="B7" i="2" s="1"/>
  <c r="E7" i="1"/>
  <c r="D7" i="3" s="1"/>
  <c r="E7" i="2" s="1"/>
  <c r="F7" i="1"/>
  <c r="E7" i="3" s="1"/>
  <c r="F7" i="2" s="1"/>
  <c r="B8" i="1"/>
  <c r="A8" i="3" s="1"/>
  <c r="B8" i="2" s="1"/>
  <c r="E8" i="1"/>
  <c r="D8" i="3" s="1"/>
  <c r="E8" i="2" s="1"/>
  <c r="F8" i="1"/>
  <c r="E8" i="3" s="1"/>
  <c r="F8" i="2" s="1"/>
  <c r="B9" i="1"/>
  <c r="A9" i="3" s="1"/>
  <c r="B9" i="2" s="1"/>
  <c r="E9" i="1"/>
  <c r="D9" i="3" s="1"/>
  <c r="E9" i="2" s="1"/>
  <c r="F9" i="1"/>
  <c r="E9" i="3" s="1"/>
  <c r="F9" i="2" s="1"/>
  <c r="B10" i="1"/>
  <c r="A10" i="3" s="1"/>
  <c r="B10" i="2" s="1"/>
  <c r="E10" i="1"/>
  <c r="D10" i="3" s="1"/>
  <c r="E10" i="2" s="1"/>
  <c r="F10" i="1"/>
  <c r="E10" i="3" s="1"/>
  <c r="F10" i="2" s="1"/>
  <c r="B11" i="1"/>
  <c r="A11" i="3" s="1"/>
  <c r="B11" i="2" s="1"/>
  <c r="E11" i="1"/>
  <c r="D11" i="3" s="1"/>
  <c r="E11" i="2" s="1"/>
  <c r="F11" i="1"/>
  <c r="E11" i="3" s="1"/>
  <c r="F11" i="2" s="1"/>
  <c r="F4" i="1"/>
  <c r="E4" i="3" s="1"/>
  <c r="F4" i="2" s="1"/>
  <c r="E4" i="1"/>
  <c r="D4" i="3" s="1"/>
  <c r="E4" i="2" s="1"/>
  <c r="B4" i="1"/>
  <c r="A4" i="3" s="1"/>
  <c r="B4" i="2" s="1"/>
  <c r="C284" i="1"/>
  <c r="C285" i="1"/>
  <c r="C271" i="1"/>
  <c r="C272" i="1"/>
  <c r="C273" i="1"/>
  <c r="C274" i="1"/>
  <c r="C275" i="1"/>
  <c r="C276" i="1"/>
  <c r="C277" i="1"/>
  <c r="C278" i="1"/>
  <c r="C279" i="1"/>
  <c r="C280" i="1"/>
  <c r="C281" i="1"/>
  <c r="C283" i="1"/>
  <c r="C266" i="1"/>
  <c r="C267" i="1"/>
  <c r="C268" i="1"/>
  <c r="C269" i="1"/>
  <c r="C270" i="1"/>
  <c r="C264" i="1"/>
  <c r="C265" i="1"/>
  <c r="C262" i="1"/>
  <c r="C263" i="1"/>
  <c r="C255" i="1"/>
  <c r="C256" i="1"/>
  <c r="C257" i="1"/>
  <c r="C258" i="1"/>
  <c r="C259" i="1"/>
  <c r="C260" i="1"/>
  <c r="C261" i="1"/>
  <c r="C247" i="1"/>
  <c r="C248" i="1"/>
  <c r="C250" i="1"/>
  <c r="C251" i="1"/>
  <c r="C252" i="1"/>
  <c r="C253" i="1"/>
  <c r="C254" i="1"/>
  <c r="C246" i="1"/>
  <c r="H229" i="1"/>
  <c r="H230" i="1"/>
  <c r="H231" i="1"/>
  <c r="J285" i="5" s="1"/>
  <c r="K285" i="5" s="1"/>
  <c r="H232" i="1"/>
  <c r="J198" i="5" s="1"/>
  <c r="H233" i="1"/>
  <c r="J199" i="5" s="1"/>
  <c r="H234" i="1"/>
  <c r="H235" i="1"/>
  <c r="D226" i="1"/>
  <c r="D227" i="1"/>
  <c r="D228" i="1"/>
  <c r="D229" i="1"/>
  <c r="D230" i="1"/>
  <c r="D231" i="1"/>
  <c r="D232" i="1"/>
  <c r="D198" i="5" s="1"/>
  <c r="D233" i="1"/>
  <c r="D199" i="5" s="1"/>
  <c r="D234" i="1"/>
  <c r="D235" i="1"/>
  <c r="D225" i="1"/>
  <c r="C209" i="1"/>
  <c r="H203" i="1"/>
  <c r="H204" i="1"/>
  <c r="H205" i="1"/>
  <c r="H206" i="1"/>
  <c r="J187" i="5" s="1"/>
  <c r="H207" i="1"/>
  <c r="J188" i="5" s="1"/>
  <c r="H208" i="1"/>
  <c r="J189" i="5" s="1"/>
  <c r="K189" i="5" s="1"/>
  <c r="D204" i="1"/>
  <c r="D205" i="1"/>
  <c r="D206" i="1"/>
  <c r="D187" i="5" s="1"/>
  <c r="D207" i="1"/>
  <c r="D188" i="5" s="1"/>
  <c r="D208" i="1"/>
  <c r="D189" i="5" s="1"/>
  <c r="D203" i="1"/>
  <c r="H191" i="1"/>
  <c r="H192" i="1"/>
  <c r="H193" i="1"/>
  <c r="D186" i="1"/>
  <c r="D187" i="1"/>
  <c r="D188" i="1"/>
  <c r="D189" i="1"/>
  <c r="D190" i="1"/>
  <c r="D191" i="1"/>
  <c r="D192" i="1"/>
  <c r="D181" i="5" s="1"/>
  <c r="D193" i="1"/>
  <c r="D185" i="1"/>
  <c r="H182" i="1"/>
  <c r="J174" i="5" s="1"/>
  <c r="H183" i="1"/>
  <c r="D179" i="1"/>
  <c r="D180" i="1"/>
  <c r="D181" i="1"/>
  <c r="D182" i="1"/>
  <c r="D174" i="5" s="1"/>
  <c r="D183" i="1"/>
  <c r="D178" i="1"/>
  <c r="N244" i="3" l="1"/>
  <c r="N228" i="3"/>
  <c r="J283" i="5"/>
  <c r="K283" i="5" s="1"/>
  <c r="J181" i="5"/>
  <c r="J282" i="5"/>
  <c r="K282" i="5" s="1"/>
  <c r="J115" i="5"/>
  <c r="J281" i="5"/>
  <c r="K281" i="5" s="1"/>
  <c r="J113" i="5"/>
  <c r="K113" i="5" s="1"/>
  <c r="J279" i="5"/>
  <c r="K279" i="5" s="1"/>
  <c r="D197" i="5"/>
  <c r="D196" i="5"/>
  <c r="D192" i="5"/>
  <c r="D193" i="5"/>
  <c r="D194" i="5"/>
  <c r="D191" i="5"/>
  <c r="D184" i="5"/>
  <c r="D185" i="5"/>
  <c r="D186" i="5"/>
  <c r="D183" i="5"/>
  <c r="D177" i="5"/>
  <c r="D178" i="5"/>
  <c r="D179" i="5"/>
  <c r="D180" i="5"/>
  <c r="D176" i="5"/>
  <c r="D172" i="5"/>
  <c r="D173" i="5"/>
  <c r="D171" i="5"/>
  <c r="C134" i="5"/>
  <c r="C162" i="5"/>
  <c r="C163" i="5"/>
  <c r="C164" i="5"/>
  <c r="C161" i="5"/>
  <c r="C152" i="5"/>
  <c r="C151" i="5"/>
  <c r="I359" i="5"/>
  <c r="J114" i="5" l="1"/>
  <c r="H269" i="1"/>
  <c r="H29" i="9" s="1"/>
  <c r="I29" i="9" s="1"/>
  <c r="D29" i="9"/>
  <c r="I365" i="5" l="1"/>
  <c r="G20" i="9"/>
  <c r="D229" i="5"/>
  <c r="J229" i="5"/>
  <c r="D230" i="5"/>
  <c r="J232" i="5"/>
  <c r="J236" i="5"/>
  <c r="J237" i="5"/>
  <c r="J238" i="5"/>
  <c r="J239" i="5"/>
  <c r="J241" i="5"/>
  <c r="J243" i="5"/>
  <c r="J244" i="5"/>
  <c r="J245" i="5"/>
  <c r="D246" i="5"/>
  <c r="J379" i="5"/>
  <c r="J374" i="5"/>
  <c r="J373" i="5"/>
  <c r="J365" i="5"/>
  <c r="J364" i="5"/>
  <c r="J359" i="5"/>
  <c r="G38" i="9"/>
  <c r="G37" i="9"/>
  <c r="G36" i="9"/>
  <c r="G35" i="9"/>
  <c r="G34" i="9"/>
  <c r="G33" i="9"/>
  <c r="G32" i="9"/>
  <c r="G31" i="9"/>
  <c r="G27" i="9"/>
  <c r="G25" i="9"/>
  <c r="G24" i="9"/>
  <c r="G23" i="9"/>
  <c r="G17" i="9"/>
  <c r="G16" i="9"/>
  <c r="I225" i="5"/>
  <c r="L225" i="5" s="1"/>
  <c r="I382" i="5"/>
  <c r="N141" i="5"/>
  <c r="E374" i="5"/>
  <c r="E375" i="5"/>
  <c r="E376" i="5"/>
  <c r="E373" i="5"/>
  <c r="D374" i="5"/>
  <c r="D375" i="5"/>
  <c r="D376" i="5"/>
  <c r="D373" i="5"/>
  <c r="C386" i="5"/>
  <c r="D386" i="5"/>
  <c r="H386" i="5"/>
  <c r="I386" i="5"/>
  <c r="C387" i="5"/>
  <c r="D387" i="5"/>
  <c r="H387" i="5"/>
  <c r="I387" i="5"/>
  <c r="C388" i="5"/>
  <c r="D388" i="5"/>
  <c r="H388" i="5"/>
  <c r="I388" i="5"/>
  <c r="I385" i="5"/>
  <c r="H385" i="5"/>
  <c r="D385" i="5"/>
  <c r="C385" i="5"/>
  <c r="I371" i="5"/>
  <c r="H371" i="5"/>
  <c r="E371" i="5"/>
  <c r="D371" i="5"/>
  <c r="D370" i="5"/>
  <c r="C370" i="5"/>
  <c r="H373" i="5"/>
  <c r="H365" i="5"/>
  <c r="H366" i="5"/>
  <c r="I366" i="5"/>
  <c r="H367" i="5"/>
  <c r="I367" i="5"/>
  <c r="H364" i="5"/>
  <c r="D365" i="5"/>
  <c r="D366" i="5"/>
  <c r="D367" i="5"/>
  <c r="D364" i="5"/>
  <c r="M64" i="10"/>
  <c r="I64" i="10"/>
  <c r="M63" i="10"/>
  <c r="I63" i="10"/>
  <c r="L62" i="10"/>
  <c r="H62" i="10"/>
  <c r="I62" i="10" s="1"/>
  <c r="L61" i="10"/>
  <c r="H61" i="10"/>
  <c r="L60" i="10"/>
  <c r="H60" i="10"/>
  <c r="I60" i="10" s="1"/>
  <c r="M59" i="10"/>
  <c r="I59" i="10"/>
  <c r="L58" i="10"/>
  <c r="H58" i="10"/>
  <c r="D58" i="10"/>
  <c r="M54" i="10"/>
  <c r="I54" i="10"/>
  <c r="M53" i="10"/>
  <c r="I53" i="10"/>
  <c r="L49" i="10"/>
  <c r="H49" i="10"/>
  <c r="J388" i="5" s="1"/>
  <c r="L48" i="10"/>
  <c r="H48" i="10"/>
  <c r="I48" i="10" s="1"/>
  <c r="L47" i="10"/>
  <c r="H47" i="10"/>
  <c r="I47" i="10" s="1"/>
  <c r="L46" i="10"/>
  <c r="H46" i="10"/>
  <c r="I46" i="10" s="1"/>
  <c r="L42" i="10"/>
  <c r="I42" i="10"/>
  <c r="L35" i="10"/>
  <c r="M35" i="10" s="1"/>
  <c r="M36" i="10" s="1"/>
  <c r="I35" i="10"/>
  <c r="I36" i="10" s="1"/>
  <c r="L31" i="10"/>
  <c r="J376" i="5"/>
  <c r="L30" i="10"/>
  <c r="J375" i="5"/>
  <c r="L29" i="10"/>
  <c r="M29" i="10" s="1"/>
  <c r="L28" i="10"/>
  <c r="M28" i="10" s="1"/>
  <c r="L26" i="10"/>
  <c r="J371" i="5"/>
  <c r="L21" i="10"/>
  <c r="L20" i="10"/>
  <c r="I20" i="10"/>
  <c r="L19" i="10"/>
  <c r="J366" i="5"/>
  <c r="M18" i="10"/>
  <c r="M17" i="10"/>
  <c r="I17" i="10"/>
  <c r="M11" i="10"/>
  <c r="M14" i="10" s="1"/>
  <c r="I11" i="10"/>
  <c r="I14" i="10" s="1"/>
  <c r="H9" i="9"/>
  <c r="I9" i="9" s="1"/>
  <c r="I11" i="9" s="1"/>
  <c r="I233" i="5" l="1"/>
  <c r="I238" i="5"/>
  <c r="I373" i="5"/>
  <c r="J385" i="5"/>
  <c r="J367" i="5"/>
  <c r="K367" i="5" s="1"/>
  <c r="J387" i="5"/>
  <c r="K387" i="5" s="1"/>
  <c r="J386" i="5"/>
  <c r="K386" i="5" s="1"/>
  <c r="I18" i="10"/>
  <c r="I240" i="5"/>
  <c r="I237" i="5"/>
  <c r="I229" i="5"/>
  <c r="I242" i="5"/>
  <c r="I234" i="5"/>
  <c r="I239" i="5"/>
  <c r="I244" i="5"/>
  <c r="I243" i="5"/>
  <c r="I245" i="5"/>
  <c r="I232" i="5"/>
  <c r="I226" i="5"/>
  <c r="I251" i="5"/>
  <c r="K365" i="5"/>
  <c r="I246" i="5"/>
  <c r="I241" i="5"/>
  <c r="I236" i="5"/>
  <c r="K366" i="5"/>
  <c r="K388" i="5"/>
  <c r="K371" i="5"/>
  <c r="M39" i="10"/>
  <c r="M58" i="10"/>
  <c r="M61" i="10"/>
  <c r="M21" i="10"/>
  <c r="M20" i="10"/>
  <c r="M30" i="10"/>
  <c r="M60" i="10"/>
  <c r="M48" i="10"/>
  <c r="M19" i="10"/>
  <c r="M22" i="10" s="1"/>
  <c r="M26" i="10"/>
  <c r="M49" i="10"/>
  <c r="I55" i="10"/>
  <c r="M31" i="10"/>
  <c r="M62" i="10"/>
  <c r="M46" i="10"/>
  <c r="M42" i="10"/>
  <c r="M43" i="10" s="1"/>
  <c r="I43" i="10"/>
  <c r="I58" i="10"/>
  <c r="I26" i="10"/>
  <c r="I19" i="10"/>
  <c r="I61" i="10"/>
  <c r="I49" i="10"/>
  <c r="M47" i="10"/>
  <c r="I21" i="10"/>
  <c r="I28" i="10" l="1"/>
  <c r="I374" i="5"/>
  <c r="I22" i="10"/>
  <c r="I65" i="10"/>
  <c r="I50" i="10"/>
  <c r="I29" i="10" l="1"/>
  <c r="I375" i="5"/>
  <c r="I376" i="5" l="1"/>
  <c r="I30" i="10"/>
  <c r="C384" i="5"/>
  <c r="B384" i="5"/>
  <c r="H382" i="5"/>
  <c r="C382" i="5"/>
  <c r="C381" i="5"/>
  <c r="B381" i="5"/>
  <c r="D379" i="5"/>
  <c r="C379" i="5"/>
  <c r="C378" i="5"/>
  <c r="B378" i="5"/>
  <c r="H376" i="5"/>
  <c r="H375" i="5"/>
  <c r="H374" i="5"/>
  <c r="D372" i="5"/>
  <c r="C372" i="5"/>
  <c r="C369" i="5"/>
  <c r="B369" i="5"/>
  <c r="C367" i="5"/>
  <c r="C366" i="5"/>
  <c r="C365" i="5"/>
  <c r="C364" i="5"/>
  <c r="C363" i="5"/>
  <c r="B363" i="5"/>
  <c r="M361" i="5"/>
  <c r="D361" i="5"/>
  <c r="C361" i="5"/>
  <c r="M360" i="5"/>
  <c r="D360" i="5"/>
  <c r="C360" i="5"/>
  <c r="H359" i="5"/>
  <c r="D359" i="5"/>
  <c r="C359" i="5"/>
  <c r="C358" i="5"/>
  <c r="B358" i="5"/>
  <c r="K376" i="5" l="1"/>
  <c r="I31" i="10"/>
  <c r="I32" i="10" s="1"/>
  <c r="I67" i="10" s="1"/>
  <c r="K364" i="5"/>
  <c r="K375" i="5"/>
  <c r="K359" i="5"/>
  <c r="K385" i="5"/>
  <c r="K373" i="5"/>
  <c r="K382" i="5"/>
  <c r="K379" i="5"/>
  <c r="K374" i="5"/>
  <c r="E6" i="7"/>
  <c r="E7" i="7"/>
  <c r="E8" i="7"/>
  <c r="E9" i="7"/>
  <c r="E10" i="7"/>
  <c r="E11" i="7"/>
  <c r="E12" i="7"/>
  <c r="E5" i="7"/>
  <c r="B6" i="7"/>
  <c r="B7" i="7"/>
  <c r="B8" i="7"/>
  <c r="B9" i="7"/>
  <c r="B10" i="7"/>
  <c r="B11" i="7"/>
  <c r="B12" i="7"/>
  <c r="B5" i="7"/>
  <c r="G23" i="7"/>
  <c r="F23" i="7"/>
  <c r="F24" i="7"/>
  <c r="F22" i="7"/>
  <c r="G24" i="7"/>
  <c r="G22" i="7"/>
  <c r="G21" i="7"/>
  <c r="F20" i="7"/>
  <c r="F19" i="7"/>
  <c r="F18" i="7"/>
  <c r="G20" i="7"/>
  <c r="G19" i="7"/>
  <c r="G18" i="7"/>
  <c r="K390" i="5" l="1"/>
  <c r="L390" i="5" s="1"/>
  <c r="H162" i="1"/>
  <c r="H161" i="1"/>
  <c r="H160" i="1"/>
  <c r="M390" i="5" l="1"/>
  <c r="I338" i="5" l="1"/>
  <c r="I340" i="5"/>
  <c r="I339" i="5"/>
  <c r="I335" i="5"/>
  <c r="I334" i="5"/>
  <c r="I333" i="5"/>
  <c r="I332" i="5"/>
  <c r="I331" i="5"/>
  <c r="I329" i="5"/>
  <c r="I328" i="5"/>
  <c r="I327" i="5"/>
  <c r="I326" i="5"/>
  <c r="I325" i="5"/>
  <c r="I318" i="5"/>
  <c r="I317" i="5"/>
  <c r="I316" i="5"/>
  <c r="I313" i="5"/>
  <c r="I312" i="5"/>
  <c r="I311" i="5"/>
  <c r="I310" i="5"/>
  <c r="I307" i="5"/>
  <c r="I304" i="5"/>
  <c r="I303" i="5"/>
  <c r="I302" i="5"/>
  <c r="I301" i="5"/>
  <c r="I298" i="5"/>
  <c r="I297" i="5"/>
  <c r="I296" i="5"/>
  <c r="C293" i="5"/>
  <c r="G67" i="5"/>
  <c r="G68" i="5"/>
  <c r="G69" i="5"/>
  <c r="G70" i="5"/>
  <c r="G71" i="5"/>
  <c r="G72" i="5"/>
  <c r="G73" i="5"/>
  <c r="G66" i="5"/>
  <c r="C36" i="5" l="1"/>
  <c r="C23" i="7" s="1"/>
  <c r="B36" i="5"/>
  <c r="B23" i="7" s="1"/>
  <c r="K38" i="5"/>
  <c r="H24" i="7" s="1"/>
  <c r="I24" i="7" s="1"/>
  <c r="C24" i="5"/>
  <c r="B24" i="5"/>
  <c r="H250" i="1"/>
  <c r="J225" i="5" s="1"/>
  <c r="N120" i="2"/>
  <c r="M120" i="2"/>
  <c r="M121" i="2"/>
  <c r="M122" i="2"/>
  <c r="M123" i="2"/>
  <c r="M124" i="2"/>
  <c r="M125" i="2"/>
  <c r="M126" i="2"/>
  <c r="M127" i="2"/>
  <c r="M128" i="2"/>
  <c r="L933" i="3"/>
  <c r="H31" i="9"/>
  <c r="I31" i="9" s="1"/>
  <c r="C34" i="5"/>
  <c r="C22" i="7" s="1"/>
  <c r="B34" i="5"/>
  <c r="B22" i="7" s="1"/>
  <c r="H272" i="1"/>
  <c r="J240" i="5" s="1"/>
  <c r="J332" i="5" l="1"/>
  <c r="H248" i="1" l="1"/>
  <c r="H285" i="1" l="1"/>
  <c r="J338" i="5" l="1"/>
  <c r="L107" i="5"/>
  <c r="D237" i="5"/>
  <c r="H28" i="9"/>
  <c r="I28" i="9" s="1"/>
  <c r="H97" i="2" l="1"/>
  <c r="H98" i="2"/>
  <c r="H99" i="2"/>
  <c r="H100" i="2"/>
  <c r="H102" i="2"/>
  <c r="K167" i="5" l="1"/>
  <c r="K166" i="5"/>
  <c r="K165" i="5"/>
  <c r="I32" i="5" l="1"/>
  <c r="F21" i="7" s="1"/>
  <c r="W32" i="7"/>
  <c r="W33" i="7"/>
  <c r="W34" i="7"/>
  <c r="W35" i="7"/>
  <c r="W40" i="7"/>
  <c r="W41" i="7"/>
  <c r="W30" i="7"/>
  <c r="C30" i="7"/>
  <c r="I352" i="5"/>
  <c r="I349" i="5"/>
  <c r="D348" i="5" l="1"/>
  <c r="D349" i="5"/>
  <c r="D350" i="5"/>
  <c r="D352" i="5"/>
  <c r="K88" i="5"/>
  <c r="C157" i="5" l="1"/>
  <c r="C158" i="5"/>
  <c r="C159" i="5"/>
  <c r="C156" i="5"/>
  <c r="K114" i="5"/>
  <c r="K104" i="5"/>
  <c r="K82" i="5"/>
  <c r="K83" i="5"/>
  <c r="K84" i="5"/>
  <c r="K85" i="5"/>
  <c r="K86" i="5"/>
  <c r="K1045" i="3" l="1"/>
  <c r="P992" i="3"/>
  <c r="P951" i="3"/>
  <c r="P929" i="3"/>
  <c r="K992" i="3"/>
  <c r="H222" i="1" l="1"/>
  <c r="H223" i="1"/>
  <c r="H266" i="1"/>
  <c r="H267" i="1"/>
  <c r="H262" i="1"/>
  <c r="H209" i="1"/>
  <c r="H254" i="1"/>
  <c r="J329" i="5" s="1"/>
  <c r="R127" i="2"/>
  <c r="H167" i="1"/>
  <c r="H168" i="1"/>
  <c r="H169" i="1"/>
  <c r="H170" i="1"/>
  <c r="H171" i="1"/>
  <c r="J138" i="5" s="1"/>
  <c r="K138" i="5" s="1"/>
  <c r="H172" i="1"/>
  <c r="J110" i="5" s="1"/>
  <c r="K110" i="5" s="1"/>
  <c r="H173" i="1"/>
  <c r="H174" i="1"/>
  <c r="J276" i="5" s="1"/>
  <c r="K276" i="5" s="1"/>
  <c r="H175" i="1"/>
  <c r="H176" i="1"/>
  <c r="H163" i="1"/>
  <c r="J134" i="5" s="1"/>
  <c r="H164" i="1"/>
  <c r="H165" i="1"/>
  <c r="H166" i="1"/>
  <c r="I135" i="5"/>
  <c r="I157" i="5" s="1"/>
  <c r="I136" i="5"/>
  <c r="I158" i="5" s="1"/>
  <c r="I137" i="5"/>
  <c r="I134" i="5"/>
  <c r="H123" i="1"/>
  <c r="H124" i="1"/>
  <c r="H125" i="1"/>
  <c r="H126" i="1"/>
  <c r="H127" i="1"/>
  <c r="H128" i="1"/>
  <c r="H129" i="1"/>
  <c r="H130" i="1"/>
  <c r="H122" i="1"/>
  <c r="K50" i="3"/>
  <c r="K112" i="3" s="1"/>
  <c r="I128" i="2"/>
  <c r="J280" i="5" l="1"/>
  <c r="K280" i="5" s="1"/>
  <c r="K140" i="5"/>
  <c r="J275" i="5"/>
  <c r="K275" i="5" s="1"/>
  <c r="K139" i="5"/>
  <c r="I156" i="5"/>
  <c r="M141" i="5"/>
  <c r="I159" i="5"/>
  <c r="L159" i="5" s="1"/>
  <c r="L203" i="5"/>
  <c r="M171" i="3"/>
  <c r="K187" i="3"/>
  <c r="M187" i="3" s="1"/>
  <c r="J226" i="5"/>
  <c r="H17" i="9" s="1"/>
  <c r="I17" i="9" s="1"/>
  <c r="G215" i="5"/>
  <c r="G214" i="5"/>
  <c r="G213" i="5"/>
  <c r="G212" i="5"/>
  <c r="L141" i="5"/>
  <c r="M197" i="3" l="1"/>
  <c r="N187" i="3"/>
  <c r="M180" i="3"/>
  <c r="N171" i="3"/>
  <c r="O1233" i="3"/>
  <c r="O1217" i="3"/>
  <c r="O1249" i="3"/>
  <c r="O1266" i="3"/>
  <c r="K478" i="3"/>
  <c r="C26" i="1"/>
  <c r="K476" i="3"/>
  <c r="L476" i="3" s="1"/>
  <c r="N476" i="3" s="1"/>
  <c r="K475" i="3"/>
  <c r="L475" i="3" s="1"/>
  <c r="N475" i="3" s="1"/>
  <c r="J25" i="2"/>
  <c r="K25" i="2" s="1"/>
  <c r="K474" i="3"/>
  <c r="L474" i="3" s="1"/>
  <c r="N474" i="3" s="1"/>
  <c r="K473" i="3"/>
  <c r="L473" i="3" s="1"/>
  <c r="K472" i="3"/>
  <c r="M472" i="3" s="1"/>
  <c r="N472" i="3" s="1"/>
  <c r="K471" i="3"/>
  <c r="M471" i="3" s="1"/>
  <c r="N471" i="3" s="1"/>
  <c r="K470" i="3"/>
  <c r="M470" i="3" s="1"/>
  <c r="N470" i="3" s="1"/>
  <c r="A469" i="3"/>
  <c r="J481" i="3"/>
  <c r="K481" i="3"/>
  <c r="K493" i="3" s="1"/>
  <c r="K482" i="3"/>
  <c r="M482" i="3" s="1"/>
  <c r="N482" i="3" s="1"/>
  <c r="K1299" i="3"/>
  <c r="K1308" i="3" s="1"/>
  <c r="K1317" i="3" s="1"/>
  <c r="K1303" i="3"/>
  <c r="M1303" i="3" s="1"/>
  <c r="N1303" i="3" s="1"/>
  <c r="K1294" i="3"/>
  <c r="M1294" i="3" s="1"/>
  <c r="N1294" i="3" s="1"/>
  <c r="K1284" i="3"/>
  <c r="M1284" i="3" s="1"/>
  <c r="N1284" i="3" s="1"/>
  <c r="L1306" i="3"/>
  <c r="L1307" i="3" s="1"/>
  <c r="L1297" i="3"/>
  <c r="L1298" i="3" s="1"/>
  <c r="K1295" i="3"/>
  <c r="M1295" i="3" s="1"/>
  <c r="N1295" i="3" s="1"/>
  <c r="L1287" i="3"/>
  <c r="L1288" i="3" s="1"/>
  <c r="M1285" i="3"/>
  <c r="N1285" i="3" s="1"/>
  <c r="H151" i="1"/>
  <c r="H152" i="1"/>
  <c r="H154" i="1"/>
  <c r="H150" i="1"/>
  <c r="H76" i="1"/>
  <c r="H77" i="1"/>
  <c r="H78" i="1"/>
  <c r="H79" i="1"/>
  <c r="K312" i="3" s="1"/>
  <c r="H80" i="1"/>
  <c r="G77" i="1"/>
  <c r="G78" i="1"/>
  <c r="G79" i="1"/>
  <c r="G80" i="1"/>
  <c r="G76" i="1"/>
  <c r="C77" i="1"/>
  <c r="C78" i="1"/>
  <c r="C79" i="1"/>
  <c r="C80" i="1"/>
  <c r="C76" i="1"/>
  <c r="M493" i="3" l="1"/>
  <c r="N493" i="3" s="1"/>
  <c r="K506" i="3"/>
  <c r="M506" i="3" s="1"/>
  <c r="N506" i="3" s="1"/>
  <c r="L477" i="3"/>
  <c r="M477" i="3"/>
  <c r="N473" i="3"/>
  <c r="N477" i="3" s="1"/>
  <c r="N478" i="3" s="1"/>
  <c r="M481" i="3"/>
  <c r="N481" i="3" s="1"/>
  <c r="N1287" i="3"/>
  <c r="N1306" i="3"/>
  <c r="N1297" i="3"/>
  <c r="K1304" i="3"/>
  <c r="M1304" i="3" l="1"/>
  <c r="N1304" i="3" s="1"/>
  <c r="K1313" i="3"/>
  <c r="M1313" i="3" s="1"/>
  <c r="N1313" i="3" s="1"/>
  <c r="N479" i="3"/>
  <c r="H26" i="1" s="1"/>
  <c r="J270" i="5" s="1"/>
  <c r="K270" i="5" s="1"/>
  <c r="K386" i="3" l="1"/>
  <c r="K393" i="3" s="1"/>
  <c r="K400" i="3" s="1"/>
  <c r="K1142" i="3"/>
  <c r="K1150" i="3" s="1"/>
  <c r="K1158" i="3" s="1"/>
  <c r="K1166" i="3" s="1"/>
  <c r="K1174" i="3" s="1"/>
  <c r="D234" i="5"/>
  <c r="H263" i="1"/>
  <c r="J1203" i="3"/>
  <c r="J1219" i="3"/>
  <c r="J1227" i="3" s="1"/>
  <c r="J1241" i="3"/>
  <c r="J1235" i="3"/>
  <c r="J1243" i="3" s="1"/>
  <c r="J1251" i="3"/>
  <c r="J1260" i="3" s="1"/>
  <c r="J1258" i="3"/>
  <c r="J1268" i="3"/>
  <c r="J1276" i="3" s="1"/>
  <c r="J1274" i="3"/>
  <c r="O1201" i="3"/>
  <c r="K200" i="5"/>
  <c r="K195" i="5"/>
  <c r="K190" i="5"/>
  <c r="K182" i="5"/>
  <c r="K175" i="5"/>
  <c r="K144" i="5"/>
  <c r="K143" i="5"/>
  <c r="K131" i="5"/>
  <c r="K81" i="5"/>
  <c r="C32" i="5"/>
  <c r="C21" i="7" s="1"/>
  <c r="B32" i="5"/>
  <c r="B21" i="7" s="1"/>
  <c r="C28" i="5"/>
  <c r="C20" i="7" s="1"/>
  <c r="B28" i="5"/>
  <c r="B20" i="7" s="1"/>
  <c r="C38" i="5"/>
  <c r="B38" i="5"/>
  <c r="C22" i="5"/>
  <c r="C18" i="7" s="1"/>
  <c r="B22" i="5"/>
  <c r="B18" i="7" s="1"/>
  <c r="K121" i="2"/>
  <c r="K122" i="2"/>
  <c r="K123" i="2"/>
  <c r="K124" i="2"/>
  <c r="K125" i="2"/>
  <c r="K126" i="2"/>
  <c r="K127" i="2"/>
  <c r="K120" i="2"/>
  <c r="H251" i="1"/>
  <c r="H252" i="1"/>
  <c r="H253" i="1"/>
  <c r="I121" i="2"/>
  <c r="I122" i="2"/>
  <c r="I123" i="2"/>
  <c r="I124" i="2"/>
  <c r="I125" i="2"/>
  <c r="I126" i="2"/>
  <c r="I127" i="2"/>
  <c r="I120" i="2"/>
  <c r="J234" i="5" l="1"/>
  <c r="H25" i="9" s="1"/>
  <c r="I25" i="9" s="1"/>
  <c r="C19" i="7"/>
  <c r="C24" i="7"/>
  <c r="B19" i="7"/>
  <c r="B24" i="7"/>
  <c r="B212" i="5"/>
  <c r="B216" i="5"/>
  <c r="B209" i="5"/>
  <c r="B213" i="5"/>
  <c r="B210" i="5"/>
  <c r="B214" i="5"/>
  <c r="G210" i="5"/>
  <c r="B211" i="5"/>
  <c r="B215" i="5"/>
  <c r="G216" i="5"/>
  <c r="G209" i="5"/>
  <c r="G211" i="5"/>
  <c r="K134" i="5"/>
  <c r="I102" i="2" l="1"/>
  <c r="I100" i="2"/>
  <c r="I99" i="2"/>
  <c r="I98" i="2"/>
  <c r="I97" i="2"/>
  <c r="I21" i="2"/>
  <c r="I22" i="2" s="1"/>
  <c r="I23" i="2" s="1"/>
  <c r="K711" i="3" l="1"/>
  <c r="K698" i="3"/>
  <c r="K685" i="3"/>
  <c r="M713" i="3" l="1"/>
  <c r="N713" i="3" s="1"/>
  <c r="M711" i="3"/>
  <c r="N711" i="3" s="1"/>
  <c r="M700" i="3"/>
  <c r="N700" i="3" s="1"/>
  <c r="M698" i="3"/>
  <c r="N698" i="3" s="1"/>
  <c r="K712" i="3"/>
  <c r="M712" i="3" s="1"/>
  <c r="N712" i="3" s="1"/>
  <c r="K699" i="3"/>
  <c r="M699" i="3" s="1"/>
  <c r="N699" i="3" s="1"/>
  <c r="M687" i="3"/>
  <c r="N687" i="3" s="1"/>
  <c r="M685" i="3"/>
  <c r="N685" i="3" s="1"/>
  <c r="K686" i="3"/>
  <c r="M686" i="3" s="1"/>
  <c r="N686" i="3" s="1"/>
  <c r="K902" i="3"/>
  <c r="M902" i="3" s="1"/>
  <c r="K688" i="3"/>
  <c r="L688" i="3" s="1"/>
  <c r="K689" i="3"/>
  <c r="L689" i="3" s="1"/>
  <c r="N689" i="3" s="1"/>
  <c r="R690" i="3"/>
  <c r="S690" i="3"/>
  <c r="T690" i="3"/>
  <c r="U690" i="3"/>
  <c r="V690" i="3"/>
  <c r="W690" i="3"/>
  <c r="X690" i="3"/>
  <c r="Y690" i="3"/>
  <c r="Z690" i="3"/>
  <c r="AA690" i="3"/>
  <c r="AB690" i="3"/>
  <c r="AC690" i="3"/>
  <c r="K691" i="3"/>
  <c r="L691" i="3" s="1"/>
  <c r="N691" i="3" s="1"/>
  <c r="K696" i="3"/>
  <c r="M696" i="3" s="1"/>
  <c r="K697" i="3"/>
  <c r="M697" i="3" s="1"/>
  <c r="N697" i="3" s="1"/>
  <c r="R699" i="3"/>
  <c r="S699" i="3"/>
  <c r="T699" i="3"/>
  <c r="U699" i="3"/>
  <c r="V699" i="3"/>
  <c r="W699" i="3"/>
  <c r="X699" i="3"/>
  <c r="Y699" i="3"/>
  <c r="Z699" i="3"/>
  <c r="AA699" i="3"/>
  <c r="AB699" i="3"/>
  <c r="AC699" i="3"/>
  <c r="K701" i="3"/>
  <c r="L701" i="3" s="1"/>
  <c r="N701" i="3" s="1"/>
  <c r="K702" i="3"/>
  <c r="L702" i="3" s="1"/>
  <c r="P703" i="3"/>
  <c r="K704" i="3"/>
  <c r="L704" i="3" s="1"/>
  <c r="N704" i="3" s="1"/>
  <c r="K709" i="3"/>
  <c r="M709" i="3" s="1"/>
  <c r="N709" i="3" s="1"/>
  <c r="K710" i="3"/>
  <c r="M710" i="3" s="1"/>
  <c r="N710" i="3" s="1"/>
  <c r="N902" i="3" l="1"/>
  <c r="M907" i="3"/>
  <c r="N688" i="3"/>
  <c r="N702" i="3"/>
  <c r="M705" i="3"/>
  <c r="N696" i="3"/>
  <c r="K1129" i="3"/>
  <c r="L1129" i="3" s="1"/>
  <c r="N1129" i="3" s="1"/>
  <c r="K1119" i="3"/>
  <c r="L1119" i="3" s="1"/>
  <c r="N1119" i="3" s="1"/>
  <c r="K1109" i="3"/>
  <c r="L1109" i="3" s="1"/>
  <c r="N1109" i="3" s="1"/>
  <c r="K1099" i="3"/>
  <c r="L1099" i="3" s="1"/>
  <c r="N1099" i="3" s="1"/>
  <c r="K1089" i="3"/>
  <c r="L1089" i="3" s="1"/>
  <c r="N1089" i="3" s="1"/>
  <c r="K1079" i="3"/>
  <c r="L1079" i="3" s="1"/>
  <c r="N1079" i="3" s="1"/>
  <c r="K1069" i="3"/>
  <c r="L1069" i="3" s="1"/>
  <c r="N1069" i="3" s="1"/>
  <c r="M1061" i="3"/>
  <c r="N1061" i="3" s="1"/>
  <c r="K1059" i="3"/>
  <c r="L1059" i="3" s="1"/>
  <c r="N1059" i="3" s="1"/>
  <c r="K906" i="3"/>
  <c r="L906" i="3" s="1"/>
  <c r="N906" i="3" s="1"/>
  <c r="K684" i="3"/>
  <c r="M684" i="3" s="1"/>
  <c r="N684" i="3" s="1"/>
  <c r="K683" i="3"/>
  <c r="M683" i="3" s="1"/>
  <c r="K663" i="3"/>
  <c r="K662" i="3"/>
  <c r="K674" i="3"/>
  <c r="M674" i="3" s="1"/>
  <c r="N674" i="3" s="1"/>
  <c r="K673" i="3"/>
  <c r="M673" i="3" s="1"/>
  <c r="J640" i="3"/>
  <c r="J639" i="3"/>
  <c r="J628" i="3"/>
  <c r="J627" i="3"/>
  <c r="J616" i="3"/>
  <c r="J615" i="3"/>
  <c r="J604" i="3"/>
  <c r="J603" i="3"/>
  <c r="J592" i="3"/>
  <c r="J591" i="3"/>
  <c r="J580" i="3"/>
  <c r="J579" i="3"/>
  <c r="J568" i="3"/>
  <c r="J567" i="3"/>
  <c r="J556" i="3"/>
  <c r="J555" i="3"/>
  <c r="J544" i="3"/>
  <c r="J543" i="3"/>
  <c r="J532" i="3"/>
  <c r="J531" i="3"/>
  <c r="J520" i="3"/>
  <c r="J519" i="3"/>
  <c r="J638" i="3"/>
  <c r="J626" i="3"/>
  <c r="J614" i="3"/>
  <c r="J602" i="3"/>
  <c r="J590" i="3"/>
  <c r="J578" i="3"/>
  <c r="J566" i="3"/>
  <c r="J554" i="3"/>
  <c r="J542" i="3"/>
  <c r="J530" i="3"/>
  <c r="J518" i="3"/>
  <c r="J1132" i="3"/>
  <c r="K1130" i="3"/>
  <c r="L1130" i="3" s="1"/>
  <c r="N1130" i="3" s="1"/>
  <c r="K1128" i="3"/>
  <c r="L1128" i="3" s="1"/>
  <c r="N1128" i="3" s="1"/>
  <c r="J1122" i="3"/>
  <c r="K1120" i="3"/>
  <c r="L1120" i="3" s="1"/>
  <c r="N1120" i="3" s="1"/>
  <c r="K1118" i="3"/>
  <c r="L1118" i="3" s="1"/>
  <c r="N1118" i="3" s="1"/>
  <c r="J1112" i="3"/>
  <c r="K1110" i="3"/>
  <c r="L1110" i="3" s="1"/>
  <c r="N1110" i="3" s="1"/>
  <c r="K1108" i="3"/>
  <c r="L1108" i="3" s="1"/>
  <c r="N1108" i="3" s="1"/>
  <c r="J1102" i="3"/>
  <c r="K1100" i="3"/>
  <c r="L1100" i="3" s="1"/>
  <c r="N1100" i="3" s="1"/>
  <c r="K1098" i="3"/>
  <c r="L1098" i="3" s="1"/>
  <c r="N1098" i="3" s="1"/>
  <c r="J1092" i="3"/>
  <c r="K1090" i="3"/>
  <c r="L1090" i="3" s="1"/>
  <c r="N1090" i="3" s="1"/>
  <c r="K1088" i="3"/>
  <c r="L1088" i="3" s="1"/>
  <c r="N1088" i="3" s="1"/>
  <c r="J1082" i="3"/>
  <c r="K1080" i="3"/>
  <c r="L1080" i="3" s="1"/>
  <c r="N1080" i="3" s="1"/>
  <c r="K1078" i="3"/>
  <c r="L1078" i="3" s="1"/>
  <c r="N1078" i="3" s="1"/>
  <c r="J1072" i="3"/>
  <c r="K1070" i="3"/>
  <c r="L1070" i="3" s="1"/>
  <c r="N1070" i="3" s="1"/>
  <c r="K1068" i="3"/>
  <c r="L1068" i="3" s="1"/>
  <c r="N1068" i="3" s="1"/>
  <c r="J1062" i="3"/>
  <c r="M1062" i="3" s="1"/>
  <c r="N1062" i="3" s="1"/>
  <c r="K717" i="3"/>
  <c r="L717" i="3" s="1"/>
  <c r="N717" i="3" s="1"/>
  <c r="K715" i="3"/>
  <c r="L715" i="3" s="1"/>
  <c r="N715" i="3" s="1"/>
  <c r="K714" i="3"/>
  <c r="L714" i="3" s="1"/>
  <c r="N714" i="3" s="1"/>
  <c r="K678" i="3"/>
  <c r="L678" i="3" s="1"/>
  <c r="N678" i="3" s="1"/>
  <c r="K676" i="3"/>
  <c r="L676" i="3" s="1"/>
  <c r="N676" i="3" s="1"/>
  <c r="K675" i="3"/>
  <c r="L675" i="3" s="1"/>
  <c r="N675" i="3" s="1"/>
  <c r="K645" i="3"/>
  <c r="L645" i="3" s="1"/>
  <c r="N645" i="3" s="1"/>
  <c r="K644" i="3"/>
  <c r="L644" i="3" s="1"/>
  <c r="N644" i="3" s="1"/>
  <c r="K643" i="3"/>
  <c r="L643" i="3" s="1"/>
  <c r="N643" i="3" s="1"/>
  <c r="K642" i="3"/>
  <c r="L642" i="3" s="1"/>
  <c r="N642" i="3" s="1"/>
  <c r="K641" i="3"/>
  <c r="L641" i="3" s="1"/>
  <c r="N641" i="3" s="1"/>
  <c r="K640" i="3"/>
  <c r="K639" i="3"/>
  <c r="K638" i="3"/>
  <c r="K633" i="3"/>
  <c r="L633" i="3" s="1"/>
  <c r="N633" i="3" s="1"/>
  <c r="K632" i="3"/>
  <c r="L632" i="3" s="1"/>
  <c r="N632" i="3" s="1"/>
  <c r="K631" i="3"/>
  <c r="L631" i="3" s="1"/>
  <c r="N631" i="3" s="1"/>
  <c r="K630" i="3"/>
  <c r="L630" i="3" s="1"/>
  <c r="K629" i="3"/>
  <c r="L629" i="3" s="1"/>
  <c r="K628" i="3"/>
  <c r="K627" i="3"/>
  <c r="K626" i="3"/>
  <c r="K621" i="3"/>
  <c r="L621" i="3" s="1"/>
  <c r="N621" i="3" s="1"/>
  <c r="K620" i="3"/>
  <c r="L620" i="3" s="1"/>
  <c r="N620" i="3" s="1"/>
  <c r="K619" i="3"/>
  <c r="L619" i="3" s="1"/>
  <c r="N619" i="3" s="1"/>
  <c r="K618" i="3"/>
  <c r="L618" i="3" s="1"/>
  <c r="K617" i="3"/>
  <c r="L617" i="3" s="1"/>
  <c r="N617" i="3" s="1"/>
  <c r="K616" i="3"/>
  <c r="K615" i="3"/>
  <c r="K614" i="3"/>
  <c r="K609" i="3"/>
  <c r="L609" i="3" s="1"/>
  <c r="N609" i="3" s="1"/>
  <c r="K608" i="3"/>
  <c r="L608" i="3" s="1"/>
  <c r="N608" i="3" s="1"/>
  <c r="K607" i="3"/>
  <c r="L607" i="3" s="1"/>
  <c r="N607" i="3" s="1"/>
  <c r="K606" i="3"/>
  <c r="L606" i="3" s="1"/>
  <c r="N606" i="3" s="1"/>
  <c r="K605" i="3"/>
  <c r="L605" i="3" s="1"/>
  <c r="N605" i="3" s="1"/>
  <c r="K604" i="3"/>
  <c r="K603" i="3"/>
  <c r="K602" i="3"/>
  <c r="K597" i="3"/>
  <c r="L597" i="3" s="1"/>
  <c r="N597" i="3" s="1"/>
  <c r="K596" i="3"/>
  <c r="L596" i="3" s="1"/>
  <c r="N596" i="3" s="1"/>
  <c r="K595" i="3"/>
  <c r="L595" i="3" s="1"/>
  <c r="N595" i="3" s="1"/>
  <c r="K594" i="3"/>
  <c r="L594" i="3" s="1"/>
  <c r="N594" i="3" s="1"/>
  <c r="K593" i="3"/>
  <c r="L593" i="3" s="1"/>
  <c r="N593" i="3" s="1"/>
  <c r="K592" i="3"/>
  <c r="K591" i="3"/>
  <c r="K590" i="3"/>
  <c r="K585" i="3"/>
  <c r="L585" i="3" s="1"/>
  <c r="N585" i="3" s="1"/>
  <c r="K584" i="3"/>
  <c r="L584" i="3" s="1"/>
  <c r="N584" i="3" s="1"/>
  <c r="K583" i="3"/>
  <c r="L583" i="3" s="1"/>
  <c r="N583" i="3" s="1"/>
  <c r="K582" i="3"/>
  <c r="L582" i="3" s="1"/>
  <c r="N582" i="3" s="1"/>
  <c r="K581" i="3"/>
  <c r="L581" i="3" s="1"/>
  <c r="K580" i="3"/>
  <c r="K579" i="3"/>
  <c r="K578" i="3"/>
  <c r="K573" i="3"/>
  <c r="L573" i="3" s="1"/>
  <c r="N573" i="3" s="1"/>
  <c r="K572" i="3"/>
  <c r="L572" i="3" s="1"/>
  <c r="N572" i="3" s="1"/>
  <c r="K571" i="3"/>
  <c r="L571" i="3" s="1"/>
  <c r="N571" i="3" s="1"/>
  <c r="K570" i="3"/>
  <c r="L570" i="3" s="1"/>
  <c r="N570" i="3" s="1"/>
  <c r="K569" i="3"/>
  <c r="L569" i="3" s="1"/>
  <c r="N569" i="3" s="1"/>
  <c r="K568" i="3"/>
  <c r="K567" i="3"/>
  <c r="K566" i="3"/>
  <c r="K561" i="3"/>
  <c r="L561" i="3" s="1"/>
  <c r="N561" i="3" s="1"/>
  <c r="K560" i="3"/>
  <c r="L560" i="3" s="1"/>
  <c r="N560" i="3" s="1"/>
  <c r="K559" i="3"/>
  <c r="L559" i="3" s="1"/>
  <c r="N559" i="3" s="1"/>
  <c r="K558" i="3"/>
  <c r="L558" i="3" s="1"/>
  <c r="N558" i="3" s="1"/>
  <c r="K557" i="3"/>
  <c r="L557" i="3" s="1"/>
  <c r="K556" i="3"/>
  <c r="K555" i="3"/>
  <c r="K554" i="3"/>
  <c r="K549" i="3"/>
  <c r="L549" i="3" s="1"/>
  <c r="N549" i="3" s="1"/>
  <c r="K548" i="3"/>
  <c r="L548" i="3" s="1"/>
  <c r="N548" i="3" s="1"/>
  <c r="K547" i="3"/>
  <c r="L547" i="3" s="1"/>
  <c r="N547" i="3" s="1"/>
  <c r="K546" i="3"/>
  <c r="L546" i="3" s="1"/>
  <c r="N546" i="3" s="1"/>
  <c r="K545" i="3"/>
  <c r="L545" i="3" s="1"/>
  <c r="N545" i="3" s="1"/>
  <c r="K544" i="3"/>
  <c r="K543" i="3"/>
  <c r="K542" i="3"/>
  <c r="M544" i="3" l="1"/>
  <c r="N544" i="3" s="1"/>
  <c r="M592" i="3"/>
  <c r="N592" i="3" s="1"/>
  <c r="M640" i="3"/>
  <c r="N640" i="3" s="1"/>
  <c r="M616" i="3"/>
  <c r="N616" i="3" s="1"/>
  <c r="M568" i="3"/>
  <c r="N568" i="3" s="1"/>
  <c r="M555" i="3"/>
  <c r="N555" i="3" s="1"/>
  <c r="M603" i="3"/>
  <c r="N603" i="3" s="1"/>
  <c r="M627" i="3"/>
  <c r="N627" i="3" s="1"/>
  <c r="M556" i="3"/>
  <c r="N556" i="3" s="1"/>
  <c r="M580" i="3"/>
  <c r="N580" i="3" s="1"/>
  <c r="M604" i="3"/>
  <c r="N604" i="3" s="1"/>
  <c r="M628" i="3"/>
  <c r="N628" i="3" s="1"/>
  <c r="N629" i="3"/>
  <c r="L634" i="3"/>
  <c r="M692" i="3"/>
  <c r="M554" i="3"/>
  <c r="N554" i="3" s="1"/>
  <c r="M602" i="3"/>
  <c r="N602" i="3" s="1"/>
  <c r="M543" i="3"/>
  <c r="N543" i="3" s="1"/>
  <c r="M567" i="3"/>
  <c r="N567" i="3" s="1"/>
  <c r="M566" i="3"/>
  <c r="N566" i="3" s="1"/>
  <c r="M542" i="3"/>
  <c r="N542" i="3" s="1"/>
  <c r="M578" i="3"/>
  <c r="N578" i="3" s="1"/>
  <c r="M590" i="3"/>
  <c r="N590" i="3" s="1"/>
  <c r="M638" i="3"/>
  <c r="N638" i="3" s="1"/>
  <c r="M614" i="3"/>
  <c r="N614" i="3" s="1"/>
  <c r="M626" i="3"/>
  <c r="M591" i="3"/>
  <c r="N591" i="3" s="1"/>
  <c r="M615" i="3"/>
  <c r="N615" i="3" s="1"/>
  <c r="M639" i="3"/>
  <c r="N639" i="3" s="1"/>
  <c r="M579" i="3"/>
  <c r="N579" i="3" s="1"/>
  <c r="M718" i="3"/>
  <c r="N683" i="3"/>
  <c r="M679" i="3"/>
  <c r="N673" i="3"/>
  <c r="L646" i="3"/>
  <c r="N630" i="3"/>
  <c r="N618" i="3"/>
  <c r="L622" i="3"/>
  <c r="L610" i="3"/>
  <c r="L598" i="3"/>
  <c r="L586" i="3"/>
  <c r="N581" i="3"/>
  <c r="L574" i="3"/>
  <c r="N557" i="3"/>
  <c r="L562" i="3"/>
  <c r="L550" i="3"/>
  <c r="I386" i="3"/>
  <c r="I393" i="3" s="1"/>
  <c r="I400" i="3" s="1"/>
  <c r="C386" i="3"/>
  <c r="C393" i="3" s="1"/>
  <c r="C400" i="3" s="1"/>
  <c r="M610" i="3" l="1"/>
  <c r="M634" i="3"/>
  <c r="N610" i="3"/>
  <c r="N646" i="3"/>
  <c r="M562" i="3"/>
  <c r="M598" i="3"/>
  <c r="M550" i="3"/>
  <c r="N550" i="3"/>
  <c r="N574" i="3"/>
  <c r="M574" i="3"/>
  <c r="N598" i="3"/>
  <c r="M622" i="3"/>
  <c r="M646" i="3"/>
  <c r="M586" i="3"/>
  <c r="K746" i="3" s="1"/>
  <c r="N626" i="3"/>
  <c r="N634" i="3" s="1"/>
  <c r="N586" i="3"/>
  <c r="N622" i="3"/>
  <c r="N562" i="3"/>
  <c r="O656" i="3" s="1"/>
  <c r="L400" i="3"/>
  <c r="N400" i="3" s="1"/>
  <c r="K399" i="3"/>
  <c r="L399" i="3" s="1"/>
  <c r="N399" i="3" s="1"/>
  <c r="K398" i="3"/>
  <c r="L398" i="3" s="1"/>
  <c r="N398" i="3" s="1"/>
  <c r="L393" i="3"/>
  <c r="N393" i="3" s="1"/>
  <c r="K392" i="3"/>
  <c r="L392" i="3" s="1"/>
  <c r="N392" i="3" s="1"/>
  <c r="K391" i="3"/>
  <c r="L391" i="3" s="1"/>
  <c r="L386" i="3"/>
  <c r="N386" i="3" s="1"/>
  <c r="K385" i="3"/>
  <c r="L385" i="3" s="1"/>
  <c r="N385" i="3" s="1"/>
  <c r="K384" i="3"/>
  <c r="L384" i="3" s="1"/>
  <c r="N384" i="3" s="1"/>
  <c r="AC900" i="3"/>
  <c r="AB900" i="3"/>
  <c r="AA900" i="3"/>
  <c r="Z900" i="3"/>
  <c r="Y900" i="3"/>
  <c r="X900" i="3"/>
  <c r="W900" i="3"/>
  <c r="V900" i="3"/>
  <c r="U900" i="3"/>
  <c r="T900" i="3"/>
  <c r="S900" i="3"/>
  <c r="R900" i="3"/>
  <c r="J1277" i="3"/>
  <c r="P895" i="3"/>
  <c r="AC892" i="3"/>
  <c r="AB892" i="3"/>
  <c r="AA892" i="3"/>
  <c r="Z892" i="3"/>
  <c r="Y892" i="3"/>
  <c r="X892" i="3"/>
  <c r="W892" i="3"/>
  <c r="V892" i="3"/>
  <c r="U892" i="3"/>
  <c r="T892" i="3"/>
  <c r="S892" i="3"/>
  <c r="R892" i="3"/>
  <c r="J1269" i="3"/>
  <c r="P887" i="3"/>
  <c r="AC884" i="3"/>
  <c r="AB884" i="3"/>
  <c r="AA884" i="3"/>
  <c r="Z884" i="3"/>
  <c r="Y884" i="3"/>
  <c r="X884" i="3"/>
  <c r="W884" i="3"/>
  <c r="V884" i="3"/>
  <c r="U884" i="3"/>
  <c r="T884" i="3"/>
  <c r="S884" i="3"/>
  <c r="R884" i="3"/>
  <c r="J1261" i="3"/>
  <c r="P879" i="3"/>
  <c r="AC875" i="3"/>
  <c r="AB875" i="3"/>
  <c r="AA875" i="3"/>
  <c r="Z875" i="3"/>
  <c r="Y875" i="3"/>
  <c r="X875" i="3"/>
  <c r="W875" i="3"/>
  <c r="V875" i="3"/>
  <c r="U875" i="3"/>
  <c r="T875" i="3"/>
  <c r="S875" i="3"/>
  <c r="R875" i="3"/>
  <c r="J1252" i="3"/>
  <c r="P870" i="3"/>
  <c r="AC867" i="3"/>
  <c r="AB867" i="3"/>
  <c r="AA867" i="3"/>
  <c r="Z867" i="3"/>
  <c r="Y867" i="3"/>
  <c r="X867" i="3"/>
  <c r="W867" i="3"/>
  <c r="V867" i="3"/>
  <c r="U867" i="3"/>
  <c r="T867" i="3"/>
  <c r="S867" i="3"/>
  <c r="R867" i="3"/>
  <c r="J1244" i="3"/>
  <c r="P862" i="3"/>
  <c r="AC859" i="3"/>
  <c r="AB859" i="3"/>
  <c r="AA859" i="3"/>
  <c r="Z859" i="3"/>
  <c r="Y859" i="3"/>
  <c r="X859" i="3"/>
  <c r="W859" i="3"/>
  <c r="V859" i="3"/>
  <c r="U859" i="3"/>
  <c r="T859" i="3"/>
  <c r="S859" i="3"/>
  <c r="R859" i="3"/>
  <c r="J1236" i="3"/>
  <c r="P854" i="3"/>
  <c r="AC851" i="3"/>
  <c r="AB851" i="3"/>
  <c r="AA851" i="3"/>
  <c r="Z851" i="3"/>
  <c r="Y851" i="3"/>
  <c r="X851" i="3"/>
  <c r="W851" i="3"/>
  <c r="V851" i="3"/>
  <c r="U851" i="3"/>
  <c r="T851" i="3"/>
  <c r="S851" i="3"/>
  <c r="R851" i="3"/>
  <c r="J1225" i="3"/>
  <c r="J1228" i="3" s="1"/>
  <c r="P846" i="3"/>
  <c r="AC843" i="3"/>
  <c r="AB843" i="3"/>
  <c r="AA843" i="3"/>
  <c r="Z843" i="3"/>
  <c r="Y843" i="3"/>
  <c r="X843" i="3"/>
  <c r="W843" i="3"/>
  <c r="V843" i="3"/>
  <c r="U843" i="3"/>
  <c r="T843" i="3"/>
  <c r="S843" i="3"/>
  <c r="R843" i="3"/>
  <c r="J1220" i="3"/>
  <c r="P838" i="3"/>
  <c r="AC835" i="3"/>
  <c r="AB835" i="3"/>
  <c r="AA835" i="3"/>
  <c r="Z835" i="3"/>
  <c r="Y835" i="3"/>
  <c r="X835" i="3"/>
  <c r="W835" i="3"/>
  <c r="V835" i="3"/>
  <c r="U835" i="3"/>
  <c r="T835" i="3"/>
  <c r="S835" i="3"/>
  <c r="R835" i="3"/>
  <c r="J1211" i="3"/>
  <c r="J1210" i="3"/>
  <c r="J1209" i="3"/>
  <c r="P830" i="3"/>
  <c r="AC827" i="3"/>
  <c r="AB827" i="3"/>
  <c r="AA827" i="3"/>
  <c r="Z827" i="3"/>
  <c r="Y827" i="3"/>
  <c r="X827" i="3"/>
  <c r="W827" i="3"/>
  <c r="V827" i="3"/>
  <c r="U827" i="3"/>
  <c r="T827" i="3"/>
  <c r="S827" i="3"/>
  <c r="R827" i="3"/>
  <c r="J1204" i="3"/>
  <c r="J1212" i="3" s="1"/>
  <c r="P822" i="3"/>
  <c r="AC812" i="3"/>
  <c r="AB812" i="3"/>
  <c r="AA812" i="3"/>
  <c r="Z812" i="3"/>
  <c r="Y812" i="3"/>
  <c r="X812" i="3"/>
  <c r="W812" i="3"/>
  <c r="V812" i="3"/>
  <c r="U812" i="3"/>
  <c r="T812" i="3"/>
  <c r="S812" i="3"/>
  <c r="R812" i="3"/>
  <c r="J1188" i="3"/>
  <c r="J1187" i="3"/>
  <c r="J1186" i="3"/>
  <c r="P807" i="3"/>
  <c r="AC804" i="3"/>
  <c r="AB804" i="3"/>
  <c r="AA804" i="3"/>
  <c r="Z804" i="3"/>
  <c r="Y804" i="3"/>
  <c r="X804" i="3"/>
  <c r="W804" i="3"/>
  <c r="V804" i="3"/>
  <c r="U804" i="3"/>
  <c r="T804" i="3"/>
  <c r="S804" i="3"/>
  <c r="R804" i="3"/>
  <c r="J1181" i="3"/>
  <c r="J1189" i="3" s="1"/>
  <c r="P799" i="3"/>
  <c r="AC794" i="3"/>
  <c r="AB794" i="3"/>
  <c r="AA794" i="3"/>
  <c r="Z794" i="3"/>
  <c r="Y794" i="3"/>
  <c r="X794" i="3"/>
  <c r="W794" i="3"/>
  <c r="V794" i="3"/>
  <c r="U794" i="3"/>
  <c r="T794" i="3"/>
  <c r="S794" i="3"/>
  <c r="R794" i="3"/>
  <c r="K1171" i="3"/>
  <c r="L1171" i="3" s="1"/>
  <c r="N1171" i="3" s="1"/>
  <c r="K1170" i="3"/>
  <c r="L1170" i="3" s="1"/>
  <c r="N1170" i="3" s="1"/>
  <c r="P790" i="3"/>
  <c r="AC786" i="3"/>
  <c r="AB786" i="3"/>
  <c r="AA786" i="3"/>
  <c r="Z786" i="3"/>
  <c r="Y786" i="3"/>
  <c r="X786" i="3"/>
  <c r="W786" i="3"/>
  <c r="V786" i="3"/>
  <c r="U786" i="3"/>
  <c r="T786" i="3"/>
  <c r="S786" i="3"/>
  <c r="R786" i="3"/>
  <c r="K1163" i="3"/>
  <c r="L1163" i="3" s="1"/>
  <c r="N1163" i="3" s="1"/>
  <c r="K1162" i="3"/>
  <c r="L1162" i="3" s="1"/>
  <c r="N1162" i="3" s="1"/>
  <c r="P782" i="3"/>
  <c r="AC778" i="3"/>
  <c r="AB778" i="3"/>
  <c r="AA778" i="3"/>
  <c r="Z778" i="3"/>
  <c r="Y778" i="3"/>
  <c r="X778" i="3"/>
  <c r="W778" i="3"/>
  <c r="V778" i="3"/>
  <c r="U778" i="3"/>
  <c r="T778" i="3"/>
  <c r="S778" i="3"/>
  <c r="R778" i="3"/>
  <c r="K1155" i="3"/>
  <c r="L1155" i="3" s="1"/>
  <c r="N1155" i="3" s="1"/>
  <c r="K1154" i="3"/>
  <c r="L1154" i="3" s="1"/>
  <c r="N1154" i="3" s="1"/>
  <c r="P774" i="3"/>
  <c r="AC770" i="3"/>
  <c r="AB770" i="3"/>
  <c r="AA770" i="3"/>
  <c r="Z770" i="3"/>
  <c r="Y770" i="3"/>
  <c r="X770" i="3"/>
  <c r="W770" i="3"/>
  <c r="V770" i="3"/>
  <c r="U770" i="3"/>
  <c r="T770" i="3"/>
  <c r="S770" i="3"/>
  <c r="R770" i="3"/>
  <c r="K1147" i="3"/>
  <c r="L1147" i="3" s="1"/>
  <c r="N1147" i="3" s="1"/>
  <c r="K1146" i="3"/>
  <c r="L1146" i="3" s="1"/>
  <c r="N1146" i="3" s="1"/>
  <c r="P766" i="3"/>
  <c r="AC762" i="3"/>
  <c r="AB762" i="3"/>
  <c r="AA762" i="3"/>
  <c r="Z762" i="3"/>
  <c r="Y762" i="3"/>
  <c r="X762" i="3"/>
  <c r="W762" i="3"/>
  <c r="V762" i="3"/>
  <c r="U762" i="3"/>
  <c r="T762" i="3"/>
  <c r="S762" i="3"/>
  <c r="R762" i="3"/>
  <c r="K1139" i="3"/>
  <c r="L1139" i="3" s="1"/>
  <c r="N1139" i="3" s="1"/>
  <c r="K1138" i="3"/>
  <c r="L1138" i="3" s="1"/>
  <c r="N1138" i="3" s="1"/>
  <c r="P758" i="3"/>
  <c r="AC754" i="3"/>
  <c r="AB754" i="3"/>
  <c r="AA754" i="3"/>
  <c r="Z754" i="3"/>
  <c r="Y754" i="3"/>
  <c r="X754" i="3"/>
  <c r="W754" i="3"/>
  <c r="V754" i="3"/>
  <c r="U754" i="3"/>
  <c r="T754" i="3"/>
  <c r="S754" i="3"/>
  <c r="R754" i="3"/>
  <c r="K1060" i="3"/>
  <c r="L1060" i="3" s="1"/>
  <c r="N1060" i="3" s="1"/>
  <c r="K1058" i="3"/>
  <c r="L1058" i="3" s="1"/>
  <c r="N1058" i="3" s="1"/>
  <c r="P750" i="3"/>
  <c r="AC747" i="3"/>
  <c r="AB747" i="3"/>
  <c r="AA747" i="3"/>
  <c r="Z747" i="3"/>
  <c r="Y747" i="3"/>
  <c r="X747" i="3"/>
  <c r="W747" i="3"/>
  <c r="V747" i="3"/>
  <c r="U747" i="3"/>
  <c r="T747" i="3"/>
  <c r="S747" i="3"/>
  <c r="R747" i="3"/>
  <c r="K1051" i="3"/>
  <c r="L1051" i="3" s="1"/>
  <c r="N1051" i="3" s="1"/>
  <c r="M1049" i="3"/>
  <c r="N1049" i="3" s="1"/>
  <c r="J1048" i="3"/>
  <c r="M1045" i="3"/>
  <c r="P738" i="3"/>
  <c r="AC728" i="3"/>
  <c r="AB728" i="3"/>
  <c r="AA728" i="3"/>
  <c r="Z728" i="3"/>
  <c r="Y728" i="3"/>
  <c r="X728" i="3"/>
  <c r="W728" i="3"/>
  <c r="V728" i="3"/>
  <c r="U728" i="3"/>
  <c r="T728" i="3"/>
  <c r="S728" i="3"/>
  <c r="R728" i="3"/>
  <c r="K1031" i="3"/>
  <c r="K1050" i="3" s="1"/>
  <c r="M1050" i="3" s="1"/>
  <c r="N1050" i="3" s="1"/>
  <c r="J1029" i="3"/>
  <c r="K1020" i="3"/>
  <c r="K1032" i="3" s="1"/>
  <c r="L1032" i="3" s="1"/>
  <c r="N1032" i="3" s="1"/>
  <c r="M1019" i="3"/>
  <c r="N1019" i="3" s="1"/>
  <c r="K1018" i="3"/>
  <c r="K1030" i="3" s="1"/>
  <c r="M1030" i="3" s="1"/>
  <c r="N1030" i="3" s="1"/>
  <c r="J1017" i="3"/>
  <c r="L1008" i="3"/>
  <c r="N1008" i="3" s="1"/>
  <c r="J1007" i="3"/>
  <c r="K1004" i="3"/>
  <c r="K1026" i="3" s="1"/>
  <c r="M1026" i="3" s="1"/>
  <c r="K997" i="3"/>
  <c r="M997" i="3" s="1"/>
  <c r="N997" i="3" s="1"/>
  <c r="M996" i="3"/>
  <c r="N996" i="3" s="1"/>
  <c r="J995" i="3"/>
  <c r="M992" i="3"/>
  <c r="N992" i="3" s="1"/>
  <c r="K986" i="3"/>
  <c r="M985" i="3"/>
  <c r="N985" i="3" s="1"/>
  <c r="M984" i="3"/>
  <c r="N984" i="3" s="1"/>
  <c r="J983" i="3"/>
  <c r="K980" i="3"/>
  <c r="M980" i="3" s="1"/>
  <c r="L974" i="3"/>
  <c r="N974" i="3" s="1"/>
  <c r="J973" i="3"/>
  <c r="M970" i="3"/>
  <c r="N970" i="3" s="1"/>
  <c r="K956" i="3"/>
  <c r="M956" i="3" s="1"/>
  <c r="N956" i="3" s="1"/>
  <c r="K955" i="3"/>
  <c r="M955" i="3" s="1"/>
  <c r="N955" i="3" s="1"/>
  <c r="J954" i="3"/>
  <c r="A950" i="3"/>
  <c r="A969" i="3" s="1"/>
  <c r="A979" i="3" s="1"/>
  <c r="A991" i="3" s="1"/>
  <c r="A1003" i="3" s="1"/>
  <c r="A1013" i="3" s="1"/>
  <c r="A1025" i="3" s="1"/>
  <c r="A1044" i="3" s="1"/>
  <c r="K945" i="3"/>
  <c r="K957" i="3" s="1"/>
  <c r="M944" i="3"/>
  <c r="N944" i="3" s="1"/>
  <c r="M943" i="3"/>
  <c r="N943" i="3" s="1"/>
  <c r="J942" i="3"/>
  <c r="K939" i="3"/>
  <c r="M951" i="3" s="1"/>
  <c r="N933" i="3"/>
  <c r="J932" i="3"/>
  <c r="M929" i="3"/>
  <c r="N929" i="3" s="1"/>
  <c r="AC715" i="3"/>
  <c r="AB715" i="3"/>
  <c r="AA715" i="3"/>
  <c r="Z715" i="3"/>
  <c r="Y715" i="3"/>
  <c r="X715" i="3"/>
  <c r="W715" i="3"/>
  <c r="V715" i="3"/>
  <c r="U715" i="3"/>
  <c r="T715" i="3"/>
  <c r="S715" i="3"/>
  <c r="R715" i="3"/>
  <c r="K922" i="3"/>
  <c r="M922" i="3" s="1"/>
  <c r="N922" i="3" s="1"/>
  <c r="K921" i="3"/>
  <c r="M921" i="3" s="1"/>
  <c r="N921" i="3" s="1"/>
  <c r="K920" i="3"/>
  <c r="M920" i="3" s="1"/>
  <c r="N920" i="3" s="1"/>
  <c r="K919" i="3"/>
  <c r="M919" i="3" s="1"/>
  <c r="N919" i="3" s="1"/>
  <c r="M918" i="3"/>
  <c r="N918" i="3" s="1"/>
  <c r="J916" i="3"/>
  <c r="J917" i="3" s="1"/>
  <c r="J914" i="3"/>
  <c r="P683" i="3"/>
  <c r="AC680" i="3"/>
  <c r="AB680" i="3"/>
  <c r="AA680" i="3"/>
  <c r="Z680" i="3"/>
  <c r="Y680" i="3"/>
  <c r="X680" i="3"/>
  <c r="W680" i="3"/>
  <c r="V680" i="3"/>
  <c r="U680" i="3"/>
  <c r="T680" i="3"/>
  <c r="S680" i="3"/>
  <c r="R680" i="3"/>
  <c r="K880" i="3"/>
  <c r="M880" i="3" s="1"/>
  <c r="N880" i="3" s="1"/>
  <c r="M879" i="3"/>
  <c r="N879" i="3" s="1"/>
  <c r="M878" i="3"/>
  <c r="N878" i="3" s="1"/>
  <c r="M877" i="3"/>
  <c r="N877" i="3" s="1"/>
  <c r="AC672" i="3"/>
  <c r="AB672" i="3"/>
  <c r="AA672" i="3"/>
  <c r="Z672" i="3"/>
  <c r="Y672" i="3"/>
  <c r="X672" i="3"/>
  <c r="W672" i="3"/>
  <c r="V672" i="3"/>
  <c r="U672" i="3"/>
  <c r="T672" i="3"/>
  <c r="S672" i="3"/>
  <c r="R672" i="3"/>
  <c r="K872" i="3"/>
  <c r="K882" i="3" s="1"/>
  <c r="L882" i="3" s="1"/>
  <c r="K871" i="3"/>
  <c r="K881" i="3" s="1"/>
  <c r="K890" i="3" s="1"/>
  <c r="L890" i="3" s="1"/>
  <c r="N890" i="3" s="1"/>
  <c r="L870" i="3"/>
  <c r="N870" i="3" s="1"/>
  <c r="K869" i="3"/>
  <c r="M869" i="3" s="1"/>
  <c r="N869" i="3" s="1"/>
  <c r="P663" i="3"/>
  <c r="AC660" i="3"/>
  <c r="AB660" i="3"/>
  <c r="AA660" i="3"/>
  <c r="Z660" i="3"/>
  <c r="Y660" i="3"/>
  <c r="X660" i="3"/>
  <c r="W660" i="3"/>
  <c r="V660" i="3"/>
  <c r="U660" i="3"/>
  <c r="T660" i="3"/>
  <c r="S660" i="3"/>
  <c r="R660" i="3"/>
  <c r="L858" i="3"/>
  <c r="N858" i="3" s="1"/>
  <c r="L857" i="3"/>
  <c r="N857" i="3" s="1"/>
  <c r="L856" i="3"/>
  <c r="N856" i="3" s="1"/>
  <c r="K855" i="3"/>
  <c r="M855" i="3" s="1"/>
  <c r="N855" i="3" s="1"/>
  <c r="K854" i="3"/>
  <c r="M854" i="3" s="1"/>
  <c r="N854" i="3" s="1"/>
  <c r="K853" i="3"/>
  <c r="M853" i="3" s="1"/>
  <c r="N853" i="3" s="1"/>
  <c r="K842" i="3"/>
  <c r="L842" i="3" s="1"/>
  <c r="N842" i="3" s="1"/>
  <c r="K840" i="3"/>
  <c r="L840" i="3" s="1"/>
  <c r="N840" i="3" s="1"/>
  <c r="K839" i="3"/>
  <c r="L839" i="3" s="1"/>
  <c r="K838" i="3"/>
  <c r="M838" i="3" s="1"/>
  <c r="N838" i="3" s="1"/>
  <c r="K837" i="3"/>
  <c r="M837" i="3" s="1"/>
  <c r="N837" i="3" s="1"/>
  <c r="K836" i="3"/>
  <c r="M836" i="3" s="1"/>
  <c r="N836" i="3" s="1"/>
  <c r="K835" i="3"/>
  <c r="M835" i="3" s="1"/>
  <c r="N835" i="3" s="1"/>
  <c r="K834" i="3"/>
  <c r="M834" i="3" s="1"/>
  <c r="N834" i="3" s="1"/>
  <c r="K833" i="3"/>
  <c r="M833" i="3" s="1"/>
  <c r="L828" i="3"/>
  <c r="N828" i="3" s="1"/>
  <c r="L827" i="3"/>
  <c r="N827" i="3" s="1"/>
  <c r="J826" i="3"/>
  <c r="K812" i="3"/>
  <c r="M812" i="3" s="1"/>
  <c r="N812" i="3" s="1"/>
  <c r="K811" i="3"/>
  <c r="L811" i="3" s="1"/>
  <c r="N811" i="3" s="1"/>
  <c r="K809" i="3"/>
  <c r="L809" i="3" s="1"/>
  <c r="K808" i="3"/>
  <c r="M808" i="3" s="1"/>
  <c r="P644" i="3"/>
  <c r="AC641" i="3"/>
  <c r="AB641" i="3"/>
  <c r="AA641" i="3"/>
  <c r="Z641" i="3"/>
  <c r="Y641" i="3"/>
  <c r="X641" i="3"/>
  <c r="W641" i="3"/>
  <c r="V641" i="3"/>
  <c r="U641" i="3"/>
  <c r="T641" i="3"/>
  <c r="S641" i="3"/>
  <c r="R641" i="3"/>
  <c r="M803" i="3"/>
  <c r="N803" i="3" s="1"/>
  <c r="K802" i="3"/>
  <c r="L802" i="3" s="1"/>
  <c r="N802" i="3" s="1"/>
  <c r="K800" i="3"/>
  <c r="L800" i="3" s="1"/>
  <c r="K799" i="3"/>
  <c r="M799" i="3" s="1"/>
  <c r="P635" i="3"/>
  <c r="AC631" i="3"/>
  <c r="AB631" i="3"/>
  <c r="AA631" i="3"/>
  <c r="Z631" i="3"/>
  <c r="Y631" i="3"/>
  <c r="X631" i="3"/>
  <c r="W631" i="3"/>
  <c r="V631" i="3"/>
  <c r="U631" i="3"/>
  <c r="T631" i="3"/>
  <c r="S631" i="3"/>
  <c r="R631" i="3"/>
  <c r="J790" i="3"/>
  <c r="J789" i="3"/>
  <c r="P621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K780" i="3"/>
  <c r="M780" i="3" s="1"/>
  <c r="N780" i="3" s="1"/>
  <c r="P607" i="3"/>
  <c r="AC604" i="3"/>
  <c r="AB604" i="3"/>
  <c r="AA604" i="3"/>
  <c r="Z604" i="3"/>
  <c r="Y604" i="3"/>
  <c r="X604" i="3"/>
  <c r="W604" i="3"/>
  <c r="V604" i="3"/>
  <c r="U604" i="3"/>
  <c r="T604" i="3"/>
  <c r="S604" i="3"/>
  <c r="R604" i="3"/>
  <c r="K766" i="3"/>
  <c r="M766" i="3" s="1"/>
  <c r="N766" i="3" s="1"/>
  <c r="P592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P579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K731" i="3"/>
  <c r="L731" i="3" s="1"/>
  <c r="N731" i="3" s="1"/>
  <c r="K730" i="3"/>
  <c r="L730" i="3" s="1"/>
  <c r="N730" i="3" s="1"/>
  <c r="K728" i="3"/>
  <c r="L728" i="3" s="1"/>
  <c r="N728" i="3" s="1"/>
  <c r="K727" i="3"/>
  <c r="L727" i="3" s="1"/>
  <c r="K724" i="3"/>
  <c r="M724" i="3" s="1"/>
  <c r="N724" i="3" s="1"/>
  <c r="K723" i="3"/>
  <c r="M723" i="3" s="1"/>
  <c r="N723" i="3" s="1"/>
  <c r="K722" i="3"/>
  <c r="M722" i="3" s="1"/>
  <c r="N722" i="3" s="1"/>
  <c r="P556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K667" i="3"/>
  <c r="L667" i="3" s="1"/>
  <c r="N667" i="3" s="1"/>
  <c r="K665" i="3"/>
  <c r="L665" i="3" s="1"/>
  <c r="N665" i="3" s="1"/>
  <c r="K664" i="3"/>
  <c r="L664" i="3" s="1"/>
  <c r="M663" i="3"/>
  <c r="N663" i="3" s="1"/>
  <c r="M662" i="3"/>
  <c r="P532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K655" i="3"/>
  <c r="L655" i="3" s="1"/>
  <c r="N655" i="3" s="1"/>
  <c r="K654" i="3"/>
  <c r="L654" i="3" s="1"/>
  <c r="N654" i="3" s="1"/>
  <c r="K652" i="3"/>
  <c r="L652" i="3" s="1"/>
  <c r="K651" i="3"/>
  <c r="M651" i="3" s="1"/>
  <c r="N651" i="3" s="1"/>
  <c r="K650" i="3"/>
  <c r="M650" i="3" s="1"/>
  <c r="P520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K537" i="3"/>
  <c r="K536" i="3"/>
  <c r="L536" i="3" s="1"/>
  <c r="N536" i="3" s="1"/>
  <c r="K535" i="3"/>
  <c r="L535" i="3" s="1"/>
  <c r="N535" i="3" s="1"/>
  <c r="K534" i="3"/>
  <c r="L534" i="3" s="1"/>
  <c r="N534" i="3" s="1"/>
  <c r="K533" i="3"/>
  <c r="L533" i="3" s="1"/>
  <c r="K532" i="3"/>
  <c r="M532" i="3" s="1"/>
  <c r="N532" i="3" s="1"/>
  <c r="K531" i="3"/>
  <c r="M531" i="3" s="1"/>
  <c r="N531" i="3" s="1"/>
  <c r="K530" i="3"/>
  <c r="M530" i="3" s="1"/>
  <c r="N530" i="3" s="1"/>
  <c r="P481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L525" i="3"/>
  <c r="N525" i="3" s="1"/>
  <c r="K524" i="3"/>
  <c r="L524" i="3" s="1"/>
  <c r="N524" i="3" s="1"/>
  <c r="K523" i="3"/>
  <c r="L523" i="3" s="1"/>
  <c r="N523" i="3" s="1"/>
  <c r="K522" i="3"/>
  <c r="L522" i="3" s="1"/>
  <c r="N522" i="3" s="1"/>
  <c r="K521" i="3"/>
  <c r="L521" i="3" s="1"/>
  <c r="K520" i="3"/>
  <c r="M520" i="3" s="1"/>
  <c r="N520" i="3" s="1"/>
  <c r="K519" i="3"/>
  <c r="M519" i="3" s="1"/>
  <c r="N519" i="3" s="1"/>
  <c r="K518" i="3"/>
  <c r="P457" i="3"/>
  <c r="K486" i="3"/>
  <c r="K485" i="3"/>
  <c r="K484" i="3"/>
  <c r="K483" i="3"/>
  <c r="P44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K457" i="3"/>
  <c r="L457" i="3" s="1"/>
  <c r="N457" i="3" s="1"/>
  <c r="K456" i="3"/>
  <c r="L456" i="3" s="1"/>
  <c r="N456" i="3" s="1"/>
  <c r="K455" i="3"/>
  <c r="L455" i="3" s="1"/>
  <c r="N455" i="3" s="1"/>
  <c r="K454" i="3"/>
  <c r="L454" i="3" s="1"/>
  <c r="N454" i="3" s="1"/>
  <c r="K453" i="3"/>
  <c r="M453" i="3" s="1"/>
  <c r="N453" i="3" s="1"/>
  <c r="K452" i="3"/>
  <c r="M452" i="3" s="1"/>
  <c r="N452" i="3" s="1"/>
  <c r="K451" i="3"/>
  <c r="M451" i="3" s="1"/>
  <c r="P430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K446" i="3"/>
  <c r="L446" i="3" s="1"/>
  <c r="N446" i="3" s="1"/>
  <c r="K445" i="3"/>
  <c r="L445" i="3" s="1"/>
  <c r="N445" i="3" s="1"/>
  <c r="K444" i="3"/>
  <c r="L444" i="3" s="1"/>
  <c r="N444" i="3" s="1"/>
  <c r="K443" i="3"/>
  <c r="L443" i="3" s="1"/>
  <c r="K442" i="3"/>
  <c r="M442" i="3" s="1"/>
  <c r="N442" i="3" s="1"/>
  <c r="K441" i="3"/>
  <c r="M441" i="3" s="1"/>
  <c r="P419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K435" i="3"/>
  <c r="L435" i="3" s="1"/>
  <c r="N435" i="3" s="1"/>
  <c r="K434" i="3"/>
  <c r="L434" i="3" s="1"/>
  <c r="P412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K428" i="3"/>
  <c r="L428" i="3" s="1"/>
  <c r="N428" i="3" s="1"/>
  <c r="K427" i="3"/>
  <c r="L427" i="3" s="1"/>
  <c r="N427" i="3" s="1"/>
  <c r="P405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K421" i="3"/>
  <c r="L421" i="3" s="1"/>
  <c r="N421" i="3" s="1"/>
  <c r="K420" i="3"/>
  <c r="L420" i="3" s="1"/>
  <c r="N420" i="3" s="1"/>
  <c r="K419" i="3"/>
  <c r="M419" i="3" s="1"/>
  <c r="N419" i="3" s="1"/>
  <c r="P397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K413" i="3"/>
  <c r="L413" i="3" s="1"/>
  <c r="N413" i="3" s="1"/>
  <c r="K412" i="3"/>
  <c r="L412" i="3" s="1"/>
  <c r="P390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K407" i="3"/>
  <c r="L407" i="3" s="1"/>
  <c r="N407" i="3" s="1"/>
  <c r="K406" i="3"/>
  <c r="L406" i="3" s="1"/>
  <c r="N406" i="3" s="1"/>
  <c r="K405" i="3"/>
  <c r="L405" i="3" s="1"/>
  <c r="N405" i="3" s="1"/>
  <c r="P383" i="3"/>
  <c r="AC380" i="3"/>
  <c r="AB380" i="3"/>
  <c r="AA380" i="3"/>
  <c r="Z380" i="3"/>
  <c r="Y380" i="3"/>
  <c r="X380" i="3"/>
  <c r="W380" i="3"/>
  <c r="V380" i="3"/>
  <c r="T380" i="3"/>
  <c r="S380" i="3"/>
  <c r="L379" i="3"/>
  <c r="N379" i="3" s="1"/>
  <c r="U378" i="3"/>
  <c r="U380" i="3" s="1"/>
  <c r="K378" i="3"/>
  <c r="L378" i="3" s="1"/>
  <c r="N378" i="3" s="1"/>
  <c r="R377" i="3"/>
  <c r="R380" i="3" s="1"/>
  <c r="K377" i="3"/>
  <c r="L377" i="3" s="1"/>
  <c r="P376" i="3"/>
  <c r="A376" i="3"/>
  <c r="A404" i="3" s="1"/>
  <c r="A411" i="3" s="1"/>
  <c r="A418" i="3" s="1"/>
  <c r="A426" i="3" s="1"/>
  <c r="A433" i="3" s="1"/>
  <c r="A440" i="3" s="1"/>
  <c r="A450" i="3" s="1"/>
  <c r="A480" i="3" s="1"/>
  <c r="AC373" i="3"/>
  <c r="AB373" i="3"/>
  <c r="Z373" i="3"/>
  <c r="Y373" i="3"/>
  <c r="X373" i="3"/>
  <c r="W373" i="3"/>
  <c r="V373" i="3"/>
  <c r="U373" i="3"/>
  <c r="T373" i="3"/>
  <c r="S373" i="3"/>
  <c r="R373" i="3"/>
  <c r="L372" i="3"/>
  <c r="N372" i="3" s="1"/>
  <c r="K371" i="3"/>
  <c r="M371" i="3" s="1"/>
  <c r="N371" i="3" s="1"/>
  <c r="Q370" i="3"/>
  <c r="Q371" i="3" s="1"/>
  <c r="Q372" i="3" s="1"/>
  <c r="P370" i="3"/>
  <c r="AA370" i="3" s="1"/>
  <c r="AA373" i="3" s="1"/>
  <c r="K370" i="3"/>
  <c r="M370" i="3" s="1"/>
  <c r="P369" i="3"/>
  <c r="K313" i="3"/>
  <c r="M313" i="3" s="1"/>
  <c r="N313" i="3" s="1"/>
  <c r="M312" i="3"/>
  <c r="N312" i="3" s="1"/>
  <c r="J311" i="3"/>
  <c r="G316" i="3" s="1"/>
  <c r="J316" i="3" s="1"/>
  <c r="G305" i="3"/>
  <c r="D305" i="3"/>
  <c r="G304" i="3"/>
  <c r="J304" i="3" s="1"/>
  <c r="G303" i="3"/>
  <c r="J303" i="3" s="1"/>
  <c r="G302" i="3"/>
  <c r="J302" i="3" s="1"/>
  <c r="G301" i="3"/>
  <c r="J301" i="3" s="1"/>
  <c r="G300" i="3"/>
  <c r="J300" i="3" s="1"/>
  <c r="G299" i="3"/>
  <c r="J299" i="3" s="1"/>
  <c r="K297" i="3"/>
  <c r="J297" i="3"/>
  <c r="J296" i="3"/>
  <c r="G290" i="3"/>
  <c r="J290" i="3" s="1"/>
  <c r="G289" i="3"/>
  <c r="J289" i="3" s="1"/>
  <c r="G288" i="3"/>
  <c r="J288" i="3" s="1"/>
  <c r="G287" i="3"/>
  <c r="J287" i="3" s="1"/>
  <c r="G286" i="3"/>
  <c r="J286" i="3" s="1"/>
  <c r="G285" i="3"/>
  <c r="J285" i="3" s="1"/>
  <c r="K282" i="3"/>
  <c r="M282" i="3" s="1"/>
  <c r="N282" i="3" s="1"/>
  <c r="G276" i="3"/>
  <c r="J276" i="3" s="1"/>
  <c r="G275" i="3"/>
  <c r="J275" i="3" s="1"/>
  <c r="G274" i="3"/>
  <c r="J274" i="3" s="1"/>
  <c r="G273" i="3"/>
  <c r="J273" i="3" s="1"/>
  <c r="G272" i="3"/>
  <c r="J272" i="3" s="1"/>
  <c r="G271" i="3"/>
  <c r="J271" i="3" s="1"/>
  <c r="K269" i="3"/>
  <c r="M269" i="3" s="1"/>
  <c r="J268" i="3"/>
  <c r="G75" i="3"/>
  <c r="J75" i="3" s="1"/>
  <c r="G74" i="3"/>
  <c r="J74" i="3" s="1"/>
  <c r="G73" i="3"/>
  <c r="J73" i="3" s="1"/>
  <c r="G72" i="3"/>
  <c r="J72" i="3" s="1"/>
  <c r="G71" i="3"/>
  <c r="J71" i="3" s="1"/>
  <c r="G70" i="3"/>
  <c r="J70" i="3" s="1"/>
  <c r="G69" i="3"/>
  <c r="J69" i="3" s="1"/>
  <c r="J64" i="3"/>
  <c r="G58" i="3"/>
  <c r="J58" i="3" s="1"/>
  <c r="G57" i="3"/>
  <c r="J57" i="3" s="1"/>
  <c r="G56" i="3"/>
  <c r="J56" i="3" s="1"/>
  <c r="G55" i="3"/>
  <c r="J55" i="3" s="1"/>
  <c r="G54" i="3"/>
  <c r="J54" i="3" s="1"/>
  <c r="G53" i="3"/>
  <c r="J53" i="3" s="1"/>
  <c r="G52" i="3"/>
  <c r="J52" i="3" s="1"/>
  <c r="K66" i="3"/>
  <c r="M66" i="3" s="1"/>
  <c r="K49" i="3"/>
  <c r="J34" i="3"/>
  <c r="J35" i="3" s="1"/>
  <c r="A33" i="3"/>
  <c r="A46" i="3" s="1"/>
  <c r="A62" i="3" s="1"/>
  <c r="A266" i="3" s="1"/>
  <c r="A280" i="3" s="1"/>
  <c r="A294" i="3" s="1"/>
  <c r="A309" i="3" s="1"/>
  <c r="K29" i="3"/>
  <c r="K28" i="3"/>
  <c r="K27" i="3"/>
  <c r="K26" i="3"/>
  <c r="K25" i="3"/>
  <c r="K24" i="3"/>
  <c r="J22" i="3"/>
  <c r="L118" i="2"/>
  <c r="J118" i="2"/>
  <c r="L117" i="2"/>
  <c r="J117" i="2"/>
  <c r="L116" i="2"/>
  <c r="J116" i="2"/>
  <c r="L115" i="2"/>
  <c r="J115" i="2"/>
  <c r="H98" i="1"/>
  <c r="H96" i="1"/>
  <c r="K283" i="3"/>
  <c r="M283" i="3" s="1"/>
  <c r="N283" i="3" s="1"/>
  <c r="H94" i="1"/>
  <c r="H93" i="1"/>
  <c r="B38" i="2"/>
  <c r="B39" i="2" s="1"/>
  <c r="B40" i="2" s="1"/>
  <c r="B41" i="2" s="1"/>
  <c r="B42" i="2" s="1"/>
  <c r="K904" i="3"/>
  <c r="L904" i="3" s="1"/>
  <c r="N904" i="3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H284" i="1"/>
  <c r="J352" i="5" s="1"/>
  <c r="H283" i="1"/>
  <c r="J351" i="5" s="1"/>
  <c r="D351" i="5"/>
  <c r="H281" i="1"/>
  <c r="J350" i="5" s="1"/>
  <c r="H280" i="1"/>
  <c r="J349" i="5" s="1"/>
  <c r="H279" i="1"/>
  <c r="J348" i="5" s="1"/>
  <c r="H278" i="1"/>
  <c r="J246" i="5" s="1"/>
  <c r="H274" i="1"/>
  <c r="J242" i="5" s="1"/>
  <c r="H264" i="1"/>
  <c r="J235" i="5" s="1"/>
  <c r="H261" i="1"/>
  <c r="J233" i="5" s="1"/>
  <c r="H259" i="1"/>
  <c r="J231" i="5" s="1"/>
  <c r="H258" i="1"/>
  <c r="J230" i="5" s="1"/>
  <c r="H256" i="1"/>
  <c r="J228" i="5" s="1"/>
  <c r="H19" i="9" s="1"/>
  <c r="I19" i="9" s="1"/>
  <c r="H255" i="1"/>
  <c r="J227" i="5" s="1"/>
  <c r="H18" i="9" s="1"/>
  <c r="I18" i="9" s="1"/>
  <c r="K203" i="5"/>
  <c r="H247" i="1"/>
  <c r="H246" i="1"/>
  <c r="H245" i="1"/>
  <c r="H244" i="1"/>
  <c r="H238" i="1"/>
  <c r="H237" i="1"/>
  <c r="K201" i="5" s="1"/>
  <c r="H228" i="1"/>
  <c r="K199" i="5" s="1"/>
  <c r="H227" i="1"/>
  <c r="K198" i="5" s="1"/>
  <c r="H226" i="1"/>
  <c r="H225" i="1"/>
  <c r="H221" i="1"/>
  <c r="H220" i="1"/>
  <c r="J193" i="5" s="1"/>
  <c r="K193" i="5" s="1"/>
  <c r="H219" i="1"/>
  <c r="H218" i="1"/>
  <c r="H216" i="1"/>
  <c r="H215" i="1"/>
  <c r="H213" i="1"/>
  <c r="H212" i="1"/>
  <c r="H211" i="1"/>
  <c r="H201" i="1"/>
  <c r="H200" i="1"/>
  <c r="K188" i="5" s="1"/>
  <c r="H199" i="1"/>
  <c r="K187" i="5" s="1"/>
  <c r="H198" i="1"/>
  <c r="J186" i="5" s="1"/>
  <c r="K186" i="5" s="1"/>
  <c r="H197" i="1"/>
  <c r="J185" i="5" s="1"/>
  <c r="K185" i="5" s="1"/>
  <c r="H196" i="1"/>
  <c r="J184" i="5" s="1"/>
  <c r="K184" i="5" s="1"/>
  <c r="H195" i="1"/>
  <c r="J183" i="5" s="1"/>
  <c r="K183" i="5" s="1"/>
  <c r="H190" i="1"/>
  <c r="K181" i="5" s="1"/>
  <c r="H189" i="1"/>
  <c r="J180" i="5" s="1"/>
  <c r="K180" i="5" s="1"/>
  <c r="H188" i="1"/>
  <c r="J179" i="5" s="1"/>
  <c r="K179" i="5" s="1"/>
  <c r="H187" i="1"/>
  <c r="J178" i="5" s="1"/>
  <c r="K178" i="5" s="1"/>
  <c r="H186" i="1"/>
  <c r="J177" i="5" s="1"/>
  <c r="K177" i="5" s="1"/>
  <c r="H185" i="1"/>
  <c r="J176" i="5" s="1"/>
  <c r="K176" i="5" s="1"/>
  <c r="H181" i="1"/>
  <c r="K174" i="5" s="1"/>
  <c r="H180" i="1"/>
  <c r="J173" i="5" s="1"/>
  <c r="K173" i="5" s="1"/>
  <c r="H179" i="1"/>
  <c r="J172" i="5" s="1"/>
  <c r="K172" i="5" s="1"/>
  <c r="H178" i="1"/>
  <c r="J171" i="5" s="1"/>
  <c r="K171" i="5" s="1"/>
  <c r="J137" i="5"/>
  <c r="K137" i="5" s="1"/>
  <c r="J136" i="5"/>
  <c r="K136" i="5" s="1"/>
  <c r="J135" i="5"/>
  <c r="K135" i="5" s="1"/>
  <c r="H100" i="1"/>
  <c r="G100" i="1"/>
  <c r="C100" i="1"/>
  <c r="H99" i="1"/>
  <c r="G99" i="1"/>
  <c r="C99" i="1"/>
  <c r="G98" i="1"/>
  <c r="C98" i="1"/>
  <c r="H97" i="1"/>
  <c r="G97" i="1"/>
  <c r="C97" i="1"/>
  <c r="G96" i="1"/>
  <c r="C96" i="1"/>
  <c r="G95" i="1"/>
  <c r="C95" i="1"/>
  <c r="G94" i="1"/>
  <c r="C94" i="1"/>
  <c r="G93" i="1"/>
  <c r="C93" i="1"/>
  <c r="H92" i="1"/>
  <c r="G92" i="1"/>
  <c r="C92" i="1"/>
  <c r="H91" i="1"/>
  <c r="G91" i="1"/>
  <c r="C91" i="1"/>
  <c r="H90" i="1"/>
  <c r="G90" i="1"/>
  <c r="C90" i="1"/>
  <c r="H89" i="1"/>
  <c r="G89" i="1"/>
  <c r="C89" i="1"/>
  <c r="H88" i="1"/>
  <c r="G88" i="1"/>
  <c r="C88" i="1"/>
  <c r="H87" i="1"/>
  <c r="G87" i="1"/>
  <c r="C87" i="1"/>
  <c r="H86" i="1"/>
  <c r="G86" i="1"/>
  <c r="H85" i="1"/>
  <c r="G85" i="1"/>
  <c r="H84" i="1"/>
  <c r="G84" i="1"/>
  <c r="H83" i="1"/>
  <c r="G83" i="1"/>
  <c r="H82" i="1"/>
  <c r="G82" i="1"/>
  <c r="H81" i="1"/>
  <c r="G81" i="1"/>
  <c r="B18" i="1"/>
  <c r="B19" i="1" s="1"/>
  <c r="B20" i="1" s="1"/>
  <c r="B21" i="1" s="1"/>
  <c r="B22" i="1" s="1"/>
  <c r="B23" i="1" s="1"/>
  <c r="B24" i="1" s="1"/>
  <c r="B25" i="1" s="1"/>
  <c r="J208" i="3" l="1"/>
  <c r="J204" i="3"/>
  <c r="J205" i="3"/>
  <c r="J207" i="3"/>
  <c r="J209" i="3"/>
  <c r="J206" i="3"/>
  <c r="J219" i="3"/>
  <c r="J220" i="3"/>
  <c r="J218" i="3"/>
  <c r="J221" i="3"/>
  <c r="J217" i="3"/>
  <c r="J222" i="3"/>
  <c r="K245" i="3"/>
  <c r="L245" i="3" s="1"/>
  <c r="K247" i="3"/>
  <c r="L247" i="3" s="1"/>
  <c r="N247" i="3" s="1"/>
  <c r="J194" i="5"/>
  <c r="K194" i="5" s="1"/>
  <c r="J278" i="5"/>
  <c r="K278" i="5" s="1"/>
  <c r="L483" i="3"/>
  <c r="K496" i="3"/>
  <c r="L484" i="3"/>
  <c r="N484" i="3" s="1"/>
  <c r="K497" i="3"/>
  <c r="L485" i="3"/>
  <c r="N485" i="3" s="1"/>
  <c r="K498" i="3"/>
  <c r="L486" i="3"/>
  <c r="N486" i="3" s="1"/>
  <c r="K499" i="3"/>
  <c r="A517" i="3"/>
  <c r="A529" i="3" s="1"/>
  <c r="A541" i="3" s="1"/>
  <c r="A553" i="3" s="1"/>
  <c r="A565" i="3" s="1"/>
  <c r="A577" i="3" s="1"/>
  <c r="A589" i="3" s="1"/>
  <c r="A601" i="3" s="1"/>
  <c r="A613" i="3" s="1"/>
  <c r="A625" i="3" s="1"/>
  <c r="A637" i="3" s="1"/>
  <c r="A649" i="3" s="1"/>
  <c r="A661" i="3" s="1"/>
  <c r="K186" i="3"/>
  <c r="L186" i="3" s="1"/>
  <c r="N186" i="3" s="1"/>
  <c r="K188" i="3"/>
  <c r="L188" i="3" s="1"/>
  <c r="N188" i="3" s="1"/>
  <c r="K111" i="3"/>
  <c r="K67" i="3"/>
  <c r="L67" i="3" s="1"/>
  <c r="N67" i="3" s="1"/>
  <c r="K129" i="3"/>
  <c r="L129" i="3" s="1"/>
  <c r="N129" i="3" s="1"/>
  <c r="K127" i="3"/>
  <c r="L127" i="3" s="1"/>
  <c r="N127" i="3" s="1"/>
  <c r="G147" i="3"/>
  <c r="J147" i="3" s="1"/>
  <c r="G150" i="3"/>
  <c r="J150" i="3" s="1"/>
  <c r="G146" i="3"/>
  <c r="J146" i="3" s="1"/>
  <c r="G145" i="3"/>
  <c r="J145" i="3" s="1"/>
  <c r="G149" i="3"/>
  <c r="J149" i="3" s="1"/>
  <c r="G148" i="3"/>
  <c r="J148" i="3" s="1"/>
  <c r="G162" i="3"/>
  <c r="J162" i="3" s="1"/>
  <c r="G160" i="3"/>
  <c r="J160" i="3" s="1"/>
  <c r="G161" i="3"/>
  <c r="J161" i="3" s="1"/>
  <c r="G159" i="3"/>
  <c r="J159" i="3" s="1"/>
  <c r="G163" i="3"/>
  <c r="J163" i="3" s="1"/>
  <c r="G158" i="3"/>
  <c r="J158" i="3" s="1"/>
  <c r="K41" i="3"/>
  <c r="K275" i="3" s="1"/>
  <c r="K289" i="3" s="1"/>
  <c r="K304" i="3" s="1"/>
  <c r="K316" i="3" s="1"/>
  <c r="L316" i="3" s="1"/>
  <c r="N316" i="3" s="1"/>
  <c r="K90" i="3"/>
  <c r="K42" i="3"/>
  <c r="K276" i="3" s="1"/>
  <c r="K290" i="3" s="1"/>
  <c r="K305" i="3" s="1"/>
  <c r="K317" i="3" s="1"/>
  <c r="K91" i="3"/>
  <c r="K39" i="3"/>
  <c r="K54" i="3" s="1"/>
  <c r="K88" i="3"/>
  <c r="G26" i="3"/>
  <c r="J26" i="3" s="1"/>
  <c r="L26" i="3" s="1"/>
  <c r="N26" i="3" s="1"/>
  <c r="G88" i="3"/>
  <c r="J88" i="3" s="1"/>
  <c r="G86" i="3"/>
  <c r="J86" i="3" s="1"/>
  <c r="G90" i="3"/>
  <c r="J90" i="3" s="1"/>
  <c r="G91" i="3"/>
  <c r="J91" i="3" s="1"/>
  <c r="G87" i="3"/>
  <c r="J87" i="3" s="1"/>
  <c r="G89" i="3"/>
  <c r="J89" i="3" s="1"/>
  <c r="G39" i="3"/>
  <c r="J39" i="3" s="1"/>
  <c r="G103" i="3"/>
  <c r="J103" i="3" s="1"/>
  <c r="G102" i="3"/>
  <c r="J102" i="3" s="1"/>
  <c r="G101" i="3"/>
  <c r="J101" i="3" s="1"/>
  <c r="G100" i="3"/>
  <c r="J100" i="3" s="1"/>
  <c r="G104" i="3"/>
  <c r="J104" i="3" s="1"/>
  <c r="G99" i="3"/>
  <c r="J99" i="3" s="1"/>
  <c r="K37" i="3"/>
  <c r="K271" i="3" s="1"/>
  <c r="K285" i="3" s="1"/>
  <c r="K299" i="3" s="1"/>
  <c r="L299" i="3" s="1"/>
  <c r="N299" i="3" s="1"/>
  <c r="K86" i="3"/>
  <c r="K38" i="3"/>
  <c r="K272" i="3" s="1"/>
  <c r="K286" i="3" s="1"/>
  <c r="K300" i="3" s="1"/>
  <c r="K315" i="3" s="1"/>
  <c r="K87" i="3"/>
  <c r="K40" i="3"/>
  <c r="K55" i="3" s="1"/>
  <c r="K89" i="3"/>
  <c r="H21" i="9"/>
  <c r="I21" i="9" s="1"/>
  <c r="H23" i="9"/>
  <c r="I23" i="9" s="1"/>
  <c r="H24" i="9"/>
  <c r="I24" i="9" s="1"/>
  <c r="H26" i="9"/>
  <c r="I26" i="9" s="1"/>
  <c r="H22" i="9"/>
  <c r="I22" i="9" s="1"/>
  <c r="H36" i="9"/>
  <c r="I36" i="9" s="1"/>
  <c r="H16" i="9"/>
  <c r="I16" i="9" s="1"/>
  <c r="H30" i="9"/>
  <c r="I30" i="9" s="1"/>
  <c r="H34" i="9"/>
  <c r="I34" i="9" s="1"/>
  <c r="H35" i="9"/>
  <c r="I35" i="9" s="1"/>
  <c r="H37" i="9"/>
  <c r="I37" i="9" s="1"/>
  <c r="H32" i="9"/>
  <c r="I32" i="9" s="1"/>
  <c r="H20" i="9"/>
  <c r="I20" i="9" s="1"/>
  <c r="H33" i="9"/>
  <c r="I33" i="9" s="1"/>
  <c r="K355" i="5"/>
  <c r="L986" i="3"/>
  <c r="N986" i="3" s="1"/>
  <c r="K998" i="3"/>
  <c r="L998" i="3" s="1"/>
  <c r="N998" i="3" s="1"/>
  <c r="J334" i="5"/>
  <c r="J333" i="5"/>
  <c r="J331" i="5"/>
  <c r="J191" i="5"/>
  <c r="K191" i="5" s="1"/>
  <c r="J196" i="5"/>
  <c r="K196" i="5" s="1"/>
  <c r="J197" i="5"/>
  <c r="K197" i="5" s="1"/>
  <c r="J192" i="5"/>
  <c r="K192" i="5" s="1"/>
  <c r="K759" i="3"/>
  <c r="M746" i="3"/>
  <c r="J202" i="5"/>
  <c r="K202" i="5" s="1"/>
  <c r="B26" i="1"/>
  <c r="B27" i="1" s="1"/>
  <c r="B43" i="2"/>
  <c r="H95" i="1"/>
  <c r="K703" i="3"/>
  <c r="L703" i="3" s="1"/>
  <c r="K690" i="3"/>
  <c r="L690" i="3" s="1"/>
  <c r="K716" i="3"/>
  <c r="L716" i="3" s="1"/>
  <c r="K677" i="3"/>
  <c r="L677" i="3" s="1"/>
  <c r="N587" i="3"/>
  <c r="N588" i="3" s="1"/>
  <c r="H35" i="1" s="1"/>
  <c r="N551" i="3"/>
  <c r="N552" i="3" s="1"/>
  <c r="H32" i="1" s="1"/>
  <c r="N611" i="3"/>
  <c r="N612" i="3" s="1"/>
  <c r="H37" i="1" s="1"/>
  <c r="N563" i="3"/>
  <c r="N564" i="3" s="1"/>
  <c r="H33" i="1" s="1"/>
  <c r="N635" i="3"/>
  <c r="N636" i="3" s="1"/>
  <c r="H39" i="1" s="1"/>
  <c r="N599" i="3"/>
  <c r="N600" i="3" s="1"/>
  <c r="H36" i="1" s="1"/>
  <c r="N575" i="3"/>
  <c r="N576" i="3" s="1"/>
  <c r="H34" i="1" s="1"/>
  <c r="N647" i="3"/>
  <c r="N648" i="3" s="1"/>
  <c r="H40" i="1" s="1"/>
  <c r="N623" i="3"/>
  <c r="N624" i="3" s="1"/>
  <c r="H38" i="1" s="1"/>
  <c r="N664" i="3"/>
  <c r="N521" i="3"/>
  <c r="L526" i="3"/>
  <c r="N443" i="3"/>
  <c r="L447" i="3"/>
  <c r="L380" i="3"/>
  <c r="N412" i="3"/>
  <c r="N391" i="3"/>
  <c r="N394" i="3" s="1"/>
  <c r="N395" i="3" s="1"/>
  <c r="L394" i="3"/>
  <c r="N882" i="3"/>
  <c r="K923" i="3"/>
  <c r="K934" i="3" s="1"/>
  <c r="M297" i="3"/>
  <c r="N297" i="3" s="1"/>
  <c r="J305" i="3"/>
  <c r="M518" i="3"/>
  <c r="N518" i="3" s="1"/>
  <c r="N401" i="3"/>
  <c r="L401" i="3"/>
  <c r="L49" i="3"/>
  <c r="N49" i="3" s="1"/>
  <c r="N387" i="3"/>
  <c r="N388" i="3" s="1"/>
  <c r="L387" i="3"/>
  <c r="L373" i="3"/>
  <c r="A383" i="3"/>
  <c r="A390" i="3" s="1"/>
  <c r="A397" i="3" s="1"/>
  <c r="K414" i="3"/>
  <c r="L414" i="3" s="1"/>
  <c r="N414" i="3" s="1"/>
  <c r="N408" i="3"/>
  <c r="N409" i="3" s="1"/>
  <c r="N650" i="3"/>
  <c r="M657" i="3"/>
  <c r="M658" i="3" s="1"/>
  <c r="K776" i="3" s="1"/>
  <c r="M776" i="3" s="1"/>
  <c r="N776" i="3" s="1"/>
  <c r="M939" i="3"/>
  <c r="N939" i="3" s="1"/>
  <c r="M1004" i="3"/>
  <c r="N1004" i="3" s="1"/>
  <c r="M1018" i="3"/>
  <c r="N1018" i="3" s="1"/>
  <c r="L1020" i="3"/>
  <c r="N1020" i="3" s="1"/>
  <c r="K65" i="3"/>
  <c r="L65" i="3" s="1"/>
  <c r="N65" i="3" s="1"/>
  <c r="K1014" i="3"/>
  <c r="M1014" i="3" s="1"/>
  <c r="N1014" i="3" s="1"/>
  <c r="G315" i="3"/>
  <c r="J315" i="3" s="1"/>
  <c r="G317" i="3"/>
  <c r="J317" i="3" s="1"/>
  <c r="N66" i="3"/>
  <c r="M76" i="3"/>
  <c r="G27" i="3"/>
  <c r="J27" i="3" s="1"/>
  <c r="L27" i="3" s="1"/>
  <c r="N27" i="3" s="1"/>
  <c r="G40" i="3"/>
  <c r="J40" i="3" s="1"/>
  <c r="M50" i="3"/>
  <c r="M277" i="3"/>
  <c r="N269" i="3"/>
  <c r="P371" i="3"/>
  <c r="P372" i="3" s="1"/>
  <c r="L408" i="3"/>
  <c r="M458" i="3"/>
  <c r="N451" i="3"/>
  <c r="N458" i="3" s="1"/>
  <c r="M487" i="3"/>
  <c r="N652" i="3"/>
  <c r="K810" i="3"/>
  <c r="L810" i="3" s="1"/>
  <c r="N810" i="3" s="1"/>
  <c r="K801" i="3"/>
  <c r="L801" i="3" s="1"/>
  <c r="N801" i="3" s="1"/>
  <c r="K653" i="3"/>
  <c r="L653" i="3" s="1"/>
  <c r="N653" i="3" s="1"/>
  <c r="G24" i="3"/>
  <c r="J24" i="3" s="1"/>
  <c r="L24" i="3" s="1"/>
  <c r="N24" i="3" s="1"/>
  <c r="G28" i="3"/>
  <c r="J28" i="3" s="1"/>
  <c r="L28" i="3" s="1"/>
  <c r="N28" i="3" s="1"/>
  <c r="G37" i="3"/>
  <c r="J37" i="3" s="1"/>
  <c r="G41" i="3"/>
  <c r="J41" i="3" s="1"/>
  <c r="N377" i="3"/>
  <c r="N380" i="3" s="1"/>
  <c r="N381" i="3" s="1"/>
  <c r="M423" i="3"/>
  <c r="M447" i="3"/>
  <c r="N441" i="3"/>
  <c r="K656" i="3"/>
  <c r="L656" i="3" s="1"/>
  <c r="N656" i="3" s="1"/>
  <c r="L537" i="3"/>
  <c r="N537" i="3" s="1"/>
  <c r="G25" i="3"/>
  <c r="J25" i="3" s="1"/>
  <c r="L25" i="3" s="1"/>
  <c r="N25" i="3" s="1"/>
  <c r="G29" i="3"/>
  <c r="J29" i="3" s="1"/>
  <c r="L29" i="3" s="1"/>
  <c r="N29" i="3" s="1"/>
  <c r="G38" i="3"/>
  <c r="J38" i="3" s="1"/>
  <c r="G42" i="3"/>
  <c r="J42" i="3" s="1"/>
  <c r="M291" i="3"/>
  <c r="M318" i="3"/>
  <c r="N370" i="3"/>
  <c r="N373" i="3" s="1"/>
  <c r="N374" i="3" s="1"/>
  <c r="M373" i="3"/>
  <c r="N434" i="3"/>
  <c r="N533" i="3"/>
  <c r="K729" i="3"/>
  <c r="L729" i="3" s="1"/>
  <c r="N729" i="3" s="1"/>
  <c r="K666" i="3"/>
  <c r="L666" i="3" s="1"/>
  <c r="N666" i="3" s="1"/>
  <c r="N483" i="3"/>
  <c r="N662" i="3"/>
  <c r="M668" i="3"/>
  <c r="M669" i="3" s="1"/>
  <c r="K793" i="3" s="1"/>
  <c r="N808" i="3"/>
  <c r="M813" i="3"/>
  <c r="N839" i="3"/>
  <c r="M538" i="3"/>
  <c r="M725" i="3"/>
  <c r="M804" i="3"/>
  <c r="N799" i="3"/>
  <c r="N809" i="3"/>
  <c r="M843" i="3"/>
  <c r="N833" i="3"/>
  <c r="L458" i="3"/>
  <c r="N727" i="3"/>
  <c r="N800" i="3"/>
  <c r="A1056" i="3"/>
  <c r="A1066" i="3" s="1"/>
  <c r="A1076" i="3" s="1"/>
  <c r="A1086" i="3" s="1"/>
  <c r="A1096" i="3" s="1"/>
  <c r="A1106" i="3" s="1"/>
  <c r="A1116" i="3" s="1"/>
  <c r="N980" i="3"/>
  <c r="L872" i="3"/>
  <c r="N872" i="3" s="1"/>
  <c r="L957" i="3"/>
  <c r="N957" i="3" s="1"/>
  <c r="L945" i="3"/>
  <c r="N945" i="3" s="1"/>
  <c r="L871" i="3"/>
  <c r="N871" i="3" s="1"/>
  <c r="M883" i="3"/>
  <c r="L881" i="3"/>
  <c r="N951" i="3"/>
  <c r="N1026" i="3"/>
  <c r="M1031" i="3"/>
  <c r="N1031" i="3" s="1"/>
  <c r="N1045" i="3"/>
  <c r="N245" i="3" l="1"/>
  <c r="K56" i="3"/>
  <c r="K118" i="3" s="1"/>
  <c r="L118" i="3" s="1"/>
  <c r="N118" i="3" s="1"/>
  <c r="K274" i="3"/>
  <c r="K288" i="3" s="1"/>
  <c r="K302" i="3" s="1"/>
  <c r="L302" i="3" s="1"/>
  <c r="N302" i="3" s="1"/>
  <c r="B44" i="2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11" i="2" s="1"/>
  <c r="B129" i="2" s="1"/>
  <c r="B136" i="2" s="1"/>
  <c r="B146" i="2" s="1"/>
  <c r="B154" i="2" s="1"/>
  <c r="L487" i="3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L499" i="3"/>
  <c r="N499" i="3" s="1"/>
  <c r="K512" i="3"/>
  <c r="L512" i="3" s="1"/>
  <c r="N512" i="3" s="1"/>
  <c r="L498" i="3"/>
  <c r="N498" i="3" s="1"/>
  <c r="K511" i="3"/>
  <c r="L511" i="3" s="1"/>
  <c r="N511" i="3" s="1"/>
  <c r="K510" i="3"/>
  <c r="L510" i="3" s="1"/>
  <c r="N510" i="3" s="1"/>
  <c r="L497" i="3"/>
  <c r="N497" i="3" s="1"/>
  <c r="L496" i="3"/>
  <c r="K509" i="3"/>
  <c r="L509" i="3" s="1"/>
  <c r="L41" i="3"/>
  <c r="N41" i="3" s="1"/>
  <c r="K71" i="3"/>
  <c r="L71" i="3" s="1"/>
  <c r="N71" i="3" s="1"/>
  <c r="K116" i="3"/>
  <c r="K175" i="3" s="1"/>
  <c r="K234" i="3" s="1"/>
  <c r="L39" i="3"/>
  <c r="N39" i="3" s="1"/>
  <c r="K52" i="3"/>
  <c r="K114" i="3" s="1"/>
  <c r="K173" i="3" s="1"/>
  <c r="K232" i="3" s="1"/>
  <c r="L37" i="3"/>
  <c r="N37" i="3" s="1"/>
  <c r="L111" i="3"/>
  <c r="N111" i="3" s="1"/>
  <c r="K170" i="3"/>
  <c r="K273" i="3"/>
  <c r="K287" i="3" s="1"/>
  <c r="K301" i="3" s="1"/>
  <c r="K303" i="3" s="1"/>
  <c r="L303" i="3" s="1"/>
  <c r="N303" i="3" s="1"/>
  <c r="K72" i="3"/>
  <c r="L72" i="3" s="1"/>
  <c r="N72" i="3" s="1"/>
  <c r="K117" i="3"/>
  <c r="K176" i="3" s="1"/>
  <c r="K235" i="3" s="1"/>
  <c r="L88" i="3"/>
  <c r="N88" i="3" s="1"/>
  <c r="K57" i="3"/>
  <c r="L57" i="3" s="1"/>
  <c r="N57" i="3" s="1"/>
  <c r="L40" i="3"/>
  <c r="N40" i="3" s="1"/>
  <c r="L90" i="3"/>
  <c r="N90" i="3" s="1"/>
  <c r="L91" i="3"/>
  <c r="N91" i="3" s="1"/>
  <c r="K58" i="3"/>
  <c r="L58" i="3" s="1"/>
  <c r="N58" i="3" s="1"/>
  <c r="K104" i="3"/>
  <c r="L104" i="3" s="1"/>
  <c r="N104" i="3" s="1"/>
  <c r="K150" i="3"/>
  <c r="K163" i="3" s="1"/>
  <c r="K102" i="3"/>
  <c r="L102" i="3" s="1"/>
  <c r="N102" i="3" s="1"/>
  <c r="K148" i="3"/>
  <c r="K161" i="3" s="1"/>
  <c r="K103" i="3"/>
  <c r="L103" i="3" s="1"/>
  <c r="N103" i="3" s="1"/>
  <c r="K149" i="3"/>
  <c r="K162" i="3" s="1"/>
  <c r="L42" i="3"/>
  <c r="N42" i="3" s="1"/>
  <c r="K100" i="3"/>
  <c r="L100" i="3" s="1"/>
  <c r="N100" i="3" s="1"/>
  <c r="K146" i="3"/>
  <c r="K159" i="3" s="1"/>
  <c r="L163" i="3"/>
  <c r="N163" i="3" s="1"/>
  <c r="K99" i="3"/>
  <c r="L99" i="3" s="1"/>
  <c r="N99" i="3" s="1"/>
  <c r="K145" i="3"/>
  <c r="K158" i="3" s="1"/>
  <c r="K101" i="3"/>
  <c r="L101" i="3" s="1"/>
  <c r="N101" i="3" s="1"/>
  <c r="K147" i="3"/>
  <c r="K160" i="3" s="1"/>
  <c r="L89" i="3"/>
  <c r="N89" i="3" s="1"/>
  <c r="L87" i="3"/>
  <c r="N87" i="3" s="1"/>
  <c r="K53" i="3"/>
  <c r="L38" i="3"/>
  <c r="N38" i="3" s="1"/>
  <c r="L86" i="3"/>
  <c r="N86" i="3" s="1"/>
  <c r="H38" i="9"/>
  <c r="I38" i="9" s="1"/>
  <c r="H27" i="9"/>
  <c r="I27" i="9" s="1"/>
  <c r="K36" i="5"/>
  <c r="H23" i="7" s="1"/>
  <c r="I23" i="7" s="1"/>
  <c r="M759" i="3"/>
  <c r="K773" i="3"/>
  <c r="M773" i="3" s="1"/>
  <c r="N657" i="3"/>
  <c r="O657" i="3" s="1"/>
  <c r="N447" i="3"/>
  <c r="N448" i="3" s="1"/>
  <c r="N459" i="3"/>
  <c r="N460" i="3" s="1"/>
  <c r="H25" i="1" s="1"/>
  <c r="K1286" i="3"/>
  <c r="N677" i="3"/>
  <c r="N679" i="3" s="1"/>
  <c r="L679" i="3"/>
  <c r="N716" i="3"/>
  <c r="N718" i="3" s="1"/>
  <c r="O658" i="3" s="1"/>
  <c r="L718" i="3"/>
  <c r="N690" i="3"/>
  <c r="N692" i="3" s="1"/>
  <c r="L692" i="3"/>
  <c r="K1117" i="3"/>
  <c r="L1117" i="3" s="1"/>
  <c r="K1097" i="3"/>
  <c r="L1097" i="3" s="1"/>
  <c r="K1077" i="3"/>
  <c r="L1077" i="3" s="1"/>
  <c r="K1127" i="3"/>
  <c r="L1127" i="3" s="1"/>
  <c r="K1107" i="3"/>
  <c r="L1107" i="3" s="1"/>
  <c r="K1087" i="3"/>
  <c r="L1087" i="3" s="1"/>
  <c r="K1067" i="3"/>
  <c r="L1067" i="3" s="1"/>
  <c r="N703" i="3"/>
  <c r="N705" i="3" s="1"/>
  <c r="L705" i="3"/>
  <c r="N402" i="3"/>
  <c r="N403" i="3" s="1"/>
  <c r="K1186" i="3"/>
  <c r="L1186" i="3" s="1"/>
  <c r="K1209" i="3"/>
  <c r="L1209" i="3" s="1"/>
  <c r="K1217" i="3"/>
  <c r="L1217" i="3" s="1"/>
  <c r="K1201" i="3"/>
  <c r="L1201" i="3" s="1"/>
  <c r="K1178" i="3"/>
  <c r="L1178" i="3" s="1"/>
  <c r="N415" i="3"/>
  <c r="N416" i="3" s="1"/>
  <c r="L415" i="3"/>
  <c r="N526" i="3"/>
  <c r="L538" i="3"/>
  <c r="K916" i="3" s="1"/>
  <c r="L916" i="3" s="1"/>
  <c r="N916" i="3" s="1"/>
  <c r="L668" i="3"/>
  <c r="L669" i="3" s="1"/>
  <c r="K792" i="3" s="1"/>
  <c r="A1126" i="3"/>
  <c r="A1136" i="3"/>
  <c r="A1144" i="3" s="1"/>
  <c r="A1152" i="3" s="1"/>
  <c r="A1160" i="3" s="1"/>
  <c r="A1168" i="3" s="1"/>
  <c r="A1177" i="3" s="1"/>
  <c r="A1185" i="3" s="1"/>
  <c r="A1200" i="3" s="1"/>
  <c r="A1208" i="3" s="1"/>
  <c r="K889" i="3"/>
  <c r="M889" i="3" s="1"/>
  <c r="M891" i="3" s="1"/>
  <c r="L315" i="3"/>
  <c r="N315" i="3" s="1"/>
  <c r="K868" i="3"/>
  <c r="M868" i="3" s="1"/>
  <c r="N868" i="3" s="1"/>
  <c r="A672" i="3"/>
  <c r="A682" i="3" s="1"/>
  <c r="A695" i="3" s="1"/>
  <c r="A708" i="3" s="1"/>
  <c r="K790" i="3"/>
  <c r="M790" i="3" s="1"/>
  <c r="N790" i="3" s="1"/>
  <c r="M306" i="3"/>
  <c r="M526" i="3"/>
  <c r="N410" i="3"/>
  <c r="H19" i="1" s="1"/>
  <c r="K749" i="3"/>
  <c r="M749" i="3" s="1"/>
  <c r="N749" i="3" s="1"/>
  <c r="K762" i="3"/>
  <c r="M762" i="3" s="1"/>
  <c r="N762" i="3" s="1"/>
  <c r="L300" i="3"/>
  <c r="N300" i="3" s="1"/>
  <c r="L289" i="3"/>
  <c r="N289" i="3" s="1"/>
  <c r="L275" i="3"/>
  <c r="N275" i="3" s="1"/>
  <c r="L804" i="3"/>
  <c r="K1016" i="3" s="1"/>
  <c r="L1016" i="3" s="1"/>
  <c r="L732" i="3"/>
  <c r="L733" i="3" s="1"/>
  <c r="K751" i="3" s="1"/>
  <c r="K764" i="3" s="1"/>
  <c r="K778" i="3" s="1"/>
  <c r="K422" i="3"/>
  <c r="L422" i="3" s="1"/>
  <c r="N422" i="3" s="1"/>
  <c r="N423" i="3" s="1"/>
  <c r="N396" i="3"/>
  <c r="L317" i="3"/>
  <c r="N317" i="3" s="1"/>
  <c r="N389" i="3"/>
  <c r="L271" i="3"/>
  <c r="N271" i="3" s="1"/>
  <c r="L276" i="3"/>
  <c r="N276" i="3" s="1"/>
  <c r="L813" i="3"/>
  <c r="N813" i="3" s="1"/>
  <c r="N538" i="3"/>
  <c r="N539" i="3" s="1"/>
  <c r="L285" i="3"/>
  <c r="N285" i="3" s="1"/>
  <c r="L55" i="3"/>
  <c r="N55" i="3" s="1"/>
  <c r="K917" i="3"/>
  <c r="M917" i="3" s="1"/>
  <c r="K787" i="3"/>
  <c r="M787" i="3" s="1"/>
  <c r="K865" i="3"/>
  <c r="M865" i="3" s="1"/>
  <c r="K849" i="3"/>
  <c r="M849" i="3" s="1"/>
  <c r="N375" i="3"/>
  <c r="H17" i="1" s="1"/>
  <c r="J259" i="5" s="1"/>
  <c r="K259" i="5" s="1"/>
  <c r="L657" i="3"/>
  <c r="L658" i="3" s="1"/>
  <c r="L305" i="3"/>
  <c r="N305" i="3" s="1"/>
  <c r="L923" i="3"/>
  <c r="N923" i="3" s="1"/>
  <c r="N881" i="3"/>
  <c r="N883" i="3" s="1"/>
  <c r="N884" i="3" s="1"/>
  <c r="L883" i="3"/>
  <c r="K1007" i="3"/>
  <c r="M1007" i="3" s="1"/>
  <c r="K1048" i="3"/>
  <c r="M1048" i="3" s="1"/>
  <c r="K1029" i="3"/>
  <c r="M1029" i="3" s="1"/>
  <c r="K1017" i="3"/>
  <c r="M1017" i="3" s="1"/>
  <c r="K983" i="3"/>
  <c r="K942" i="3"/>
  <c r="K973" i="3"/>
  <c r="M973" i="3" s="1"/>
  <c r="K932" i="3"/>
  <c r="M932" i="3" s="1"/>
  <c r="K852" i="3"/>
  <c r="M852" i="3" s="1"/>
  <c r="N852" i="3" s="1"/>
  <c r="K826" i="3"/>
  <c r="M826" i="3" s="1"/>
  <c r="M793" i="3"/>
  <c r="N793" i="3" s="1"/>
  <c r="N382" i="3"/>
  <c r="H18" i="1" s="1"/>
  <c r="J263" i="5" s="1"/>
  <c r="K263" i="5" s="1"/>
  <c r="N487" i="3"/>
  <c r="N488" i="3" s="1"/>
  <c r="M59" i="3"/>
  <c r="N50" i="3"/>
  <c r="L54" i="3"/>
  <c r="N54" i="3" s="1"/>
  <c r="L290" i="3"/>
  <c r="N290" i="3" s="1"/>
  <c r="N725" i="3"/>
  <c r="N726" i="3" s="1"/>
  <c r="N732" i="3" s="1"/>
  <c r="N733" i="3" s="1"/>
  <c r="N734" i="3" s="1"/>
  <c r="M726" i="3"/>
  <c r="M732" i="3" s="1"/>
  <c r="M733" i="3" s="1"/>
  <c r="K752" i="3" s="1"/>
  <c r="K765" i="3" s="1"/>
  <c r="K779" i="3" s="1"/>
  <c r="M779" i="3" s="1"/>
  <c r="N779" i="3" s="1"/>
  <c r="N668" i="3"/>
  <c r="N669" i="3" s="1"/>
  <c r="N670" i="3" s="1"/>
  <c r="K1153" i="3"/>
  <c r="L1153" i="3" s="1"/>
  <c r="K1169" i="3"/>
  <c r="L1169" i="3" s="1"/>
  <c r="K1137" i="3"/>
  <c r="L1137" i="3" s="1"/>
  <c r="K1161" i="3"/>
  <c r="L1161" i="3" s="1"/>
  <c r="K1145" i="3"/>
  <c r="L1145" i="3" s="1"/>
  <c r="K1057" i="3"/>
  <c r="L1057" i="3" s="1"/>
  <c r="K841" i="3"/>
  <c r="L841" i="3" s="1"/>
  <c r="K1266" i="3"/>
  <c r="L1266" i="3" s="1"/>
  <c r="K1233" i="3"/>
  <c r="L1233" i="3" s="1"/>
  <c r="K1249" i="3"/>
  <c r="L1249" i="3" s="1"/>
  <c r="K912" i="3"/>
  <c r="L912" i="3" s="1"/>
  <c r="K903" i="3"/>
  <c r="L903" i="3" s="1"/>
  <c r="K1258" i="3"/>
  <c r="L1258" i="3" s="1"/>
  <c r="K1225" i="3"/>
  <c r="L1225" i="3" s="1"/>
  <c r="K1274" i="3"/>
  <c r="L1274" i="3" s="1"/>
  <c r="K1241" i="3"/>
  <c r="L1241" i="3" s="1"/>
  <c r="L272" i="3"/>
  <c r="N272" i="3" s="1"/>
  <c r="L286" i="3"/>
  <c r="N286" i="3" s="1"/>
  <c r="L304" i="3"/>
  <c r="N304" i="3" s="1"/>
  <c r="L288" i="3" l="1"/>
  <c r="N288" i="3" s="1"/>
  <c r="K135" i="3"/>
  <c r="L135" i="3" s="1"/>
  <c r="N135" i="3" s="1"/>
  <c r="K177" i="3"/>
  <c r="K236" i="3" s="1"/>
  <c r="K251" i="3"/>
  <c r="L251" i="3" s="1"/>
  <c r="N251" i="3" s="1"/>
  <c r="L234" i="3"/>
  <c r="N234" i="3" s="1"/>
  <c r="L170" i="3"/>
  <c r="N170" i="3" s="1"/>
  <c r="K229" i="3"/>
  <c r="L229" i="3" s="1"/>
  <c r="K252" i="3"/>
  <c r="L252" i="3" s="1"/>
  <c r="N252" i="3" s="1"/>
  <c r="L235" i="3"/>
  <c r="N235" i="3" s="1"/>
  <c r="K249" i="3"/>
  <c r="L249" i="3" s="1"/>
  <c r="L232" i="3"/>
  <c r="N232" i="3" s="1"/>
  <c r="L301" i="3"/>
  <c r="N301" i="3" s="1"/>
  <c r="L56" i="3"/>
  <c r="N56" i="3" s="1"/>
  <c r="L274" i="3"/>
  <c r="N274" i="3" s="1"/>
  <c r="K73" i="3"/>
  <c r="L73" i="3" s="1"/>
  <c r="N73" i="3" s="1"/>
  <c r="N509" i="3"/>
  <c r="N513" i="3" s="1"/>
  <c r="L513" i="3"/>
  <c r="L500" i="3"/>
  <c r="N496" i="3"/>
  <c r="N500" i="3" s="1"/>
  <c r="N501" i="3" s="1"/>
  <c r="N502" i="3" s="1"/>
  <c r="H28" i="1" s="1"/>
  <c r="J272" i="5" s="1"/>
  <c r="K272" i="5" s="1"/>
  <c r="L287" i="3"/>
  <c r="N287" i="3" s="1"/>
  <c r="N291" i="3" s="1"/>
  <c r="N292" i="3" s="1"/>
  <c r="L52" i="3"/>
  <c r="N52" i="3" s="1"/>
  <c r="K69" i="3"/>
  <c r="L69" i="3" s="1"/>
  <c r="N69" i="3" s="1"/>
  <c r="L273" i="3"/>
  <c r="N273" i="3" s="1"/>
  <c r="K107" i="5"/>
  <c r="J269" i="5"/>
  <c r="K269" i="5" s="1"/>
  <c r="K74" i="3"/>
  <c r="L74" i="3" s="1"/>
  <c r="N74" i="3" s="1"/>
  <c r="K119" i="3"/>
  <c r="K194" i="3"/>
  <c r="L177" i="3"/>
  <c r="N177" i="3" s="1"/>
  <c r="K70" i="3"/>
  <c r="L70" i="3" s="1"/>
  <c r="N70" i="3" s="1"/>
  <c r="K115" i="3"/>
  <c r="K174" i="3" s="1"/>
  <c r="K233" i="3" s="1"/>
  <c r="K193" i="3"/>
  <c r="L193" i="3" s="1"/>
  <c r="N193" i="3" s="1"/>
  <c r="L176" i="3"/>
  <c r="N176" i="3" s="1"/>
  <c r="L173" i="3"/>
  <c r="N173" i="3" s="1"/>
  <c r="K190" i="3"/>
  <c r="L150" i="3"/>
  <c r="N150" i="3" s="1"/>
  <c r="K75" i="3"/>
  <c r="L75" i="3" s="1"/>
  <c r="N75" i="3" s="1"/>
  <c r="K120" i="3"/>
  <c r="K192" i="3"/>
  <c r="L175" i="3"/>
  <c r="N175" i="3" s="1"/>
  <c r="K134" i="3"/>
  <c r="L134" i="3" s="1"/>
  <c r="N134" i="3" s="1"/>
  <c r="L117" i="3"/>
  <c r="N117" i="3" s="1"/>
  <c r="L159" i="3"/>
  <c r="N159" i="3" s="1"/>
  <c r="L160" i="3"/>
  <c r="N160" i="3" s="1"/>
  <c r="L162" i="3"/>
  <c r="N162" i="3" s="1"/>
  <c r="L158" i="3"/>
  <c r="N158" i="3" s="1"/>
  <c r="L161" i="3"/>
  <c r="N161" i="3" s="1"/>
  <c r="L145" i="3"/>
  <c r="N145" i="3" s="1"/>
  <c r="L53" i="3"/>
  <c r="N53" i="3" s="1"/>
  <c r="L147" i="3"/>
  <c r="N147" i="3" s="1"/>
  <c r="L146" i="3"/>
  <c r="N146" i="3" s="1"/>
  <c r="L149" i="3"/>
  <c r="N149" i="3" s="1"/>
  <c r="L148" i="3"/>
  <c r="N148" i="3" s="1"/>
  <c r="I40" i="9"/>
  <c r="I46" i="9" s="1"/>
  <c r="J224" i="5" s="1"/>
  <c r="K224" i="5" s="1"/>
  <c r="K253" i="5" s="1"/>
  <c r="N253" i="5" s="1"/>
  <c r="J301" i="5"/>
  <c r="K95" i="5"/>
  <c r="K90" i="5" s="1"/>
  <c r="J297" i="5"/>
  <c r="N658" i="3"/>
  <c r="N659" i="3" s="1"/>
  <c r="N660" i="3" s="1"/>
  <c r="H41" i="1" s="1"/>
  <c r="B161" i="2"/>
  <c r="B162" i="2" s="1"/>
  <c r="B165" i="2" s="1"/>
  <c r="B166" i="2" s="1"/>
  <c r="B169" i="2" s="1"/>
  <c r="B176" i="2" s="1"/>
  <c r="B188" i="2" s="1"/>
  <c r="B195" i="2" s="1"/>
  <c r="B198" i="2" s="1"/>
  <c r="B199" i="2" s="1"/>
  <c r="B200" i="2" s="1"/>
  <c r="M752" i="3"/>
  <c r="N752" i="3" s="1"/>
  <c r="M765" i="3"/>
  <c r="N765" i="3" s="1"/>
  <c r="N449" i="3"/>
  <c r="H24" i="1" s="1"/>
  <c r="O659" i="3"/>
  <c r="M1286" i="3"/>
  <c r="N1286" i="3" s="1"/>
  <c r="N1288" i="3" s="1"/>
  <c r="K1296" i="3"/>
  <c r="N417" i="3"/>
  <c r="H20" i="1" s="1"/>
  <c r="L1093" i="3"/>
  <c r="N1087" i="3"/>
  <c r="N1093" i="3" s="1"/>
  <c r="L1103" i="3"/>
  <c r="N1097" i="3"/>
  <c r="N1103" i="3" s="1"/>
  <c r="N1107" i="3"/>
  <c r="N1113" i="3" s="1"/>
  <c r="N1114" i="3" s="1"/>
  <c r="N1115" i="3" s="1"/>
  <c r="L1113" i="3"/>
  <c r="L1123" i="3"/>
  <c r="N1117" i="3"/>
  <c r="N1123" i="3" s="1"/>
  <c r="N719" i="3"/>
  <c r="N720" i="3" s="1"/>
  <c r="H46" i="1" s="1"/>
  <c r="N706" i="3"/>
  <c r="N707" i="3" s="1"/>
  <c r="H45" i="1" s="1"/>
  <c r="L1133" i="3"/>
  <c r="N1127" i="3"/>
  <c r="N1133" i="3" s="1"/>
  <c r="L1073" i="3"/>
  <c r="N1067" i="3"/>
  <c r="N1073" i="3" s="1"/>
  <c r="L1083" i="3"/>
  <c r="N1077" i="3"/>
  <c r="N1083" i="3" s="1"/>
  <c r="N693" i="3"/>
  <c r="N694" i="3" s="1"/>
  <c r="H44" i="1" s="1"/>
  <c r="N680" i="3"/>
  <c r="N681" i="3" s="1"/>
  <c r="H43" i="1" s="1"/>
  <c r="N424" i="3"/>
  <c r="N425" i="3" s="1"/>
  <c r="H21" i="1" s="1"/>
  <c r="J264" i="5" s="1"/>
  <c r="K264" i="5" s="1"/>
  <c r="N527" i="3"/>
  <c r="N528" i="3" s="1"/>
  <c r="H30" i="1" s="1"/>
  <c r="A1216" i="3"/>
  <c r="A1224" i="3" s="1"/>
  <c r="A1232" i="3" s="1"/>
  <c r="A1240" i="3" s="1"/>
  <c r="A1248" i="3" s="1"/>
  <c r="A1257" i="3" s="1"/>
  <c r="A1265" i="3" s="1"/>
  <c r="A1273" i="3" s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A721" i="3"/>
  <c r="A743" i="3" s="1"/>
  <c r="A756" i="3" s="1"/>
  <c r="A770" i="3" s="1"/>
  <c r="A784" i="3" s="1"/>
  <c r="A798" i="3" s="1"/>
  <c r="A807" i="3" s="1"/>
  <c r="A823" i="3" s="1"/>
  <c r="A832" i="3" s="1"/>
  <c r="A846" i="3" s="1"/>
  <c r="A862" i="3" s="1"/>
  <c r="A876" i="3" s="1"/>
  <c r="A886" i="3" s="1"/>
  <c r="A901" i="3" s="1"/>
  <c r="A910" i="3" s="1"/>
  <c r="N889" i="3"/>
  <c r="K786" i="3"/>
  <c r="L786" i="3" s="1"/>
  <c r="N786" i="3" s="1"/>
  <c r="K745" i="3"/>
  <c r="L745" i="3" s="1"/>
  <c r="N745" i="3" s="1"/>
  <c r="K758" i="3"/>
  <c r="L758" i="3" s="1"/>
  <c r="N758" i="3" s="1"/>
  <c r="K772" i="3"/>
  <c r="L772" i="3" s="1"/>
  <c r="N772" i="3" s="1"/>
  <c r="K851" i="3"/>
  <c r="L851" i="3" s="1"/>
  <c r="N851" i="3" s="1"/>
  <c r="K931" i="3"/>
  <c r="L931" i="3" s="1"/>
  <c r="N931" i="3" s="1"/>
  <c r="K1028" i="3"/>
  <c r="L1028" i="3" s="1"/>
  <c r="N1028" i="3" s="1"/>
  <c r="K972" i="3"/>
  <c r="L972" i="3" s="1"/>
  <c r="N972" i="3" s="1"/>
  <c r="K1047" i="3"/>
  <c r="L1047" i="3" s="1"/>
  <c r="N1047" i="3" s="1"/>
  <c r="K825" i="3"/>
  <c r="L825" i="3" s="1"/>
  <c r="N825" i="3" s="1"/>
  <c r="K982" i="3"/>
  <c r="L982" i="3" s="1"/>
  <c r="K1006" i="3"/>
  <c r="L1006" i="3" s="1"/>
  <c r="N1006" i="3" s="1"/>
  <c r="K941" i="3"/>
  <c r="L941" i="3" s="1"/>
  <c r="N804" i="3"/>
  <c r="N805" i="3" s="1"/>
  <c r="N806" i="3" s="1"/>
  <c r="H101" i="1" s="1"/>
  <c r="K429" i="3"/>
  <c r="K436" i="3" s="1"/>
  <c r="L436" i="3" s="1"/>
  <c r="L437" i="3" s="1"/>
  <c r="L423" i="3"/>
  <c r="K848" i="3"/>
  <c r="L848" i="3" s="1"/>
  <c r="N848" i="3" s="1"/>
  <c r="K864" i="3"/>
  <c r="L864" i="3" s="1"/>
  <c r="N864" i="3" s="1"/>
  <c r="N540" i="3"/>
  <c r="H31" i="1" s="1"/>
  <c r="J102" i="5" s="1"/>
  <c r="K102" i="5" s="1"/>
  <c r="N1241" i="3"/>
  <c r="N912" i="3"/>
  <c r="L1164" i="3"/>
  <c r="L1165" i="3" s="1"/>
  <c r="N1161" i="3"/>
  <c r="N1164" i="3" s="1"/>
  <c r="N1165" i="3" s="1"/>
  <c r="K1250" i="3" s="1"/>
  <c r="N1186" i="3"/>
  <c r="N1225" i="3"/>
  <c r="N1178" i="3"/>
  <c r="N1266" i="3"/>
  <c r="N841" i="3"/>
  <c r="N843" i="3" s="1"/>
  <c r="N844" i="3" s="1"/>
  <c r="L843" i="3"/>
  <c r="N1137" i="3"/>
  <c r="N1140" i="3" s="1"/>
  <c r="N1141" i="3" s="1"/>
  <c r="L1140" i="3"/>
  <c r="L1141" i="3" s="1"/>
  <c r="M829" i="3"/>
  <c r="N826" i="3"/>
  <c r="K954" i="3"/>
  <c r="M954" i="3" s="1"/>
  <c r="M942" i="3"/>
  <c r="N1048" i="3"/>
  <c r="M1053" i="3"/>
  <c r="K789" i="3"/>
  <c r="L789" i="3" s="1"/>
  <c r="N789" i="3" s="1"/>
  <c r="K775" i="3"/>
  <c r="L775" i="3" s="1"/>
  <c r="N775" i="3" s="1"/>
  <c r="K761" i="3"/>
  <c r="L761" i="3" s="1"/>
  <c r="N761" i="3" s="1"/>
  <c r="K867" i="3"/>
  <c r="L867" i="3" s="1"/>
  <c r="N867" i="3" s="1"/>
  <c r="K748" i="3"/>
  <c r="L748" i="3" s="1"/>
  <c r="N748" i="3" s="1"/>
  <c r="K888" i="3"/>
  <c r="L888" i="3" s="1"/>
  <c r="N849" i="3"/>
  <c r="M859" i="3"/>
  <c r="N759" i="3"/>
  <c r="N814" i="3"/>
  <c r="N815" i="3" s="1"/>
  <c r="H102" i="1" s="1"/>
  <c r="N1249" i="3"/>
  <c r="L1063" i="3"/>
  <c r="N1057" i="3"/>
  <c r="N1063" i="3" s="1"/>
  <c r="N1064" i="3" s="1"/>
  <c r="N489" i="3"/>
  <c r="H27" i="1" s="1"/>
  <c r="K995" i="3"/>
  <c r="M995" i="3" s="1"/>
  <c r="M983" i="3"/>
  <c r="N1007" i="3"/>
  <c r="M1010" i="3"/>
  <c r="M873" i="3"/>
  <c r="N865" i="3"/>
  <c r="M781" i="3"/>
  <c r="N773" i="3"/>
  <c r="N1217" i="3"/>
  <c r="N1169" i="3"/>
  <c r="N1172" i="3" s="1"/>
  <c r="N1173" i="3" s="1"/>
  <c r="K1267" i="3" s="1"/>
  <c r="L1172" i="3"/>
  <c r="L1173" i="3" s="1"/>
  <c r="N735" i="3"/>
  <c r="H47" i="1" s="1"/>
  <c r="N1016" i="3"/>
  <c r="N1274" i="3"/>
  <c r="N903" i="3"/>
  <c r="N1201" i="3"/>
  <c r="L1148" i="3"/>
  <c r="L1149" i="3" s="1"/>
  <c r="N1145" i="3"/>
  <c r="N1148" i="3" s="1"/>
  <c r="N1149" i="3" s="1"/>
  <c r="K1218" i="3" s="1"/>
  <c r="N1153" i="3"/>
  <c r="N1156" i="3" s="1"/>
  <c r="N1157" i="3" s="1"/>
  <c r="K1234" i="3" s="1"/>
  <c r="K1242" i="3" s="1"/>
  <c r="L1156" i="3"/>
  <c r="L1157" i="3" s="1"/>
  <c r="N932" i="3"/>
  <c r="M935" i="3"/>
  <c r="N1017" i="3"/>
  <c r="M1022" i="3"/>
  <c r="M794" i="3"/>
  <c r="N787" i="3"/>
  <c r="N1258" i="3"/>
  <c r="N1209" i="3"/>
  <c r="N1233" i="3"/>
  <c r="N671" i="3"/>
  <c r="H42" i="1" s="1"/>
  <c r="L291" i="3"/>
  <c r="N973" i="3"/>
  <c r="M976" i="3"/>
  <c r="N1029" i="3"/>
  <c r="M1034" i="3"/>
  <c r="N885" i="3"/>
  <c r="H107" i="1" s="1"/>
  <c r="L751" i="3"/>
  <c r="N751" i="3" s="1"/>
  <c r="L792" i="3"/>
  <c r="N792" i="3" s="1"/>
  <c r="L778" i="3"/>
  <c r="N778" i="3" s="1"/>
  <c r="L764" i="3"/>
  <c r="N764" i="3" s="1"/>
  <c r="N746" i="3"/>
  <c r="N917" i="3"/>
  <c r="M924" i="3"/>
  <c r="K22" i="5" l="1"/>
  <c r="L90" i="5"/>
  <c r="K250" i="3"/>
  <c r="L250" i="3" s="1"/>
  <c r="N250" i="3" s="1"/>
  <c r="L233" i="3"/>
  <c r="N233" i="3" s="1"/>
  <c r="N229" i="3"/>
  <c r="L194" i="3"/>
  <c r="N194" i="3" s="1"/>
  <c r="K207" i="3"/>
  <c r="L190" i="3"/>
  <c r="N190" i="3" s="1"/>
  <c r="K204" i="3"/>
  <c r="L236" i="3"/>
  <c r="N236" i="3" s="1"/>
  <c r="K253" i="3"/>
  <c r="L253" i="3" s="1"/>
  <c r="N253" i="3" s="1"/>
  <c r="N249" i="3"/>
  <c r="L192" i="3"/>
  <c r="N192" i="3" s="1"/>
  <c r="K206" i="3"/>
  <c r="N514" i="3"/>
  <c r="N515" i="3" s="1"/>
  <c r="H29" i="1" s="1"/>
  <c r="J273" i="5" s="1"/>
  <c r="K273" i="5" s="1"/>
  <c r="K108" i="5"/>
  <c r="J271" i="5"/>
  <c r="K271" i="5" s="1"/>
  <c r="B58" i="1"/>
  <c r="B59" i="1" s="1"/>
  <c r="B60" i="1" s="1"/>
  <c r="K191" i="3"/>
  <c r="L174" i="3"/>
  <c r="N174" i="3" s="1"/>
  <c r="K137" i="3"/>
  <c r="L137" i="3" s="1"/>
  <c r="N137" i="3" s="1"/>
  <c r="K179" i="3"/>
  <c r="K238" i="3" s="1"/>
  <c r="L120" i="3"/>
  <c r="N120" i="3" s="1"/>
  <c r="K136" i="3"/>
  <c r="L136" i="3" s="1"/>
  <c r="N136" i="3" s="1"/>
  <c r="K178" i="3"/>
  <c r="K237" i="3" s="1"/>
  <c r="L119" i="3"/>
  <c r="N119" i="3" s="1"/>
  <c r="K133" i="3"/>
  <c r="L133" i="3" s="1"/>
  <c r="N133" i="3" s="1"/>
  <c r="L116" i="3"/>
  <c r="N116" i="3" s="1"/>
  <c r="K131" i="3"/>
  <c r="L131" i="3" s="1"/>
  <c r="N131" i="3" s="1"/>
  <c r="L114" i="3"/>
  <c r="N114" i="3" s="1"/>
  <c r="K132" i="3"/>
  <c r="L132" i="3" s="1"/>
  <c r="N132" i="3" s="1"/>
  <c r="L115" i="3"/>
  <c r="N115" i="3" s="1"/>
  <c r="M112" i="3"/>
  <c r="K128" i="3"/>
  <c r="M128" i="3" s="1"/>
  <c r="K32" i="5"/>
  <c r="H21" i="7" s="1"/>
  <c r="I21" i="7" s="1"/>
  <c r="L253" i="5"/>
  <c r="K103" i="5"/>
  <c r="J307" i="5"/>
  <c r="K97" i="5"/>
  <c r="J302" i="5"/>
  <c r="J318" i="5"/>
  <c r="B205" i="2"/>
  <c r="B206" i="2" s="1"/>
  <c r="M767" i="3"/>
  <c r="M753" i="3"/>
  <c r="K1305" i="3"/>
  <c r="M1296" i="3"/>
  <c r="N1296" i="3" s="1"/>
  <c r="N1298" i="3" s="1"/>
  <c r="N1289" i="3"/>
  <c r="N1290" i="3" s="1"/>
  <c r="H155" i="1" s="1"/>
  <c r="N1074" i="3"/>
  <c r="N1075" i="3" s="1"/>
  <c r="N1124" i="3"/>
  <c r="N1125" i="3" s="1"/>
  <c r="K1226" i="3"/>
  <c r="N1104" i="3"/>
  <c r="N1105" i="3" s="1"/>
  <c r="N1084" i="3"/>
  <c r="N1085" i="3" s="1"/>
  <c r="K1275" i="3"/>
  <c r="L1275" i="3" s="1"/>
  <c r="N1134" i="3"/>
  <c r="N1135" i="3" s="1"/>
  <c r="K1202" i="3"/>
  <c r="K1259" i="3"/>
  <c r="L1259" i="3" s="1"/>
  <c r="N1094" i="3"/>
  <c r="N1095" i="3" s="1"/>
  <c r="N1065" i="3"/>
  <c r="N436" i="3"/>
  <c r="N437" i="3" s="1"/>
  <c r="L429" i="3"/>
  <c r="N429" i="3" s="1"/>
  <c r="N430" i="3" s="1"/>
  <c r="K994" i="3"/>
  <c r="L994" i="3" s="1"/>
  <c r="L829" i="3"/>
  <c r="L859" i="3"/>
  <c r="K953" i="3"/>
  <c r="L953" i="3" s="1"/>
  <c r="N953" i="3" s="1"/>
  <c r="L767" i="3"/>
  <c r="N873" i="3"/>
  <c r="L873" i="3"/>
  <c r="N859" i="3"/>
  <c r="K296" i="3"/>
  <c r="L296" i="3" s="1"/>
  <c r="N781" i="3"/>
  <c r="N782" i="3" s="1"/>
  <c r="N753" i="3"/>
  <c r="N754" i="3" s="1"/>
  <c r="N293" i="3"/>
  <c r="H73" i="1" s="1"/>
  <c r="N1174" i="3"/>
  <c r="N1175" i="3" s="1"/>
  <c r="H136" i="1" s="1"/>
  <c r="K154" i="5" s="1"/>
  <c r="K22" i="3"/>
  <c r="L753" i="3"/>
  <c r="N983" i="3"/>
  <c r="M988" i="3"/>
  <c r="N982" i="3"/>
  <c r="N1166" i="3"/>
  <c r="N1167" i="3" s="1"/>
  <c r="H135" i="1" s="1"/>
  <c r="K153" i="5" s="1"/>
  <c r="N1158" i="3"/>
  <c r="N1159" i="3" s="1"/>
  <c r="H134" i="1" s="1"/>
  <c r="J152" i="5" s="1"/>
  <c r="K152" i="5" s="1"/>
  <c r="M1000" i="3"/>
  <c r="N995" i="3"/>
  <c r="N1142" i="3"/>
  <c r="N1143" i="3" s="1"/>
  <c r="H132" i="1" s="1"/>
  <c r="N941" i="3"/>
  <c r="L781" i="3"/>
  <c r="N767" i="3"/>
  <c r="N768" i="3" s="1"/>
  <c r="N1150" i="3"/>
  <c r="N1151" i="3" s="1"/>
  <c r="H133" i="1" s="1"/>
  <c r="J151" i="5" s="1"/>
  <c r="K151" i="5" s="1"/>
  <c r="N888" i="3"/>
  <c r="N891" i="3" s="1"/>
  <c r="N892" i="3" s="1"/>
  <c r="L891" i="3"/>
  <c r="M947" i="3"/>
  <c r="N942" i="3"/>
  <c r="L794" i="3"/>
  <c r="N829" i="3"/>
  <c r="N830" i="3" s="1"/>
  <c r="K1277" i="3"/>
  <c r="L1277" i="3" s="1"/>
  <c r="N1277" i="3" s="1"/>
  <c r="K1244" i="3"/>
  <c r="L1244" i="3" s="1"/>
  <c r="N1244" i="3" s="1"/>
  <c r="K1181" i="3"/>
  <c r="L1181" i="3" s="1"/>
  <c r="N1181" i="3" s="1"/>
  <c r="K1252" i="3"/>
  <c r="L1252" i="3" s="1"/>
  <c r="N1252" i="3" s="1"/>
  <c r="K1212" i="3"/>
  <c r="L1212" i="3" s="1"/>
  <c r="N1212" i="3" s="1"/>
  <c r="K1261" i="3"/>
  <c r="L1261" i="3" s="1"/>
  <c r="N1261" i="3" s="1"/>
  <c r="K1228" i="3"/>
  <c r="L1228" i="3" s="1"/>
  <c r="N1228" i="3" s="1"/>
  <c r="K1220" i="3"/>
  <c r="L1220" i="3" s="1"/>
  <c r="N1220" i="3" s="1"/>
  <c r="K1269" i="3"/>
  <c r="L1269" i="3" s="1"/>
  <c r="N1269" i="3" s="1"/>
  <c r="K1236" i="3"/>
  <c r="L1236" i="3" s="1"/>
  <c r="N1236" i="3" s="1"/>
  <c r="K1204" i="3"/>
  <c r="L1204" i="3" s="1"/>
  <c r="N1204" i="3" s="1"/>
  <c r="K1189" i="3"/>
  <c r="L1189" i="3" s="1"/>
  <c r="N1189" i="3" s="1"/>
  <c r="K914" i="3"/>
  <c r="L914" i="3" s="1"/>
  <c r="K905" i="3"/>
  <c r="L905" i="3" s="1"/>
  <c r="L907" i="3" s="1"/>
  <c r="N954" i="3"/>
  <c r="M959" i="3"/>
  <c r="N794" i="3"/>
  <c r="N795" i="3" s="1"/>
  <c r="N845" i="3"/>
  <c r="H104" i="1" s="1"/>
  <c r="B61" i="1" l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K255" i="3"/>
  <c r="L255" i="3" s="1"/>
  <c r="N255" i="3" s="1"/>
  <c r="L238" i="3"/>
  <c r="N238" i="3" s="1"/>
  <c r="K220" i="3"/>
  <c r="L220" i="3" s="1"/>
  <c r="N220" i="3" s="1"/>
  <c r="L207" i="3"/>
  <c r="N207" i="3" s="1"/>
  <c r="L191" i="3"/>
  <c r="N191" i="3" s="1"/>
  <c r="K205" i="3"/>
  <c r="K219" i="3"/>
  <c r="L219" i="3" s="1"/>
  <c r="N219" i="3" s="1"/>
  <c r="L206" i="3"/>
  <c r="N206" i="3" s="1"/>
  <c r="K217" i="3"/>
  <c r="L217" i="3" s="1"/>
  <c r="L204" i="3"/>
  <c r="K254" i="3"/>
  <c r="L254" i="3" s="1"/>
  <c r="N254" i="3" s="1"/>
  <c r="L237" i="3"/>
  <c r="N237" i="3" s="1"/>
  <c r="M1305" i="3"/>
  <c r="N1305" i="3" s="1"/>
  <c r="N1307" i="3" s="1"/>
  <c r="N1308" i="3" s="1"/>
  <c r="N1309" i="3" s="1"/>
  <c r="H157" i="1" s="1"/>
  <c r="K1314" i="3"/>
  <c r="M1314" i="3" s="1"/>
  <c r="N1314" i="3" s="1"/>
  <c r="N1316" i="3" s="1"/>
  <c r="N1317" i="3" s="1"/>
  <c r="N1318" i="3" s="1"/>
  <c r="H158" i="1" s="1"/>
  <c r="K195" i="3"/>
  <c r="L178" i="3"/>
  <c r="N178" i="3" s="1"/>
  <c r="K196" i="3"/>
  <c r="L179" i="3"/>
  <c r="N179" i="3" s="1"/>
  <c r="M138" i="3"/>
  <c r="N128" i="3"/>
  <c r="M121" i="3"/>
  <c r="N112" i="3"/>
  <c r="B207" i="2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N1299" i="3"/>
  <c r="N1300" i="3" s="1"/>
  <c r="H156" i="1" s="1"/>
  <c r="L1242" i="3"/>
  <c r="N1242" i="3" s="1"/>
  <c r="L1234" i="3"/>
  <c r="N1234" i="3" s="1"/>
  <c r="L1250" i="3"/>
  <c r="N1250" i="3" s="1"/>
  <c r="L1267" i="3"/>
  <c r="N1267" i="3" s="1"/>
  <c r="L1218" i="3"/>
  <c r="N1218" i="3" s="1"/>
  <c r="L1226" i="3"/>
  <c r="N1226" i="3" s="1"/>
  <c r="N431" i="3"/>
  <c r="N432" i="3" s="1"/>
  <c r="H22" i="1" s="1"/>
  <c r="J265" i="5" s="1"/>
  <c r="K265" i="5" s="1"/>
  <c r="N438" i="3"/>
  <c r="N439" i="3" s="1"/>
  <c r="H23" i="1" s="1"/>
  <c r="J266" i="5" s="1"/>
  <c r="K266" i="5" s="1"/>
  <c r="N860" i="3"/>
  <c r="N861" i="3" s="1"/>
  <c r="H105" i="1" s="1"/>
  <c r="N874" i="3"/>
  <c r="N875" i="3" s="1"/>
  <c r="H106" i="1" s="1"/>
  <c r="N994" i="3"/>
  <c r="L430" i="3"/>
  <c r="K1251" i="3" s="1"/>
  <c r="L1251" i="3" s="1"/>
  <c r="N1251" i="3" s="1"/>
  <c r="H131" i="1"/>
  <c r="N831" i="3"/>
  <c r="H103" i="1" s="1"/>
  <c r="N769" i="3"/>
  <c r="H49" i="1" s="1"/>
  <c r="N783" i="3"/>
  <c r="H50" i="1" s="1"/>
  <c r="N755" i="3"/>
  <c r="H48" i="1" s="1"/>
  <c r="N893" i="3"/>
  <c r="H109" i="1" s="1"/>
  <c r="J317" i="5" s="1"/>
  <c r="N1259" i="3"/>
  <c r="L934" i="3"/>
  <c r="K946" i="3"/>
  <c r="N296" i="3"/>
  <c r="N306" i="3" s="1"/>
  <c r="N307" i="3" s="1"/>
  <c r="L306" i="3"/>
  <c r="K1210" i="3"/>
  <c r="L1210" i="3" s="1"/>
  <c r="L1202" i="3"/>
  <c r="N796" i="3"/>
  <c r="H51" i="1" s="1"/>
  <c r="N905" i="3"/>
  <c r="N907" i="3" s="1"/>
  <c r="N908" i="3" s="1"/>
  <c r="N914" i="3"/>
  <c r="N924" i="3" s="1"/>
  <c r="N925" i="3" s="1"/>
  <c r="L924" i="3"/>
  <c r="N1275" i="3"/>
  <c r="K35" i="3"/>
  <c r="L22" i="3"/>
  <c r="B122" i="1" l="1"/>
  <c r="B123" i="1" s="1"/>
  <c r="B124" i="1" s="1"/>
  <c r="B125" i="1" s="1"/>
  <c r="B126" i="1" s="1"/>
  <c r="B127" i="1" s="1"/>
  <c r="B128" i="1" s="1"/>
  <c r="B129" i="1" s="1"/>
  <c r="B131" i="1"/>
  <c r="N239" i="3"/>
  <c r="N240" i="3" s="1"/>
  <c r="N241" i="3" s="1"/>
  <c r="H69" i="1" s="1"/>
  <c r="N256" i="3"/>
  <c r="N257" i="3" s="1"/>
  <c r="N258" i="3" s="1"/>
  <c r="H70" i="1" s="1"/>
  <c r="L239" i="3"/>
  <c r="L256" i="3"/>
  <c r="N204" i="3"/>
  <c r="K218" i="3"/>
  <c r="L218" i="3" s="1"/>
  <c r="N218" i="3" s="1"/>
  <c r="L205" i="3"/>
  <c r="N205" i="3" s="1"/>
  <c r="L196" i="3"/>
  <c r="N196" i="3" s="1"/>
  <c r="K209" i="3"/>
  <c r="N217" i="3"/>
  <c r="L195" i="3"/>
  <c r="N195" i="3" s="1"/>
  <c r="K208" i="3"/>
  <c r="K118" i="5"/>
  <c r="K291" i="5"/>
  <c r="K30" i="5" s="1"/>
  <c r="K97" i="3"/>
  <c r="L84" i="3"/>
  <c r="J316" i="5"/>
  <c r="J311" i="5"/>
  <c r="J312" i="5"/>
  <c r="K109" i="5"/>
  <c r="J313" i="5"/>
  <c r="J304" i="5"/>
  <c r="K98" i="5"/>
  <c r="J303" i="5"/>
  <c r="K105" i="5"/>
  <c r="J310" i="5"/>
  <c r="B220" i="2"/>
  <c r="B130" i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9" i="1" s="1"/>
  <c r="B177" i="1" s="1"/>
  <c r="B184" i="1" s="1"/>
  <c r="B194" i="1" s="1"/>
  <c r="B202" i="1" s="1"/>
  <c r="B209" i="1" s="1"/>
  <c r="N909" i="3"/>
  <c r="H110" i="1" s="1"/>
  <c r="K1227" i="3"/>
  <c r="L1227" i="3" s="1"/>
  <c r="N1227" i="3" s="1"/>
  <c r="N1229" i="3" s="1"/>
  <c r="K1268" i="3"/>
  <c r="L1268" i="3" s="1"/>
  <c r="N1268" i="3" s="1"/>
  <c r="N1270" i="3" s="1"/>
  <c r="N1253" i="3"/>
  <c r="K1188" i="3"/>
  <c r="L1188" i="3" s="1"/>
  <c r="N1188" i="3" s="1"/>
  <c r="L1253" i="3"/>
  <c r="K1243" i="3"/>
  <c r="L1243" i="3" s="1"/>
  <c r="N1243" i="3" s="1"/>
  <c r="N1245" i="3" s="1"/>
  <c r="K1180" i="3"/>
  <c r="L1180" i="3" s="1"/>
  <c r="N1180" i="3" s="1"/>
  <c r="K1276" i="3"/>
  <c r="L1276" i="3" s="1"/>
  <c r="K1260" i="3"/>
  <c r="L1260" i="3" s="1"/>
  <c r="N1260" i="3" s="1"/>
  <c r="N1262" i="3" s="1"/>
  <c r="K1203" i="3"/>
  <c r="L1203" i="3" s="1"/>
  <c r="N1203" i="3" s="1"/>
  <c r="K1219" i="3"/>
  <c r="L1219" i="3" s="1"/>
  <c r="N1219" i="3" s="1"/>
  <c r="N1221" i="3" s="1"/>
  <c r="K1235" i="3"/>
  <c r="L1235" i="3" s="1"/>
  <c r="N1235" i="3" s="1"/>
  <c r="N1237" i="3" s="1"/>
  <c r="K1211" i="3"/>
  <c r="L1211" i="3" s="1"/>
  <c r="N1211" i="3" s="1"/>
  <c r="N1202" i="3"/>
  <c r="N934" i="3"/>
  <c r="N935" i="3" s="1"/>
  <c r="N936" i="3" s="1"/>
  <c r="L935" i="3"/>
  <c r="N926" i="3"/>
  <c r="H111" i="1" s="1"/>
  <c r="N1210" i="3"/>
  <c r="L30" i="3"/>
  <c r="N22" i="3"/>
  <c r="N30" i="3" s="1"/>
  <c r="N31" i="3" s="1"/>
  <c r="N308" i="3"/>
  <c r="H74" i="1" s="1"/>
  <c r="K48" i="3"/>
  <c r="L35" i="3"/>
  <c r="L946" i="3"/>
  <c r="K958" i="3"/>
  <c r="K221" i="3" l="1"/>
  <c r="L221" i="3" s="1"/>
  <c r="N221" i="3" s="1"/>
  <c r="L208" i="3"/>
  <c r="N208" i="3" s="1"/>
  <c r="K222" i="3"/>
  <c r="L222" i="3" s="1"/>
  <c r="N222" i="3" s="1"/>
  <c r="L209" i="3"/>
  <c r="N209" i="3" s="1"/>
  <c r="K126" i="3"/>
  <c r="L110" i="3"/>
  <c r="L97" i="3"/>
  <c r="N97" i="3" s="1"/>
  <c r="N105" i="3" s="1"/>
  <c r="N84" i="3"/>
  <c r="N92" i="3" s="1"/>
  <c r="N93" i="3" s="1"/>
  <c r="N94" i="3" s="1"/>
  <c r="H57" i="1" s="1"/>
  <c r="L92" i="3"/>
  <c r="B221" i="2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10" i="1"/>
  <c r="B213" i="1" s="1"/>
  <c r="B214" i="1" s="1"/>
  <c r="B217" i="1" s="1"/>
  <c r="B224" i="1" s="1"/>
  <c r="B236" i="1" s="1"/>
  <c r="B243" i="1" s="1"/>
  <c r="B246" i="1" s="1"/>
  <c r="B247" i="1" s="1"/>
  <c r="N1254" i="3"/>
  <c r="N1255" i="3" s="1"/>
  <c r="H145" i="1" s="1"/>
  <c r="N1246" i="3"/>
  <c r="N1247" i="3" s="1"/>
  <c r="H144" i="1" s="1"/>
  <c r="J162" i="5" s="1"/>
  <c r="K162" i="5" s="1"/>
  <c r="N1222" i="3"/>
  <c r="N1223" i="3" s="1"/>
  <c r="H141" i="1" s="1"/>
  <c r="J156" i="5" s="1"/>
  <c r="K156" i="5" s="1"/>
  <c r="N1271" i="3"/>
  <c r="N1272" i="3" s="1"/>
  <c r="H147" i="1" s="1"/>
  <c r="N1230" i="3"/>
  <c r="N1231" i="3" s="1"/>
  <c r="H142" i="1" s="1"/>
  <c r="J161" i="5" s="1"/>
  <c r="K161" i="5" s="1"/>
  <c r="N1263" i="3"/>
  <c r="N1264" i="3" s="1"/>
  <c r="H146" i="1" s="1"/>
  <c r="J163" i="5" s="1"/>
  <c r="K163" i="5" s="1"/>
  <c r="N1238" i="3"/>
  <c r="N1239" i="3" s="1"/>
  <c r="H143" i="1" s="1"/>
  <c r="L1229" i="3"/>
  <c r="N1213" i="3"/>
  <c r="L1262" i="3"/>
  <c r="L1221" i="3"/>
  <c r="L1270" i="3"/>
  <c r="L1205" i="3"/>
  <c r="L1213" i="3"/>
  <c r="L1245" i="3"/>
  <c r="N1276" i="3"/>
  <c r="N1278" i="3" s="1"/>
  <c r="L1278" i="3"/>
  <c r="L958" i="3"/>
  <c r="N958" i="3" s="1"/>
  <c r="N959" i="3" s="1"/>
  <c r="N960" i="3" s="1"/>
  <c r="K975" i="3"/>
  <c r="N1205" i="3"/>
  <c r="L1237" i="3"/>
  <c r="N946" i="3"/>
  <c r="N947" i="3" s="1"/>
  <c r="N948" i="3" s="1"/>
  <c r="L947" i="3"/>
  <c r="L43" i="3"/>
  <c r="N35" i="3"/>
  <c r="N43" i="3" s="1"/>
  <c r="N44" i="3" s="1"/>
  <c r="L48" i="3"/>
  <c r="K64" i="3"/>
  <c r="N32" i="3"/>
  <c r="H52" i="1" s="1"/>
  <c r="N937" i="3"/>
  <c r="H112" i="1" s="1"/>
  <c r="L126" i="3" l="1"/>
  <c r="K337" i="3"/>
  <c r="L337" i="3" s="1"/>
  <c r="N210" i="3"/>
  <c r="N211" i="3" s="1"/>
  <c r="N212" i="3" s="1"/>
  <c r="H67" i="1" s="1"/>
  <c r="N223" i="3"/>
  <c r="N224" i="3" s="1"/>
  <c r="N225" i="3" s="1"/>
  <c r="H68" i="1" s="1"/>
  <c r="L223" i="3"/>
  <c r="L210" i="3"/>
  <c r="L105" i="3"/>
  <c r="N110" i="3"/>
  <c r="N121" i="3" s="1"/>
  <c r="N122" i="3" s="1"/>
  <c r="N123" i="3" s="1"/>
  <c r="H59" i="1" s="1"/>
  <c r="L121" i="3"/>
  <c r="N126" i="3"/>
  <c r="N138" i="3" s="1"/>
  <c r="N139" i="3" s="1"/>
  <c r="N140" i="3" s="1"/>
  <c r="H60" i="1" s="1"/>
  <c r="L138" i="3"/>
  <c r="K156" i="3"/>
  <c r="L143" i="3"/>
  <c r="N106" i="3"/>
  <c r="N107" i="3" s="1"/>
  <c r="H58" i="1" s="1"/>
  <c r="B248" i="1"/>
  <c r="B249" i="1" s="1"/>
  <c r="J159" i="5"/>
  <c r="K159" i="5" s="1"/>
  <c r="J158" i="5"/>
  <c r="K158" i="5" s="1"/>
  <c r="J157" i="5"/>
  <c r="K157" i="5" s="1"/>
  <c r="N1279" i="3"/>
  <c r="N1280" i="3" s="1"/>
  <c r="H148" i="1" s="1"/>
  <c r="J164" i="5" s="1"/>
  <c r="K164" i="5" s="1"/>
  <c r="N1214" i="3"/>
  <c r="N1215" i="3" s="1"/>
  <c r="H140" i="1" s="1"/>
  <c r="N1206" i="3"/>
  <c r="N1207" i="3" s="1"/>
  <c r="H139" i="1" s="1"/>
  <c r="L959" i="3"/>
  <c r="L975" i="3"/>
  <c r="K987" i="3"/>
  <c r="N45" i="3"/>
  <c r="H53" i="1" s="1"/>
  <c r="K268" i="3"/>
  <c r="L64" i="3"/>
  <c r="N961" i="3"/>
  <c r="H114" i="1" s="1"/>
  <c r="N48" i="3"/>
  <c r="N59" i="3" s="1"/>
  <c r="L59" i="3"/>
  <c r="N949" i="3"/>
  <c r="H113" i="1" s="1"/>
  <c r="B252" i="1" l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N337" i="3"/>
  <c r="N344" i="3" s="1"/>
  <c r="N345" i="3" s="1"/>
  <c r="N346" i="3" s="1"/>
  <c r="H61" i="1" s="1"/>
  <c r="L344" i="3"/>
  <c r="L156" i="3"/>
  <c r="L164" i="3" s="1"/>
  <c r="K169" i="3"/>
  <c r="L151" i="3"/>
  <c r="N143" i="3"/>
  <c r="N151" i="3" s="1"/>
  <c r="N152" i="3" s="1"/>
  <c r="N153" i="3" s="1"/>
  <c r="H62" i="1" s="1"/>
  <c r="K96" i="5" s="1"/>
  <c r="N156" i="3"/>
  <c r="N164" i="3" s="1"/>
  <c r="N165" i="3" s="1"/>
  <c r="N166" i="3" s="1"/>
  <c r="H63" i="1" s="1"/>
  <c r="K205" i="5"/>
  <c r="L987" i="3"/>
  <c r="K999" i="3"/>
  <c r="N975" i="3"/>
  <c r="N976" i="3" s="1"/>
  <c r="L976" i="3"/>
  <c r="L311" i="3"/>
  <c r="L268" i="3"/>
  <c r="L76" i="3"/>
  <c r="N64" i="3"/>
  <c r="N76" i="3" s="1"/>
  <c r="N77" i="3" s="1"/>
  <c r="N60" i="3"/>
  <c r="N61" i="3" s="1"/>
  <c r="H54" i="1" s="1"/>
  <c r="K185" i="3" l="1"/>
  <c r="L169" i="3"/>
  <c r="K28" i="5"/>
  <c r="H20" i="7" s="1"/>
  <c r="I20" i="7" s="1"/>
  <c r="L205" i="5"/>
  <c r="B268" i="1"/>
  <c r="N977" i="3"/>
  <c r="N978" i="3" s="1"/>
  <c r="H115" i="1" s="1"/>
  <c r="L999" i="3"/>
  <c r="L1000" i="3" s="1"/>
  <c r="K1009" i="3"/>
  <c r="N987" i="3"/>
  <c r="N988" i="3" s="1"/>
  <c r="L988" i="3"/>
  <c r="N78" i="3"/>
  <c r="H55" i="1" s="1"/>
  <c r="L277" i="3"/>
  <c r="N268" i="3"/>
  <c r="N277" i="3" s="1"/>
  <c r="N278" i="3" s="1"/>
  <c r="L318" i="3"/>
  <c r="N311" i="3"/>
  <c r="N318" i="3" s="1"/>
  <c r="N319" i="3" s="1"/>
  <c r="L185" i="3" l="1"/>
  <c r="K324" i="3"/>
  <c r="L324" i="3" s="1"/>
  <c r="N169" i="3"/>
  <c r="N180" i="3" s="1"/>
  <c r="N181" i="3" s="1"/>
  <c r="N182" i="3" s="1"/>
  <c r="H64" i="1" s="1"/>
  <c r="K99" i="5" s="1"/>
  <c r="L180" i="3"/>
  <c r="N185" i="3"/>
  <c r="N197" i="3" s="1"/>
  <c r="N198" i="3" s="1"/>
  <c r="N199" i="3" s="1"/>
  <c r="H65" i="1" s="1"/>
  <c r="K100" i="5" s="1"/>
  <c r="L197" i="3"/>
  <c r="B269" i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N989" i="3"/>
  <c r="N990" i="3" s="1"/>
  <c r="H116" i="1" s="1"/>
  <c r="N999" i="3"/>
  <c r="N1000" i="3" s="1"/>
  <c r="K1021" i="3"/>
  <c r="L1021" i="3" s="1"/>
  <c r="K1033" i="3"/>
  <c r="L1009" i="3"/>
  <c r="N279" i="3"/>
  <c r="H72" i="1" s="1"/>
  <c r="N320" i="3"/>
  <c r="H75" i="1" l="1"/>
  <c r="H71" i="1"/>
  <c r="L331" i="3"/>
  <c r="N324" i="3"/>
  <c r="N331" i="3" s="1"/>
  <c r="N332" i="3" s="1"/>
  <c r="N333" i="3" s="1"/>
  <c r="H66" i="1" s="1"/>
  <c r="N1001" i="3"/>
  <c r="N1002" i="3" s="1"/>
  <c r="H117" i="1" s="1"/>
  <c r="K1052" i="3"/>
  <c r="L1052" i="3" s="1"/>
  <c r="L1033" i="3"/>
  <c r="N1021" i="3"/>
  <c r="N1022" i="3" s="1"/>
  <c r="L1022" i="3"/>
  <c r="N1009" i="3"/>
  <c r="N1010" i="3" s="1"/>
  <c r="L1010" i="3"/>
  <c r="K106" i="5" l="1"/>
  <c r="N1011" i="3"/>
  <c r="N1012" i="3" s="1"/>
  <c r="H118" i="1" s="1"/>
  <c r="N1023" i="3"/>
  <c r="N1024" i="3" s="1"/>
  <c r="H119" i="1" s="1"/>
  <c r="N1052" i="3"/>
  <c r="N1053" i="3" s="1"/>
  <c r="L1053" i="3"/>
  <c r="L1034" i="3"/>
  <c r="N1033" i="3"/>
  <c r="N1034" i="3" s="1"/>
  <c r="K115" i="5" l="1"/>
  <c r="J325" i="5"/>
  <c r="N1035" i="3"/>
  <c r="N1036" i="3" s="1"/>
  <c r="H120" i="1" s="1"/>
  <c r="K1179" i="3"/>
  <c r="N1054" i="3"/>
  <c r="N1055" i="3" s="1"/>
  <c r="H121" i="1" s="1"/>
  <c r="J326" i="5" l="1"/>
  <c r="K116" i="5"/>
  <c r="K117" i="5"/>
  <c r="J327" i="5"/>
  <c r="K1187" i="3"/>
  <c r="L1187" i="3" s="1"/>
  <c r="L1179" i="3"/>
  <c r="K120" i="5" l="1"/>
  <c r="L120" i="5" s="1"/>
  <c r="L391" i="5" s="1"/>
  <c r="J328" i="5"/>
  <c r="N1179" i="3"/>
  <c r="N1182" i="3" s="1"/>
  <c r="L1182" i="3"/>
  <c r="N1187" i="3"/>
  <c r="N1190" i="3" s="1"/>
  <c r="L1190" i="3"/>
  <c r="K391" i="5" l="1"/>
  <c r="K24" i="5"/>
  <c r="K342" i="5"/>
  <c r="N1191" i="3"/>
  <c r="N1192" i="3" s="1"/>
  <c r="H138" i="1" s="1"/>
  <c r="N1183" i="3"/>
  <c r="N1184" i="3" s="1"/>
  <c r="H137" i="1" s="1"/>
  <c r="H19" i="7" l="1"/>
  <c r="I19" i="7" s="1"/>
  <c r="K392" i="5"/>
  <c r="K393" i="5" s="1"/>
  <c r="K394" i="5" s="1"/>
  <c r="K34" i="5"/>
  <c r="H22" i="7" s="1"/>
  <c r="I22" i="7" s="1"/>
  <c r="H18" i="7"/>
  <c r="I18" i="7" s="1"/>
  <c r="K41" i="5" l="1"/>
  <c r="I26" i="7"/>
  <c r="J23" i="7" s="1"/>
  <c r="R23" i="7" s="1"/>
  <c r="K42" i="5" l="1"/>
  <c r="K43" i="5" s="1"/>
  <c r="K44" i="5" s="1"/>
  <c r="J18" i="7"/>
  <c r="K18" i="7" s="1"/>
  <c r="J22" i="7"/>
  <c r="M22" i="7" s="1"/>
  <c r="N22" i="7" s="1"/>
  <c r="O22" i="7" s="1"/>
  <c r="J19" i="7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J24" i="7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J20" i="7"/>
  <c r="P20" i="7" s="1"/>
  <c r="Q20" i="7" s="1"/>
  <c r="R20" i="7" s="1"/>
  <c r="S20" i="7" s="1"/>
  <c r="T20" i="7" s="1"/>
  <c r="U20" i="7" s="1"/>
  <c r="V20" i="7" s="1"/>
  <c r="J21" i="7"/>
  <c r="W21" i="7" s="1"/>
  <c r="X21" i="7" l="1"/>
  <c r="Y21" i="7" s="1"/>
  <c r="K27" i="7"/>
  <c r="K28" i="7" s="1"/>
  <c r="J26" i="7"/>
  <c r="L18" i="7"/>
  <c r="L27" i="7" s="1"/>
  <c r="G45" i="5"/>
  <c r="L129" i="5" l="1"/>
  <c r="L127" i="5" s="1"/>
  <c r="L45" i="5"/>
  <c r="Z21" i="7"/>
  <c r="L28" i="7"/>
  <c r="M18" i="7"/>
  <c r="M27" i="7" s="1"/>
  <c r="L134" i="5" l="1"/>
  <c r="M28" i="7"/>
  <c r="AA21" i="7"/>
  <c r="N18" i="7"/>
  <c r="N27" i="7" s="1"/>
  <c r="N28" i="7" l="1"/>
  <c r="O18" i="7"/>
  <c r="O27" i="7" s="1"/>
  <c r="O28" i="7" l="1"/>
  <c r="P18" i="7"/>
  <c r="P27" i="7" s="1"/>
  <c r="P28" i="7" l="1"/>
  <c r="Q18" i="7"/>
  <c r="Q27" i="7" s="1"/>
  <c r="Q28" i="7" l="1"/>
  <c r="R18" i="7"/>
  <c r="R27" i="7" s="1"/>
  <c r="R28" i="7" l="1"/>
  <c r="S18" i="7"/>
  <c r="S27" i="7" s="1"/>
  <c r="S28" i="7" l="1"/>
  <c r="T18" i="7"/>
  <c r="T27" i="7" s="1"/>
  <c r="T28" i="7" l="1"/>
  <c r="U18" i="7"/>
  <c r="U27" i="7" s="1"/>
  <c r="U28" i="7" l="1"/>
  <c r="V18" i="7"/>
  <c r="V27" i="7" s="1"/>
  <c r="V28" i="7" l="1"/>
  <c r="W18" i="7"/>
  <c r="W27" i="7" s="1"/>
  <c r="W28" i="7" l="1"/>
  <c r="X18" i="7"/>
  <c r="X27" i="7" s="1"/>
  <c r="X28" i="7" l="1"/>
  <c r="Y18" i="7"/>
  <c r="Y27" i="7" s="1"/>
  <c r="Y28" i="7" l="1"/>
  <c r="Z18" i="7"/>
  <c r="Z27" i="7" s="1"/>
  <c r="Z28" i="7" l="1"/>
  <c r="AA18" i="7"/>
  <c r="AA27" i="7" s="1"/>
  <c r="AA28" i="7" l="1"/>
  <c r="AB18" i="7"/>
  <c r="AB27" i="7" s="1"/>
  <c r="AB28" i="7" l="1"/>
  <c r="R454" i="3" l="1"/>
  <c r="T454" i="3"/>
  <c r="W454" i="3"/>
  <c r="S454" i="3"/>
  <c r="V454" i="3"/>
  <c r="AB454" i="3"/>
  <c r="AA454" i="3"/>
  <c r="U454" i="3"/>
  <c r="X454" i="3"/>
  <c r="AC454" i="3"/>
  <c r="Y454" i="3"/>
  <c r="Z454" i="3"/>
</calcChain>
</file>

<file path=xl/sharedStrings.xml><?xml version="1.0" encoding="utf-8"?>
<sst xmlns="http://schemas.openxmlformats.org/spreadsheetml/2006/main" count="6472" uniqueCount="1045">
  <si>
    <t>DAFTAR HARGA SATUAN</t>
  </si>
  <si>
    <t>UNIT KERJA</t>
  </si>
  <si>
    <t>:</t>
  </si>
  <si>
    <t>PROGRAM</t>
  </si>
  <si>
    <t>KEGIATAN</t>
  </si>
  <si>
    <t>PEKERJAAN</t>
  </si>
  <si>
    <t>SUMBER DANA</t>
  </si>
  <si>
    <t>TAHUN ANGGARAN</t>
  </si>
  <si>
    <t>Halaman  :  1</t>
  </si>
  <si>
    <t>NO</t>
  </si>
  <si>
    <t>URAIAN PEKERJAAN</t>
  </si>
  <si>
    <t>SATUAN</t>
  </si>
  <si>
    <t>HARGA SATUAN</t>
  </si>
  <si>
    <t>(Rp)</t>
  </si>
  <si>
    <t>Pembuatan Bouwplank</t>
  </si>
  <si>
    <t>m'</t>
  </si>
  <si>
    <t>Galian tanah biasa</t>
  </si>
  <si>
    <r>
      <t>m</t>
    </r>
    <r>
      <rPr>
        <vertAlign val="superscript"/>
        <sz val="10"/>
        <rFont val="Arial Narrow"/>
        <family val="2"/>
      </rPr>
      <t>3</t>
    </r>
  </si>
  <si>
    <t>Galian tanah keras</t>
  </si>
  <si>
    <t>Galian tanah berbatu, rabat dan aspal</t>
  </si>
  <si>
    <t>Urugan pasir dipadatkan</t>
  </si>
  <si>
    <t>Urugan tanah kembali</t>
  </si>
  <si>
    <t>Pembuangan / perataan sisa galian</t>
  </si>
  <si>
    <t>Pasangan batu kosong</t>
  </si>
  <si>
    <t>Pasangan batu kali camp. 1 : 4</t>
  </si>
  <si>
    <t xml:space="preserve">Plesteran  camp.  1 : 3 </t>
  </si>
  <si>
    <r>
      <t>m</t>
    </r>
    <r>
      <rPr>
        <vertAlign val="superscript"/>
        <sz val="10"/>
        <rFont val="Arial Narrow"/>
        <family val="2"/>
      </rPr>
      <t>2</t>
    </r>
  </si>
  <si>
    <t>Pekerjaan Pembesian</t>
  </si>
  <si>
    <t>kg</t>
  </si>
  <si>
    <t>Cetakan / Bekisting Expose</t>
  </si>
  <si>
    <t>Beton  bertulang camp 1:2:3 untuk lantai Hidran Umum</t>
  </si>
  <si>
    <t>Pengadaan Dan Pemasangan Pipa PVC dia. 6" untuk Cassing</t>
  </si>
  <si>
    <t>Pengadaan Dan Pemasangan Pipa PVC dia. 6" untuk Saringan</t>
  </si>
  <si>
    <t>Pengadaan dan Pemasangan Gravel Pack dari Kerikil Jagung ukuran 3 - 10 mm</t>
  </si>
  <si>
    <r>
      <t>m</t>
    </r>
    <r>
      <rPr>
        <vertAlign val="superscript"/>
        <sz val="9"/>
        <rFont val="Arial Narrow"/>
        <family val="2"/>
      </rPr>
      <t>3</t>
    </r>
  </si>
  <si>
    <t>Pengadaan dan Pemasangan Cement Grouting</t>
  </si>
  <si>
    <t>Pemompaan Uji Step Draw Down Test dan Long Period Test</t>
  </si>
  <si>
    <t>jam</t>
  </si>
  <si>
    <t>unit</t>
  </si>
  <si>
    <t>Pengadaan Pompa submersible air bersih 1 Hp</t>
  </si>
  <si>
    <t>Pengadaan Pompa submersible air bersih 2 Hp</t>
  </si>
  <si>
    <t>Pengadaan Pompa submersible air bersih 3 Hp</t>
  </si>
  <si>
    <t>Pengadaan Pompa submersible air bersih 4 Hp</t>
  </si>
  <si>
    <t>Pengadaan Pompa submersible air bersih 5,5 Hp</t>
  </si>
  <si>
    <t>Pengadaan Pompa submersible air bersih 7,5 Hp</t>
  </si>
  <si>
    <t>Pekerjaan Besi Profil / Plat</t>
  </si>
  <si>
    <t>Pekerjaan Besi Siku / Strip</t>
  </si>
  <si>
    <t>Water stop dari plat besi 1 x 200 mm</t>
  </si>
  <si>
    <t>Pengecatan  besi</t>
  </si>
  <si>
    <t>Halaman  :  2</t>
  </si>
  <si>
    <t>Tutup manhole ukuran 60 x 60 cm dari besi plat  t = 2 mm</t>
  </si>
  <si>
    <t>Jendela Air 60 x 25 cm</t>
  </si>
  <si>
    <t>Ventilasi pipa GI dia. 2"</t>
  </si>
  <si>
    <t>buah</t>
  </si>
  <si>
    <t>Screen GI dia. 3"</t>
  </si>
  <si>
    <t>Tangga dinding dari besi beton dia. 12 mm</t>
  </si>
  <si>
    <t>Pembuatan pintu pagar BRC  tinggi = 1,2 m</t>
  </si>
  <si>
    <t>Pipa dinding GI dia. 6" - 50 cm flange drat ganda</t>
  </si>
  <si>
    <t>Pipa dinding GI dia. 6" - 50 cm flange ganda</t>
  </si>
  <si>
    <t>Pipa dinding GI dia. 6" - 50 cm flange tunggal</t>
  </si>
  <si>
    <t>Pipa dinding GI dia. 4" - 50 cm flange drat ganda</t>
  </si>
  <si>
    <t>Pipa dinding GI dia. 4" - 50 cm flange ganda</t>
  </si>
  <si>
    <t>Pipa dinding GI dia. 4" - 50 cm flange tunggal</t>
  </si>
  <si>
    <t>Pipa dinding GI dia. 3" - 50 cm flange drat ganda</t>
  </si>
  <si>
    <t>Pipa dinding GI dia. 3" - 50 cm flange ganda</t>
  </si>
  <si>
    <t>Pipa dinding GI dia. 3" - 50 cm flange tunggal</t>
  </si>
  <si>
    <t>Pipa dinding GI dia. 2" - 50 cm flange tunggal</t>
  </si>
  <si>
    <t>Penyambungan Pipa PVC dan asesoris dia. 6"</t>
  </si>
  <si>
    <t>Penyambungan Pipa PVC dan asesoris dia. 4"</t>
  </si>
  <si>
    <t>Penyambungan Pipa PVC dan asesoris dia. 3"</t>
  </si>
  <si>
    <t>Penyambungan Pipa PVC dan asesoris dia. 2"</t>
  </si>
  <si>
    <t>Penyambungan Pipa PVC dan asesoris dia. 1,5"</t>
  </si>
  <si>
    <t>Penyambungan Pipa PVC dan asesoris dia. 1"</t>
  </si>
  <si>
    <t>Pemasangan pipa PVC dia.  6" melalui galian tanah biasa</t>
  </si>
  <si>
    <t>Pemasangan pipa PVC dia.  6" melalui galian tanah keras</t>
  </si>
  <si>
    <t>Pemasangan pipa PVC dia.  4" melalui galian tanah biasa</t>
  </si>
  <si>
    <t>Pemasangan pipa PVC dia.  4" melalui galian tanah keras</t>
  </si>
  <si>
    <t>Pemasangan pipa PVC dia.  3" melalui galian tanah biasa</t>
  </si>
  <si>
    <t>Pemasangan pipa PVC dia.  3" melalui galian tanah keras</t>
  </si>
  <si>
    <t>Pemasangan pipa PVC dia.  2" melalui galian tanah biasa</t>
  </si>
  <si>
    <t>Pemasangan pipa PVC dia.  2" melalui galian tanah keras</t>
  </si>
  <si>
    <t>Pemasangan pipa PVC dia.  1,5" melalui galian tanah keras</t>
  </si>
  <si>
    <t>Pemasangan pipa PVC dia.  1" melalui galian tanah biasa</t>
  </si>
  <si>
    <t>Pemasangan pipa PVC dia.  1" melalui galian tanah keras</t>
  </si>
  <si>
    <t xml:space="preserve">Pipa PVC </t>
  </si>
  <si>
    <t>Reducer PVC all socket</t>
  </si>
  <si>
    <t>bh</t>
  </si>
  <si>
    <t>Tee PVC all socket</t>
  </si>
  <si>
    <t>Bend PVC all socket</t>
  </si>
  <si>
    <t>Gate Valve all flange</t>
  </si>
  <si>
    <t>Chek Valve all flange</t>
  </si>
  <si>
    <t>Halaman  :  3</t>
  </si>
  <si>
    <t xml:space="preserve">Flange Spigot/Flange Socket PVC </t>
  </si>
  <si>
    <t>Brass Gate Valve all screw</t>
  </si>
  <si>
    <t>Valve Socket (Socket Drat Luar) PVC</t>
  </si>
  <si>
    <t>Dop PVC</t>
  </si>
  <si>
    <t>Clamp Sadle</t>
  </si>
  <si>
    <t>Street Box</t>
  </si>
  <si>
    <t>Bend GI flange ganda dia. 3" x 900</t>
  </si>
  <si>
    <t>Lem PVC  ( 0,5 kg/kaleng )</t>
  </si>
  <si>
    <t>klg</t>
  </si>
  <si>
    <t>Pipa GI dia. 1/2"  Klass Medium</t>
  </si>
  <si>
    <t>Clamp sadle GI dia. 2" x 1/2"</t>
  </si>
  <si>
    <t>Clamp sadle GI dia. 1 1/2" x 1/2"</t>
  </si>
  <si>
    <t xml:space="preserve">Tee PVC dia. 1" x 1/2" </t>
  </si>
  <si>
    <t>Reducer PVC  dia. 1" x 1/2"</t>
  </si>
  <si>
    <t>Valve socket PVC dia. 1/2"</t>
  </si>
  <si>
    <t>Knee GI dia. 1/2"</t>
  </si>
  <si>
    <t>Knee PVC dia. 1/2"</t>
  </si>
  <si>
    <t>Elbow GI ( F/M ) dia. 1/2"</t>
  </si>
  <si>
    <t>Double Nipple GI dia. 1/2"</t>
  </si>
  <si>
    <t>Brass Main Cock ( Plug Kran ) dia. 1/2"</t>
  </si>
  <si>
    <t>Brass Gate Valve ( Fiet Kran ) dia. 1/2"</t>
  </si>
  <si>
    <t>Water meter dengan coupling dia. 1/2"</t>
  </si>
  <si>
    <t>Tee GI dia. 1/2" x 1/2"</t>
  </si>
  <si>
    <t>Dop GI dia. 1/2"</t>
  </si>
  <si>
    <t>House Hold Tap ( Tap Kran ) dia. 1/2"</t>
  </si>
  <si>
    <t>Seal tape</t>
  </si>
  <si>
    <t>Box SR</t>
  </si>
  <si>
    <t xml:space="preserve">Rabat Beton Dudukan Box SR </t>
  </si>
  <si>
    <t>Tiang sling dari pipa besi dia. 2" disi cor beton sesuai dengan gambar</t>
  </si>
  <si>
    <t xml:space="preserve">Kawat sling dia. 10 mm </t>
  </si>
  <si>
    <t>Roda sling</t>
  </si>
  <si>
    <t>Pengantung pipa</t>
  </si>
  <si>
    <t>DAFTAR HARGA SATUAN UPAH DAN BAHAN</t>
  </si>
  <si>
    <t>URAIAN UPAH DAN BAHAN</t>
  </si>
  <si>
    <t>I</t>
  </si>
  <si>
    <t>HARGA UPAH</t>
  </si>
  <si>
    <t>Pekerja</t>
  </si>
  <si>
    <t>Org / Hari</t>
  </si>
  <si>
    <t>Tukang batu</t>
  </si>
  <si>
    <t>Tukang kayu</t>
  </si>
  <si>
    <t>Tukang besi</t>
  </si>
  <si>
    <t>Tukang pipa</t>
  </si>
  <si>
    <t>Mandor</t>
  </si>
  <si>
    <t>Kepala Tukang</t>
  </si>
  <si>
    <t>Penjaga</t>
  </si>
  <si>
    <t>Masinis</t>
  </si>
  <si>
    <t>Geologist</t>
  </si>
  <si>
    <t>Org / Jam</t>
  </si>
  <si>
    <t>Site Supervisor</t>
  </si>
  <si>
    <t>Driller</t>
  </si>
  <si>
    <t>Ass. Driller</t>
  </si>
  <si>
    <t>Mekanik</t>
  </si>
  <si>
    <t>Crew Bor</t>
  </si>
  <si>
    <t>II</t>
  </si>
  <si>
    <t>HARGA BAHAN</t>
  </si>
  <si>
    <t>Pasir Urug</t>
  </si>
  <si>
    <t>m³</t>
  </si>
  <si>
    <t>Pasir Pasang</t>
  </si>
  <si>
    <t>Pasir Beton</t>
  </si>
  <si>
    <t>Split beton</t>
  </si>
  <si>
    <t>Semen (PC)</t>
  </si>
  <si>
    <t>zak</t>
  </si>
  <si>
    <t>Batu Belah</t>
  </si>
  <si>
    <t>Besi Beton</t>
  </si>
  <si>
    <t>Kg</t>
  </si>
  <si>
    <t>Gravel Pack (Kerikil Jagung)</t>
  </si>
  <si>
    <t>m3</t>
  </si>
  <si>
    <t>Kawat Beton</t>
  </si>
  <si>
    <t>Paku Berbagai Ukuran</t>
  </si>
  <si>
    <t>Paku kait untuk asbes</t>
  </si>
  <si>
    <t>Kayu klas II kualitas baik</t>
  </si>
  <si>
    <t>Papan kayu klas II kualitas baik</t>
  </si>
  <si>
    <t>Kayu Bekisting / Terentang</t>
  </si>
  <si>
    <t>Kayu kaso stoot  5/7</t>
  </si>
  <si>
    <t>batang</t>
  </si>
  <si>
    <t>Kayu bakar</t>
  </si>
  <si>
    <t>Multipleks tebal 18 mm</t>
  </si>
  <si>
    <t>lembar</t>
  </si>
  <si>
    <t>Besi profil / plat</t>
  </si>
  <si>
    <t>Besi siku</t>
  </si>
  <si>
    <t>Cat kayu</t>
  </si>
  <si>
    <t>Cat besi</t>
  </si>
  <si>
    <t>Cat tembok</t>
  </si>
  <si>
    <t>Minyak cat</t>
  </si>
  <si>
    <t>liter</t>
  </si>
  <si>
    <t>Dempul kayu</t>
  </si>
  <si>
    <t>Amplas</t>
  </si>
  <si>
    <t>Meni besi</t>
  </si>
  <si>
    <t>Meni kayu</t>
  </si>
  <si>
    <t>Plamur tembok</t>
  </si>
  <si>
    <t>Rol cat tembok</t>
  </si>
  <si>
    <t>Kwas 3"</t>
  </si>
  <si>
    <t>Engsel pintu pagar</t>
  </si>
  <si>
    <t>Slot pintu pagar, tutup manhole</t>
  </si>
  <si>
    <t>Kawat pagar BRC tinggi 1,2 m'</t>
  </si>
  <si>
    <t>Kunci dan gembok</t>
  </si>
  <si>
    <t>Angkur besi beton dia. 10 mm</t>
  </si>
  <si>
    <t>Baut, Mur dan Packing</t>
  </si>
  <si>
    <t>set</t>
  </si>
  <si>
    <t>Tutup cassing (well head) dia. 6"</t>
  </si>
  <si>
    <t>Panel pompa Sumur Dalam out door dan water level control 1-3 Hp</t>
  </si>
  <si>
    <t>Panel pompa Sumur Dalam out door dan water level control 4-7,5 Hp</t>
  </si>
  <si>
    <r>
      <t>Kabel untuk pompa submersible jenis NYYHY 3 x 2,5 mm</t>
    </r>
    <r>
      <rPr>
        <vertAlign val="superscript"/>
        <sz val="10"/>
        <rFont val="Arial Narrow"/>
        <family val="2"/>
      </rPr>
      <t>2</t>
    </r>
  </si>
  <si>
    <r>
      <t>Kabel untuk water level control jenis NYYHY  2 x 0,75 mm</t>
    </r>
    <r>
      <rPr>
        <vertAlign val="superscript"/>
        <sz val="10"/>
        <rFont val="Arial Narrow"/>
        <family val="2"/>
      </rPr>
      <t>2</t>
    </r>
  </si>
  <si>
    <t>Pembuatan (pabrikasi) tangki hidropore kapasitas 1 m³  dari plat besi</t>
  </si>
  <si>
    <t>Centralizer</t>
  </si>
  <si>
    <t>Accelerator Semen Grouting</t>
  </si>
  <si>
    <t>Liter</t>
  </si>
  <si>
    <t xml:space="preserve">Pipa Fibre Glass dia. 1/2" pengukur tinggi air </t>
  </si>
  <si>
    <t>Manometer skala  0 - 10 kg/cm²</t>
  </si>
  <si>
    <t>Pipa GI dia. 2" dengan cabang ( tee ) dia. 1/2"</t>
  </si>
  <si>
    <t>Knee GI dia. 3"</t>
  </si>
  <si>
    <t>Pressure switch (tombol tekanan) lengkap dgn kabel</t>
  </si>
  <si>
    <t>UNILON</t>
  </si>
  <si>
    <t>SUPRALON</t>
  </si>
  <si>
    <t>Pengait sling</t>
  </si>
  <si>
    <t>DAFTAR ANALISA HARGA SATUAN</t>
  </si>
  <si>
    <t>Halaman   :  1</t>
  </si>
  <si>
    <t>SAT</t>
  </si>
  <si>
    <t>KOEF</t>
  </si>
  <si>
    <t>HARGA</t>
  </si>
  <si>
    <t>Volume</t>
  </si>
  <si>
    <t>Sat</t>
  </si>
  <si>
    <t>Tenaga Kerja</t>
  </si>
  <si>
    <t>Bahan Material</t>
  </si>
  <si>
    <t>UPAH</t>
  </si>
  <si>
    <t>BAHAN</t>
  </si>
  <si>
    <t>JUMLAH HARGA</t>
  </si>
  <si>
    <t>Tukang</t>
  </si>
  <si>
    <t>K.Tukang</t>
  </si>
  <si>
    <t>Psr.Pasang</t>
  </si>
  <si>
    <t>Psr.Betong</t>
  </si>
  <si>
    <t>Batu Pecah</t>
  </si>
  <si>
    <t>Semen</t>
  </si>
  <si>
    <t>Kayu</t>
  </si>
  <si>
    <t>Besi</t>
  </si>
  <si>
    <t>( Rp )</t>
  </si>
  <si>
    <t>ANALISA PEKERJAAN PENGEBORAN</t>
  </si>
  <si>
    <t>Lama Pekerjaan Pemboran per meter</t>
  </si>
  <si>
    <t>a.</t>
  </si>
  <si>
    <t>Biaya mesin bor dan accessories</t>
  </si>
  <si>
    <t>-</t>
  </si>
  <si>
    <t>b.</t>
  </si>
  <si>
    <t>Biaya Personil</t>
  </si>
  <si>
    <t>-  Geologist</t>
  </si>
  <si>
    <t>Org</t>
  </si>
  <si>
    <t>x</t>
  </si>
  <si>
    <t>Org/Jam</t>
  </si>
  <si>
    <t>-  Site Supervisor</t>
  </si>
  <si>
    <t>-  Driller</t>
  </si>
  <si>
    <t>-  Ass. Driller</t>
  </si>
  <si>
    <t>-  Mekanik</t>
  </si>
  <si>
    <t>-  Crew Bor</t>
  </si>
  <si>
    <t xml:space="preserve">  Jumlah</t>
  </si>
  <si>
    <t>Over head &amp; Profit 10 %</t>
  </si>
  <si>
    <t>Total = Jumlah+(Keuntungan+Over head)</t>
  </si>
  <si>
    <t>Lama Pekerjaan Pemasangan pipa per meter</t>
  </si>
  <si>
    <t>Biaya Penyambungan</t>
  </si>
  <si>
    <t>Ls</t>
  </si>
  <si>
    <t>c.</t>
  </si>
  <si>
    <t>Harga Material Dasar</t>
  </si>
  <si>
    <t>d.</t>
  </si>
  <si>
    <t>-  Welder</t>
  </si>
  <si>
    <t>Pembuatan lubang saringan</t>
  </si>
  <si>
    <t>Halaman   :  2</t>
  </si>
  <si>
    <t>1 m³  Pengadaan dan Pemasangan Gravel Pack dari Kerikil Jagung ukuran 3 - 10 mm</t>
  </si>
  <si>
    <t xml:space="preserve">Lama Pekerjaan Pemasangan Gravel Pack per m³ </t>
  </si>
  <si>
    <t>1 m³  Pengadaan dan Pemasangan Cement Grouting</t>
  </si>
  <si>
    <t xml:space="preserve">Lama Pekerjaan Pemasangan Cement Grouting per m³ </t>
  </si>
  <si>
    <t>Portland Cement</t>
  </si>
  <si>
    <t>Accelerator</t>
  </si>
  <si>
    <t>ltr</t>
  </si>
  <si>
    <t>1 Jam Pemompaan Uji Step Draw Down Test dan Long Period Test</t>
  </si>
  <si>
    <t>Lama Pompa Uji Step Draw Down/Contineous</t>
  </si>
  <si>
    <t>Biaya Pumping Test Equipment</t>
  </si>
  <si>
    <t>Material / Alat Bantu</t>
  </si>
  <si>
    <t>-  Pumping Test Foreman</t>
  </si>
  <si>
    <t>-  Ass. Pumping Test</t>
  </si>
  <si>
    <t xml:space="preserve">Lama Pekerjaan Pemasangan Pompa 1 unit </t>
  </si>
  <si>
    <t>Harga Dasar Material</t>
  </si>
  <si>
    <t>Alat Bantu</t>
  </si>
  <si>
    <t>Halaman   :  3</t>
  </si>
  <si>
    <t>ANALISA PEKERJAAN SIPIL</t>
  </si>
  <si>
    <t>1 m' Pembuatan Bouwplank</t>
  </si>
  <si>
    <t>Kayu begisting</t>
  </si>
  <si>
    <t>Paku</t>
  </si>
  <si>
    <t>Ongkos pemasangan</t>
  </si>
  <si>
    <t>Jumlah</t>
  </si>
  <si>
    <t>Alat bantu</t>
  </si>
  <si>
    <t>1 m³ Galian tanah keras</t>
  </si>
  <si>
    <t>1 m³ Galian tanah berbatu, rabat dan aspal</t>
  </si>
  <si>
    <t>1 m³ Urugan pasir dipadatkan</t>
  </si>
  <si>
    <t>Pemadatan</t>
  </si>
  <si>
    <t>1 m³ Urugan tanah kembali</t>
  </si>
  <si>
    <t>1 m³ Pembuangan / perataan sisa galian</t>
  </si>
  <si>
    <t>1 m³ Pasangan batu kosong</t>
  </si>
  <si>
    <t>Batu belah</t>
  </si>
  <si>
    <t>Kepala tukang</t>
  </si>
  <si>
    <t>1 m³  Pasangan batu kali camp. 1 : 4</t>
  </si>
  <si>
    <t>Pasir pasang</t>
  </si>
  <si>
    <t>Halaman   :  4</t>
  </si>
  <si>
    <t xml:space="preserve">1 m²  Plesteran  camp.  1 : 3 </t>
  </si>
  <si>
    <t>Pasir beton</t>
  </si>
  <si>
    <t>Peralatan</t>
  </si>
  <si>
    <t>100 Kg Pekerjaan Pembesian</t>
  </si>
  <si>
    <t>Besi beton</t>
  </si>
  <si>
    <t>Kawat beton</t>
  </si>
  <si>
    <t xml:space="preserve">  Untuk 1 Kg</t>
  </si>
  <si>
    <t>Kayu bekisting / terentang</t>
  </si>
  <si>
    <t xml:space="preserve">Paku </t>
  </si>
  <si>
    <t>Pekerja bongkar dan siram</t>
  </si>
  <si>
    <t xml:space="preserve">  Untuk 1 m²</t>
  </si>
  <si>
    <t>10 m² Cetakan / Bekisting Expose</t>
  </si>
  <si>
    <t>Multipleks tebal = 18 mm</t>
  </si>
  <si>
    <t>lbr</t>
  </si>
  <si>
    <t xml:space="preserve">  Bahan dapat dipakai 2 kali</t>
  </si>
  <si>
    <t>Halaman   :  5</t>
  </si>
  <si>
    <t>1 m³ Beton  bertulang camp 1:2:3 untuk lantai Bronkaptering</t>
  </si>
  <si>
    <t xml:space="preserve">Pekerjaan Beton cor camp 1 : 2 : 3 </t>
  </si>
  <si>
    <t>-  Upah</t>
  </si>
  <si>
    <t xml:space="preserve">-  Bahan </t>
  </si>
  <si>
    <t>Pekerjaan Bekisting biasa</t>
  </si>
  <si>
    <t>m²</t>
  </si>
  <si>
    <t>1 m³ Beton  bertulang camp 1:2:3 untuk atap Bronkaptering</t>
  </si>
  <si>
    <t>Kayu stoot 5/7</t>
  </si>
  <si>
    <t>btg</t>
  </si>
  <si>
    <t>1 m³ Beton  bertulang camp 1:2:3 untuk dinding Bronkaptering</t>
  </si>
  <si>
    <t>1 m³ Beton  bertulang camp 1:2:3 untuk lantai Hidran Umum</t>
  </si>
  <si>
    <t>1 Kg Pekerjaan Besi Profil / Plat</t>
  </si>
  <si>
    <t>Besi profil/plat</t>
  </si>
  <si>
    <t>1 Kg Pekerjaan Besi Siku / Strip</t>
  </si>
  <si>
    <t>Besi siku/strip</t>
  </si>
  <si>
    <t>Halaman   :  6</t>
  </si>
  <si>
    <t>1 m' water stop dari plat besi 1 x 200 mm</t>
  </si>
  <si>
    <t>Pek. plat baja 1 x 200 mm</t>
  </si>
  <si>
    <t>-  Bahan</t>
  </si>
  <si>
    <t>Titik pengelasan</t>
  </si>
  <si>
    <t>cm²</t>
  </si>
  <si>
    <t>Upah pasang</t>
  </si>
  <si>
    <t>1 m² Pengecatan  besi</t>
  </si>
  <si>
    <t>Cat dasar</t>
  </si>
  <si>
    <t>Kwas</t>
  </si>
  <si>
    <t>Tukang cat</t>
  </si>
  <si>
    <t>1 Unit Tutup manhole ukuran 60 x 60 cm dari besi plat  t = 2 mm</t>
  </si>
  <si>
    <t>Pekerjaan Besi siku 50.50.5</t>
  </si>
  <si>
    <t>Pekerjaan Besi plat tebal 2 mm</t>
  </si>
  <si>
    <t>Angkur dia. 10 mm</t>
  </si>
  <si>
    <t>Engsel</t>
  </si>
  <si>
    <t>e.</t>
  </si>
  <si>
    <t>Kunci  gembok</t>
  </si>
  <si>
    <t>f.</t>
  </si>
  <si>
    <t>Pengelasan</t>
  </si>
  <si>
    <t>g.</t>
  </si>
  <si>
    <t>Pengecatan</t>
  </si>
  <si>
    <t>h.</t>
  </si>
  <si>
    <t xml:space="preserve">1 Unit Jendela Air </t>
  </si>
  <si>
    <t>Pekerjaan Besi beton dia. 12</t>
  </si>
  <si>
    <t>1 Bh ventilasi pipa GI dia. 2"</t>
  </si>
  <si>
    <t>Pipa GI dia.  2"</t>
  </si>
  <si>
    <t>Elbow GI dia. 2" x 90°</t>
  </si>
  <si>
    <t>Tee GI dia. 2" x  2"</t>
  </si>
  <si>
    <t>Snay, pengelasan</t>
  </si>
  <si>
    <t>1 Unit tangga dinding dari besi beton diameter 12 mm</t>
  </si>
  <si>
    <t>Halaman   :  7</t>
  </si>
  <si>
    <t>Pembuangan sisa galian</t>
  </si>
  <si>
    <t>Beton cor 1 : 2 : 3</t>
  </si>
  <si>
    <t>Kawat BRC tinggi 1,2 m'</t>
  </si>
  <si>
    <t>1  Unit pintu pagar BRC  tinggi = 1,2 m'</t>
  </si>
  <si>
    <t>Pipa GI dia. 1"</t>
  </si>
  <si>
    <t xml:space="preserve">Engsel </t>
  </si>
  <si>
    <t>Slot pintu pagar</t>
  </si>
  <si>
    <t>i.</t>
  </si>
  <si>
    <t>Pengelasan dan upah pasang</t>
  </si>
  <si>
    <t>ANALISA PEKERJAAN PIPA</t>
  </si>
  <si>
    <t>1 Bh pipa dinding GI dia. 6" - 50 cm drat ganda</t>
  </si>
  <si>
    <t>Pipa GI dia. 6"</t>
  </si>
  <si>
    <t>Snay dan pengelasan</t>
  </si>
  <si>
    <t>1 Bh pipa dinding GI dia. 6" - 50 cm flange ganda</t>
  </si>
  <si>
    <t>Flange drat GI dia. 3"</t>
  </si>
  <si>
    <t>Baut, mur dan packing</t>
  </si>
  <si>
    <t>1 Bh pipa dinding GI dia. 6" - 50 cm flange tunggal</t>
  </si>
  <si>
    <t>Pipa GI dia. 4"</t>
  </si>
  <si>
    <t>Halaman   :  8</t>
  </si>
  <si>
    <t>1 Bh pipa dinding GI dia. 4" - 50 cm drat ganda</t>
  </si>
  <si>
    <t>1 Bh pipa dinding GI dia. 4" - 50 cm flange ganda</t>
  </si>
  <si>
    <t xml:space="preserve">  Total</t>
  </si>
  <si>
    <t>1 Bh pipa dinding GI dia. 3" - 50 cm flange tunggal</t>
  </si>
  <si>
    <t>Pipa GI dia. 3"</t>
  </si>
  <si>
    <t>1 Bh pipa dinding GI dia. 3" - 50 cm drat ganda</t>
  </si>
  <si>
    <t>1 Bh pipa dinding GI dia. 3" - 50 cm flange ganda</t>
  </si>
  <si>
    <t>Halaman   :  9</t>
  </si>
  <si>
    <t>1 Bh pipa dinding GI dia. 2" - 50 cm drat ganda</t>
  </si>
  <si>
    <t>Pipa GI dia. 2"</t>
  </si>
  <si>
    <t>Flange drat GI dia. 2"</t>
  </si>
  <si>
    <t xml:space="preserve">   Jumlah</t>
  </si>
  <si>
    <t xml:space="preserve">   Untuk Pekerjaan 1 m'</t>
  </si>
  <si>
    <t>6 m' Penyambungan Pipa PVC dan asesoris dia. 3"</t>
  </si>
  <si>
    <t>6 m' Penyambungan Pipa PVC dan asesoris dia. 2"</t>
  </si>
  <si>
    <t>6 m' Penyambungan Pipa PVC dan asesoris dia. 1,5"</t>
  </si>
  <si>
    <t>6 m' Penyambungan Pipa PVC dan asesoris dia. 1"</t>
  </si>
  <si>
    <t>1 m' Pemasangan pipa PVC dia.  6" melalui galian tanah biasa</t>
  </si>
  <si>
    <t>Penyambungan pipa + acc</t>
  </si>
  <si>
    <t>m</t>
  </si>
  <si>
    <t>Buang / perataan sisa galian</t>
  </si>
  <si>
    <t>1 m' Pemasangan pipa PVC dia.  6" melalui galian tanah keras</t>
  </si>
  <si>
    <t>Halaman   :  10</t>
  </si>
  <si>
    <t>1 m' Pemasangan pipa PVC dia.  4" melalui galian tanah biasa</t>
  </si>
  <si>
    <t>1 m' Pemasangan pipa PVC dia.  4" melalui galian tanah keras</t>
  </si>
  <si>
    <t>1 m' Pemasangan pipa PVC dia.  3" melalui galian tanah biasa</t>
  </si>
  <si>
    <t>1 m' Pemasangan pipa PVC dia.  3" melalui galian tanah keras</t>
  </si>
  <si>
    <t>1 m' Pemasangan pipa PVC dia.  2" melalui galian tanah biasa</t>
  </si>
  <si>
    <t>1 m' Pemasangan pipa PVC dia.  2" melalui galian tanah keras</t>
  </si>
  <si>
    <t>1 m' Pemasangan pipa PVC dia.  1,5" melalui galian tanah biasa</t>
  </si>
  <si>
    <t>1 m' Pemasangan pipa PVC dia.  1,5" melalui galian tanah keras</t>
  </si>
  <si>
    <t>1 m' Pemasangan pipa PVC dia.  1" melalui galian tanah biasa</t>
  </si>
  <si>
    <t>1 m' Pemasangan pipa PVC dia.  1" melalui galian tanah keras</t>
  </si>
  <si>
    <t>U R A I A N</t>
  </si>
  <si>
    <t>II.</t>
  </si>
  <si>
    <t>A.</t>
  </si>
  <si>
    <t>DRILLING RIG</t>
  </si>
  <si>
    <t>Merk/Produksi</t>
  </si>
  <si>
    <t>LONG YEARD 44 ( DRILLING RIG, PISTON PUMP )</t>
  </si>
  <si>
    <t>Type/Model</t>
  </si>
  <si>
    <t>SKID MOUNTED</t>
  </si>
  <si>
    <t>Umur Ekonomi</t>
  </si>
  <si>
    <t>a.....................</t>
  </si>
  <si>
    <t>tahun</t>
  </si>
  <si>
    <t>Jam Kerja Pertahun</t>
  </si>
  <si>
    <t>b.....................</t>
  </si>
  <si>
    <t>Harga Dasar Alat</t>
  </si>
  <si>
    <t>A.....................</t>
  </si>
  <si>
    <t>Nilai Depresiasi</t>
  </si>
  <si>
    <t>B = A x 10 % .........</t>
  </si>
  <si>
    <t>Nilai Sisa</t>
  </si>
  <si>
    <t>C = A - B ............</t>
  </si>
  <si>
    <t>Data-Data Peralatan :</t>
  </si>
  <si>
    <t>- HP/Berat</t>
  </si>
  <si>
    <t>PK</t>
  </si>
  <si>
    <t>- Oli Mesin</t>
  </si>
  <si>
    <t>- Oli Gardan</t>
  </si>
  <si>
    <t>- Oli Transmisi</t>
  </si>
  <si>
    <t>- Oli Hidrolik</t>
  </si>
  <si>
    <t xml:space="preserve">Biaya Peralatan </t>
  </si>
  <si>
    <t>a. Direct Cost ( Biaya Langsung ) perjam</t>
  </si>
  <si>
    <t>1. Depresiasi</t>
  </si>
  <si>
    <t>2. Biaya pemilikan, Asuransi, Pajak dll. = C : (a x b)</t>
  </si>
  <si>
    <t>3. Biaya operasi peralatan perjam = 25 % x (a+1) : 2a x (A:b)</t>
  </si>
  <si>
    <t xml:space="preserve">   a. Bahan Bakar</t>
  </si>
  <si>
    <t>=</t>
  </si>
  <si>
    <t>Ltr</t>
  </si>
  <si>
    <t xml:space="preserve">   b. Pelumas Mesin</t>
  </si>
  <si>
    <t>/</t>
  </si>
  <si>
    <t xml:space="preserve">   c. Pelumas Gardan</t>
  </si>
  <si>
    <t xml:space="preserve">   d. Pelumas Hidrolik</t>
  </si>
  <si>
    <t xml:space="preserve">   e. Stemfet/Graese</t>
  </si>
  <si>
    <t>4. Biaya Perbaikan</t>
  </si>
  <si>
    <t>10 % ( A / (a x b )</t>
  </si>
  <si>
    <t>b. Indirect Cost ( Biaya Tak Langsung ) perjam</t>
  </si>
  <si>
    <t xml:space="preserve">   (Biaya Gudang, Force Majeur, Over Head) = 10 % x Biaya Langsung</t>
  </si>
  <si>
    <t>Total Biaya Peralatan Bor Perjam .......</t>
  </si>
  <si>
    <t>Dibulatkan .............................</t>
  </si>
  <si>
    <t>B.</t>
  </si>
  <si>
    <t>PUMPING TEST EQUIPMENT</t>
  </si>
  <si>
    <t>PENGGERAK DEUTZ, POMPA LOWARA</t>
  </si>
  <si>
    <t>2. Biaya pemilikan, Asuransi, Pajak dll. = C : (a+b)</t>
  </si>
  <si>
    <t xml:space="preserve">   c. Stemfet/Graese</t>
  </si>
  <si>
    <t>Total Biaya Peralatan Pumping Test Perjam</t>
  </si>
  <si>
    <t>Dibulatkan ..............................</t>
  </si>
  <si>
    <t>C.</t>
  </si>
  <si>
    <t>AIRLIFTING EQUIPMENT</t>
  </si>
  <si>
    <t>COMPRESSOR INGERSOL RAND</t>
  </si>
  <si>
    <t>TRILER MOUNTED</t>
  </si>
  <si>
    <t xml:space="preserve">   d. Stemfet/Graese</t>
  </si>
  <si>
    <t>Total Biaya Peralatan Airlift Test Perjam</t>
  </si>
  <si>
    <t>1 m³ Galian tanah biasa sedalam &gt; 0 s.d 1 m</t>
  </si>
  <si>
    <t>OH</t>
  </si>
  <si>
    <t>1 m³ Galian tanah biasa sedalam &gt; 1 s.d 2 m</t>
  </si>
  <si>
    <t>1 m³ Galian tanah biasa sedalam &gt; 2 s.d 3 m</t>
  </si>
  <si>
    <t>1 m³ Galian tanah biasa sedalam &gt; 3 m</t>
  </si>
  <si>
    <t>Alat bantu (Jack Hammer)</t>
  </si>
  <si>
    <t>Hari</t>
  </si>
  <si>
    <t>Pembuatan dan Pengecorn 1 m3 Campuran Beton fc' = 7.4 s.d 9.4 MPa (K-100 s.d K-125) untuk Lantai Kerja</t>
  </si>
  <si>
    <t>Pembuatan dan Pengecorn 1 m3 Campuran Beton fc' = 9.8 MPa (K-125) untuk Lantai Kerja</t>
  </si>
  <si>
    <t>Pembuatan dan Pengecorn 1 m3 Campuran Beton fc' = 12.2 MPa (K-150) untuk Komponen Struktur Utama dan Penunjang</t>
  </si>
  <si>
    <t>Pembuatan dan Pengecorn 1 m3 Campuran Beton fc' = 14.5 MPa (K-175) untuk Komponen Struktur Utama dan Penunjang</t>
  </si>
  <si>
    <t>OJ</t>
  </si>
  <si>
    <t>Pembuatan dan Pengecorn 1 m3 Campuran Beton fc' = 16.9 MPa (K-200) untuk Komponen Struktur Utama dan Penunjang</t>
  </si>
  <si>
    <t>Pembuatan dan Pengecorn 1 m3 Campuran Beton fc' = 19.3 MPa (K-225) untuk Komponen Struktur Utama dan Penunjang</t>
  </si>
  <si>
    <t>Pembuatan dan Pengecorn 1 m3 Campuran Beton fc' = 21.7 MPa (K-250) untuk Komponen Struktur Utama dan Penunjang</t>
  </si>
  <si>
    <t>Pembuatan dan Pengecorn 1 m3 Campuran Beton fc' = 24. MPa (K-275) untuk Komponen Struktur Utama dan Penunjang</t>
  </si>
  <si>
    <t>Pembuatan dan Pengecorn 1 m3 Campuran Beton fc' = 26.4 MPa (K-300), kedap air normal untuk Komponen Struktur Utama dan Penunjang</t>
  </si>
  <si>
    <t>Pembuatan dan Pengecorn 1 m3 Campuran Beton fc' = 28.8 MPa (K-325), kedap air normal untuk Komponen Struktur Utama dan Penunjang</t>
  </si>
  <si>
    <t>Pembuatan dan Pengecorn 1 m3 Campuran Beton fc' = 31.2 MPa (K-350), kedap air agresif untuk Komponen Struktur Utama dan Penunjang</t>
  </si>
  <si>
    <t>Papan Kayu kelas III</t>
  </si>
  <si>
    <t>Paku 5-10 cm</t>
  </si>
  <si>
    <t>Pemasangan 1 m2 Bekisting untuk Pondasi Telapak Beton Bangunan (Termasuk Pembongkaran)</t>
  </si>
  <si>
    <t>Pemasangan 1 m2 Bekisting untuk Sloof Beton Bangunan (Termasuk Pembongkaran)</t>
  </si>
  <si>
    <t>Pemasangan 1 m2 Bekisting untuk Kolom Beton Bangunan (Termasuk Pembongkaran)</t>
  </si>
  <si>
    <t>Balok kayu kelas II</t>
  </si>
  <si>
    <t>Plywood tebal 9 mm</t>
  </si>
  <si>
    <t>Dolken kayu dia. 8-10 cm panjang 4 m</t>
  </si>
  <si>
    <t>Lbr</t>
  </si>
  <si>
    <t>Batang</t>
  </si>
  <si>
    <t>Pemasangan 1 m2 Bekisting untuk Balok Bangunan (Termasuk Pembongkaran)</t>
  </si>
  <si>
    <t>Pemasangan 1 m2 Bekisting untuk Plat Lantai Beton Bangunan (Termasuk Pembongkaran)</t>
  </si>
  <si>
    <t>Pemasangan 1 m2 Pagar BRC Galvanis</t>
  </si>
  <si>
    <t>Kawat Jaring</t>
  </si>
  <si>
    <t>Pemasangan 1 m' Pipa PVC tipe AW dia. 1/2"</t>
  </si>
  <si>
    <t>M</t>
  </si>
  <si>
    <t>Pipa PVC 1/2"</t>
  </si>
  <si>
    <t>Perlengkapan</t>
  </si>
  <si>
    <t>Pemasangan 1 m' Pipa PVC tipe AW dia. 3/4"</t>
  </si>
  <si>
    <t>Pemasangan 1 m' Pipa PVC tipe AW dia. 1"</t>
  </si>
  <si>
    <t>Pemasangan 1 m' Pipa PVC tipe AW dia. 1 1/2"</t>
  </si>
  <si>
    <t>Pemasangan 1 m' Pipa PVC tipe AW dia. 2"</t>
  </si>
  <si>
    <t>Pemasangan 1 m' Pipa PVC tipe AW dia. 2 1/2"</t>
  </si>
  <si>
    <t>Pemasangan 1 m' Pipa PVC tipe AW dia. 3"</t>
  </si>
  <si>
    <t>Pemasangan 1 m' Pipa PVC tipe AW dia. 4"</t>
  </si>
  <si>
    <t>m2</t>
  </si>
  <si>
    <t>Kayu Albasia</t>
  </si>
  <si>
    <t>Over head &amp; Profit 15 %</t>
  </si>
  <si>
    <t xml:space="preserve">  Keuntungan Maks 15 %</t>
  </si>
  <si>
    <t>Tripleks tebal 9 mm</t>
  </si>
  <si>
    <t>Pipa GI dia. 1"  Klass Medium</t>
  </si>
  <si>
    <t>Pipa GI dia. 1,5"  Klass Medium</t>
  </si>
  <si>
    <t>Pipa GI dia. 2"  Klass Medium</t>
  </si>
  <si>
    <t>SUB KEGIATAN</t>
  </si>
  <si>
    <t>LOKASI</t>
  </si>
  <si>
    <t>Rp.</t>
  </si>
  <si>
    <t>SUB JUMLAH</t>
  </si>
  <si>
    <t>JUMLAH</t>
  </si>
  <si>
    <t>DALAM HURUP</t>
  </si>
  <si>
    <t>Disusun dan Ditetapkan Oleh :</t>
  </si>
  <si>
    <t>RENCANA ANGGARAN BIAYA</t>
  </si>
  <si>
    <t>VOLUME</t>
  </si>
  <si>
    <t>Pembersihan lokasi</t>
  </si>
  <si>
    <t>Direksi keet ( sewa )</t>
  </si>
  <si>
    <t>Papan nama proyek</t>
  </si>
  <si>
    <t>Dokumentasi dan Pelaporan</t>
  </si>
  <si>
    <t>Foto Kegiatan</t>
  </si>
  <si>
    <t>Pembuatan Laporan</t>
  </si>
  <si>
    <t>2.1</t>
  </si>
  <si>
    <t>PENGADAAN DAN PEMASANGAN PIPA DAN ASESORIS</t>
  </si>
  <si>
    <t>Pengadaan Pipa</t>
  </si>
  <si>
    <t>Pekerjaan Persiapan</t>
  </si>
  <si>
    <t>1.1.1</t>
  </si>
  <si>
    <t>Pengangkutan pipa dan acesories ke Gudang</t>
  </si>
  <si>
    <t>PVC dia. 3"  S-12,5 RRJ</t>
  </si>
  <si>
    <t>PVC dia. 2"  S-12,5 RRJ</t>
  </si>
  <si>
    <t>PVC dia. 1,5"  S-12,5 SCJ</t>
  </si>
  <si>
    <t>PVC dia. 1"  S-10 SCJ</t>
  </si>
  <si>
    <t>Pemasangan Pipa</t>
  </si>
  <si>
    <t>2.1.1</t>
  </si>
  <si>
    <t>Pengukuran awal</t>
  </si>
  <si>
    <t>2.1.2</t>
  </si>
  <si>
    <t>Pengangkutan pipa dan acesories dari Gudang ke Lokasi</t>
  </si>
  <si>
    <t>2.2</t>
  </si>
  <si>
    <t>Pekerjaan Pemasangan Pipa</t>
  </si>
  <si>
    <t>2.2.1</t>
  </si>
  <si>
    <t>Pemasangan pipa dan asesoris melalui galian tanah biasa</t>
  </si>
  <si>
    <t>PVC dia. 3"</t>
  </si>
  <si>
    <t>PVC dia. 2"</t>
  </si>
  <si>
    <t>PVC dia. 1,5"</t>
  </si>
  <si>
    <t xml:space="preserve">PVC dia. 1" </t>
  </si>
  <si>
    <t>Pemasangan valve lengkap dengan street box</t>
  </si>
  <si>
    <t>2.2.4</t>
  </si>
  <si>
    <t>Uji coba pengaliran</t>
  </si>
  <si>
    <t>Perbaikan kembali kerusakan akibat pemasangan pipa</t>
  </si>
  <si>
    <t xml:space="preserve">Pengadaan pipa dan accessories sambungan rumah </t>
  </si>
  <si>
    <t>Pekerjaan Pemasangan Sambungan Rumah</t>
  </si>
  <si>
    <t>Meliputi : Penggalian tanah, merangkai sambungan rumah termasuk penyenaian,</t>
  </si>
  <si>
    <t>dan tapping ke pipa retikulasi sesuai gambar standar</t>
  </si>
  <si>
    <t>Sambungan rumah</t>
  </si>
  <si>
    <t>Soket Drat Luar PVC dia. 1/2" (SDL)</t>
  </si>
  <si>
    <t xml:space="preserve">Mesin pompa air 125 Watt </t>
  </si>
  <si>
    <t xml:space="preserve">Mesin poma air Jet pump 250 Watt </t>
  </si>
  <si>
    <t xml:space="preserve">Mesin poma air Jet pump 500 Watt </t>
  </si>
  <si>
    <t>Tangki Penampung Air</t>
  </si>
  <si>
    <t>1  Unit Pas. water turn ( 300 liter) Berikut Rangka Tower Besi Siku Tinggi 3m</t>
  </si>
  <si>
    <t>berikut rangka Tower besi siku Tinggi 3 m</t>
  </si>
  <si>
    <t>Tanki Air Fibre</t>
  </si>
  <si>
    <t>Rangka besi siku Tinggi 3 m</t>
  </si>
  <si>
    <t>Pondasi Batu Kali Ad. 1 : 3</t>
  </si>
  <si>
    <t>Ongkos Pasang + Pengecatan Rangka Besi</t>
  </si>
  <si>
    <t>1  Unit Pas. water turn ( 500 liter) Berikut Rangka Tower Besi Siku Tinggi 3m</t>
  </si>
  <si>
    <t>1  Unit Pas. water turn ( 1000 liter) Berikut Rangka Tower Besi Siku Tinggi 3m</t>
  </si>
  <si>
    <t>1m2</t>
  </si>
  <si>
    <t>Pas.  Bata Merah  ukuran (5x11x22) cm tebal  ½ bata, campuran spesi  1PC : 3PS</t>
  </si>
  <si>
    <t>Bata Merah</t>
  </si>
  <si>
    <t xml:space="preserve">PC </t>
  </si>
  <si>
    <t xml:space="preserve">Tukang  Batu </t>
  </si>
  <si>
    <t>HOK</t>
  </si>
  <si>
    <t xml:space="preserve">Pekerja </t>
  </si>
  <si>
    <t>Bata merah</t>
  </si>
  <si>
    <t>Kepala Bidang Air Minum dan Sanitasi</t>
  </si>
  <si>
    <t>1 m' Pengadaan Dan Pemasangan Pipa PVC dia. 6" untuk Cassing</t>
  </si>
  <si>
    <t>1 m' Pengadaan Dan Pemasangan Pipa PVC dia. 6" untuk Saringan</t>
  </si>
  <si>
    <t>Pipa PVC dia. 1/2"  S.10</t>
  </si>
  <si>
    <t>PAGU</t>
  </si>
  <si>
    <t>PROGRAM PENGELOLAAN DAN PENGEMBANGAN SISTEM PENYEDIAAN AIR MINUM</t>
  </si>
  <si>
    <t>PENGELOLAAN DAN PENGEMBANGAN SISTEM PENYEDIAAN AIR MINUM (SPAM) DI DAERAH KABUPATEN/KOTA</t>
  </si>
  <si>
    <t>Urugan tanah kembali dipadatkan</t>
  </si>
  <si>
    <t xml:space="preserve">Bend GI dia. 3" x 45° </t>
  </si>
  <si>
    <t>Double Nipple GI dia. 2"</t>
  </si>
  <si>
    <t>Pipa GI dia. 3"  Klass Medium</t>
  </si>
  <si>
    <t>Double Nipple GI dia. 3/4"</t>
  </si>
  <si>
    <t>Pembuatan bouwplank</t>
  </si>
  <si>
    <t>Transportasi bahan / material</t>
  </si>
  <si>
    <t>Tutup Manhole  60 x 60 cm lengkap</t>
  </si>
  <si>
    <t>Ventilasi dari pipa GI dia. 2" lengkap</t>
  </si>
  <si>
    <t>Pekerjaan Perpipaan</t>
  </si>
  <si>
    <t xml:space="preserve">Beton  bertulang camp 1:2:3 untuk lantai </t>
  </si>
  <si>
    <t xml:space="preserve">Beton  bertulang camp 1:2:3 untuk atap </t>
  </si>
  <si>
    <t xml:space="preserve">Beton  bertulang camp 1:2:3 untuk dinding </t>
  </si>
  <si>
    <t>3.1</t>
  </si>
  <si>
    <t>3.2</t>
  </si>
  <si>
    <t>Street box</t>
  </si>
  <si>
    <t>Pemasangan pipa dengan sistem sling lengkap sesuai dengan gambar :</t>
  </si>
  <si>
    <t>Bentangan 30 m'</t>
  </si>
  <si>
    <t>RENCANA JADWAL UNTUK PELAKSANAAN PEKERJAAN</t>
  </si>
  <si>
    <t>BOBOT</t>
  </si>
  <si>
    <t>WAKTU PELAKSANAAN</t>
  </si>
  <si>
    <t>KET</t>
  </si>
  <si>
    <t>VOL</t>
  </si>
  <si>
    <t>MINGGU KE</t>
  </si>
  <si>
    <t>( Rp. )</t>
  </si>
  <si>
    <t>( %. )</t>
  </si>
  <si>
    <t>RENCANA KEMAJUAN PER MINGGU (%)</t>
  </si>
  <si>
    <t>KUMULATIF KEMAJUAN PER MINGGU (%)</t>
  </si>
  <si>
    <t>MASA PEMELIHARAAN PEKERJAAN = 180 (SERATUS DELAPAN PULUH) HARI KALENDER</t>
  </si>
  <si>
    <t>DIBULATKAN</t>
  </si>
  <si>
    <t>Chek Valve dia. 1/2"</t>
  </si>
  <si>
    <t>Prasasti</t>
  </si>
  <si>
    <t>Selaku Pejabat Pembuat Komitmen TA. 2025</t>
  </si>
  <si>
    <t xml:space="preserve">PEKERJAAN SAMBUNGAN RUMAH </t>
  </si>
  <si>
    <t>PEMBUATAN RESERVOIR 10 M3</t>
  </si>
  <si>
    <t xml:space="preserve">Pekerjaan Tanah </t>
  </si>
  <si>
    <t xml:space="preserve">Galian tanah </t>
  </si>
  <si>
    <t>Urugan Pasir dipadatkan</t>
  </si>
  <si>
    <t xml:space="preserve">Pembuangan / perataan sisa galian </t>
  </si>
  <si>
    <t>Pekerjaan Pasangan dan Beton</t>
  </si>
  <si>
    <t>Beton Lantai kerja 1 : 3 : 5</t>
  </si>
  <si>
    <t>Beton bertulang  1 : 2 : 3 dengan besi tulangan</t>
  </si>
  <si>
    <t>U - 24 dan bekisting exposed untuk :</t>
  </si>
  <si>
    <t xml:space="preserve">Lantai </t>
  </si>
  <si>
    <t>Dinding</t>
  </si>
  <si>
    <t>Atap</t>
  </si>
  <si>
    <t>Water stop dari plat baja 1 x  200 mm</t>
  </si>
  <si>
    <t>Pekerjaan Besi</t>
  </si>
  <si>
    <t xml:space="preserve">Tangga dinding dari besi beton dia. 12 mm  </t>
  </si>
  <si>
    <t>Meliputi pengadaan dan pemasangan pipa dan asesoris</t>
  </si>
  <si>
    <t>lengkap dengan mur, baut dan packing pada sambungan</t>
  </si>
  <si>
    <t>flange</t>
  </si>
  <si>
    <t>Pipa dinding Gi lengkap dengan puddle flange</t>
  </si>
  <si>
    <t>Dia. 3" , L = 0,50 m' ( flange ganda ) inlet</t>
  </si>
  <si>
    <t>Dia. 3" , L = 0,50 m' ( flange ganda ) outlet</t>
  </si>
  <si>
    <t>Dia. 2" , L = 0,50 m' ( flange tunggal ) over flow</t>
  </si>
  <si>
    <t>Dia. 2" , L = 0,50 m' ( flange tunggal ) penguras</t>
  </si>
  <si>
    <t>Pipa tegak dia. 3" - 2 meter ( flange ganda )</t>
  </si>
  <si>
    <t>Assesoris</t>
  </si>
  <si>
    <t>Gate valve dia. 3" flange ganda</t>
  </si>
  <si>
    <t>Flange socket PVC dia. 3"</t>
  </si>
  <si>
    <t>Pemasangan perpipaan</t>
  </si>
  <si>
    <t>Pekerjaan Lain-lain</t>
  </si>
  <si>
    <t xml:space="preserve">Pengecatan </t>
  </si>
  <si>
    <t>Membereskan bekas pekerjaan</t>
  </si>
  <si>
    <t>10 m3</t>
  </si>
  <si>
    <t>25 m3</t>
  </si>
  <si>
    <t>DINAS PERUMAHAN DAN KAWASAN PERMUKIMAN KABUPATEN CIANJUR</t>
  </si>
  <si>
    <t xml:space="preserve"> Dinas Perumahan dan Kawasan Permukiman Kabupaten Cianjur </t>
  </si>
  <si>
    <t>2.2.3</t>
  </si>
  <si>
    <t xml:space="preserve">Pekerjaan pengadaan pipa dan asesoris termasuk cincin karet untuk sambungan RRJ dan solvent cement (Lem) untuk sambungan SCJ, dan mur, baut, paking untuk sambungan flange </t>
  </si>
  <si>
    <t>Meliputi galian tanah, urugan tanah kembali dipadatkan, pembuangan / perataan sisa galian, penyambungan pipa, fitting dan asesoris, penyambungan dengan pipa existing serta perbaikan kembali kerusakan akibat pemasangan pipa</t>
  </si>
  <si>
    <t>Pompa submersible air bersih 1 Hp dia. 4 inch 3 phase</t>
  </si>
  <si>
    <t>Pompa submersible air bersih 2 Hp dia. 4 inch 3 phase</t>
  </si>
  <si>
    <t>Pompa submersible air bersih 3 Hp dia. 4 inch 3 phase</t>
  </si>
  <si>
    <t>Pompa submersible air bersih 4 Hp dia. 4 inch 3 phase</t>
  </si>
  <si>
    <t>Pompa submersible air bersih 5,5 Hp dia. 4 inch 3 phase</t>
  </si>
  <si>
    <t>Pompa submersible air bersih 7,5 Hp dia. 4 inch 3 phase</t>
  </si>
  <si>
    <t>Pemasangan 1 m' Pipa PVC dia. 1/2"</t>
  </si>
  <si>
    <t>Pemasangan 1 m' Pipa PVC dia. 3/4"</t>
  </si>
  <si>
    <t>Pemasangan 1 m' Pipa PVC dia. 1"</t>
  </si>
  <si>
    <t>Pemasangan 1 m' Pipa PVC dia. 1 1/2"</t>
  </si>
  <si>
    <t>Pemasangan 1 m' Pipa PVC dia. 2"</t>
  </si>
  <si>
    <t>Pemasangan 1 m' Pipa PVC dia. 2 1/2"</t>
  </si>
  <si>
    <t>Pemasangan 1 m' Pipa PVC dia. 4"</t>
  </si>
  <si>
    <t>PEKERJAAN PERSIAPAN</t>
  </si>
  <si>
    <t>III</t>
  </si>
  <si>
    <t>VI</t>
  </si>
  <si>
    <t>V</t>
  </si>
  <si>
    <t>IV</t>
  </si>
  <si>
    <t>PEKERJAAN PERLINTASAN ( CROSSING, JEMBATAN PIPA )</t>
  </si>
  <si>
    <t>ls</t>
  </si>
  <si>
    <t>SUB TOTAL  I</t>
  </si>
  <si>
    <t>SUB TOTAL  II</t>
  </si>
  <si>
    <t>SUB TOTAL  IV</t>
  </si>
  <si>
    <t>SUB TOTAL  V</t>
  </si>
  <si>
    <t>SUB TOTAL  VI</t>
  </si>
  <si>
    <t>Pengadaan dan Pemasangan Asesoris</t>
  </si>
  <si>
    <t>WIL 1</t>
  </si>
  <si>
    <t>WIL 2</t>
  </si>
  <si>
    <t>WIL 3</t>
  </si>
  <si>
    <t>KEGIATAN KONTRAKTUAL</t>
  </si>
  <si>
    <t>REKAPITULASI RENCANA ANGGARAN BIAYA ( RAB )</t>
  </si>
  <si>
    <t>RENCANA ANGGARAN BIAYA ( RAB )</t>
  </si>
  <si>
    <t>PEMBUATAN RESERVOIR 25 M3</t>
  </si>
  <si>
    <t>Pkt</t>
  </si>
  <si>
    <t>Unit</t>
  </si>
  <si>
    <t>Bak KM fiber 60 x 60 cm</t>
  </si>
  <si>
    <t>Pas. water turn ( 300 liter) Berikut Rangka Tower Besi Siku Tinggi 3m</t>
  </si>
  <si>
    <t>Pas. water turn ( 500 liter) Berikut Rangka Tower Besi Siku Tinggi 3m</t>
  </si>
  <si>
    <t>Pas. water turn ( 1000 liter) Berikut Rangka Tower Besi Siku Tinggi 3m</t>
  </si>
  <si>
    <t xml:space="preserve">- </t>
  </si>
  <si>
    <t>Tangki air Polyetilenhe 300 liter</t>
  </si>
  <si>
    <t>Tangki air Polyetilenhe 500 liter</t>
  </si>
  <si>
    <t>Tangki air Polyetilenhe  1000 liter</t>
  </si>
  <si>
    <t>PVC dia. 1/2"  S-10 SCJ</t>
  </si>
  <si>
    <t>PVC tipe AW dia. 1/2"</t>
  </si>
  <si>
    <t>PVC tipe AW dia. 3/4"</t>
  </si>
  <si>
    <t>PVC tipe AW dia. 1"</t>
  </si>
  <si>
    <t>PVC tipe AW dia. 1 1/2"</t>
  </si>
  <si>
    <t>PVC tipe AW dia. 2"</t>
  </si>
  <si>
    <t>PVC tipe AW dia. 2 1/2"</t>
  </si>
  <si>
    <t>PVC tipe AW dia. 3"</t>
  </si>
  <si>
    <t>PVC tipe AW dia. 4"</t>
  </si>
  <si>
    <t>PVC tipe AW dia. 6"</t>
  </si>
  <si>
    <t>Dia. 3" x 2" (RRJ)</t>
  </si>
  <si>
    <t>Dia. 2" x 1,5" (SCJ)</t>
  </si>
  <si>
    <t>Dia. 2" x 1" (SCJ)</t>
  </si>
  <si>
    <t>Dia. 1,5" x 1" (SCJ)</t>
  </si>
  <si>
    <t>Dia. 2" x 2"  (RRJ)</t>
  </si>
  <si>
    <t>Dia. 2" x 1,5"  (SCJ)</t>
  </si>
  <si>
    <t>Dia. 2" x 1"  (SCJ)</t>
  </si>
  <si>
    <t>Dia. 1,5" x 1,5"  (SCJ)</t>
  </si>
  <si>
    <t>Dia. 1,5" x 1"  (SCJ)</t>
  </si>
  <si>
    <t>Dia. 1" x 1"  (SCJ)</t>
  </si>
  <si>
    <t>Dia. 3" x 900 (RRJ)</t>
  </si>
  <si>
    <t>Dia. 3" x 450 (RRJ)</t>
  </si>
  <si>
    <t>Dia. 2" x 900 (RRJ)</t>
  </si>
  <si>
    <t>Dia. 2" x 450 (RRJ)</t>
  </si>
  <si>
    <t>Dia. 1,5" x 900 (SCJ)</t>
  </si>
  <si>
    <t>Dia. 1,5" x 450 (SCJ)</t>
  </si>
  <si>
    <t>Dia. 1" x 900 (SCJ)</t>
  </si>
  <si>
    <t>Dia. 3"</t>
  </si>
  <si>
    <t>Dia. 2"</t>
  </si>
  <si>
    <t>Dia. 1,5"</t>
  </si>
  <si>
    <t>Dia. 1"</t>
  </si>
  <si>
    <t>Dia. 3/4"</t>
  </si>
  <si>
    <t>Dia. 1/2"</t>
  </si>
  <si>
    <t>Dia. 3" (SCJ)</t>
  </si>
  <si>
    <t>Dia. 2" (SCJ)</t>
  </si>
  <si>
    <t>Dia. 1,5"  (SCJ)</t>
  </si>
  <si>
    <t>Dia. 1"  (SCJ)</t>
  </si>
  <si>
    <t>Dia. 2" x 1/2"</t>
  </si>
  <si>
    <t>Dia. 1,5" x 1/2"</t>
  </si>
  <si>
    <t>SISTEM MANAJEMEN KESELAMATAN KONSTRUKSI (SMKK)</t>
  </si>
  <si>
    <t>NO.</t>
  </si>
  <si>
    <t>URAIAN</t>
  </si>
  <si>
    <t>KODE</t>
  </si>
  <si>
    <t>KUANTITAS</t>
  </si>
  <si>
    <t>Pembuatan Prosedur dan Instruksi Kerja</t>
  </si>
  <si>
    <t>Penyiapan Formulir</t>
  </si>
  <si>
    <t>Papan Informasi K3</t>
  </si>
  <si>
    <t>G</t>
  </si>
  <si>
    <t>Bendera K3</t>
  </si>
  <si>
    <t>PENYELENGGARAAN SISTEM MANAJEMEN KESELAMATAN KONSTRUKSI (SMKK)</t>
  </si>
  <si>
    <t>1 Unit Pekerjaan Sambungan Rumah (SR) Type -1 (Dia.32)</t>
  </si>
  <si>
    <t>KOEFISIEN</t>
  </si>
  <si>
    <t xml:space="preserve">HARGA </t>
  </si>
  <si>
    <t xml:space="preserve"> ( Rp )</t>
  </si>
  <si>
    <t>TENAGA</t>
  </si>
  <si>
    <t>Biaya onkos sambungan rumah</t>
  </si>
  <si>
    <t xml:space="preserve">JUMLAH HARGA TENAGA   </t>
  </si>
  <si>
    <t xml:space="preserve">JUMLAH HARGA BAHAN   </t>
  </si>
  <si>
    <t>PERALATAN</t>
  </si>
  <si>
    <t xml:space="preserve">JUMLAH HARGA PERALATAN   </t>
  </si>
  <si>
    <t>D.</t>
  </si>
  <si>
    <t>JUMLAH HARGA TENAGA, BAHAN DAN PERALATAN  ( A + B + C )</t>
  </si>
  <si>
    <t>E.</t>
  </si>
  <si>
    <t>OVERHEAD &amp; PROFIT</t>
  </si>
  <si>
    <t>%  x  D</t>
  </si>
  <si>
    <t>F.</t>
  </si>
  <si>
    <t>HARGA SATUAN PEKERJAAN  ( D + E )</t>
  </si>
  <si>
    <t xml:space="preserve">DIBULATKAN </t>
  </si>
  <si>
    <r>
      <rPr>
        <b/>
        <sz val="11"/>
        <color theme="1"/>
        <rFont val="Arial Narrow"/>
        <family val="2"/>
      </rPr>
      <t>Sumber :</t>
    </r>
    <r>
      <rPr>
        <sz val="11"/>
        <color theme="1"/>
        <rFont val="Arial Narrow"/>
        <family val="2"/>
      </rPr>
      <t xml:space="preserve"> </t>
    </r>
    <r>
      <rPr>
        <b/>
        <sz val="11"/>
        <color theme="1"/>
        <rFont val="Arial Narrow"/>
        <family val="2"/>
      </rPr>
      <t xml:space="preserve">PERMEN PUPR No. 10 Tahun Tahun 2021 </t>
    </r>
    <r>
      <rPr>
        <sz val="11"/>
        <color theme="1"/>
        <rFont val="Arial Narrow"/>
        <family val="2"/>
      </rPr>
      <t xml:space="preserve">
                 Tentang Pedoman Sistem Manajemen Keselamatan Konstruksi</t>
    </r>
  </si>
  <si>
    <t>SATUAN PEMBAYARAN</t>
  </si>
  <si>
    <t>HARGA SATUAN (RP.)</t>
  </si>
  <si>
    <t>TOTAL HARGA (RP.)</t>
  </si>
  <si>
    <t>KETERANGAN</t>
  </si>
  <si>
    <t>NILAI TKDN</t>
  </si>
  <si>
    <t>HARGA TKDN</t>
  </si>
  <si>
    <t>6 = 4 * 5</t>
  </si>
  <si>
    <t>I.</t>
  </si>
  <si>
    <t>PENYIAPAN RKK:</t>
  </si>
  <si>
    <t xml:space="preserve">Pembuatan Dokumen Rencana Keselamatan Konstruksi </t>
  </si>
  <si>
    <t>Set</t>
  </si>
  <si>
    <t>Memperhatikan jumlah dan jenis pekerjaan yang dikerjakan</t>
  </si>
  <si>
    <t>Sub Total Penyiapan RKK</t>
  </si>
  <si>
    <t>SOSIALISASI, PROMOSI, DAN PELATIHAN:</t>
  </si>
  <si>
    <r>
      <t>Induksi K3 (</t>
    </r>
    <r>
      <rPr>
        <i/>
        <sz val="11"/>
        <color theme="1"/>
        <rFont val="Arial Narrow"/>
        <family val="2"/>
      </rPr>
      <t>Safety Induction</t>
    </r>
    <r>
      <rPr>
        <sz val="11"/>
        <color theme="1"/>
        <rFont val="Arial Narrow"/>
        <family val="2"/>
      </rPr>
      <t>)</t>
    </r>
  </si>
  <si>
    <t>Memperhatikan perkiraan jumlah pekerja, tamu, dan staf</t>
  </si>
  <si>
    <t>Memperhatikan perkiraan jumlah pekerja dan risiko k3 pekerjaan</t>
  </si>
  <si>
    <r>
      <t>Pertemuan Keselamatan (</t>
    </r>
    <r>
      <rPr>
        <i/>
        <sz val="11"/>
        <color theme="1"/>
        <rFont val="Arial Narrow"/>
        <family val="2"/>
      </rPr>
      <t xml:space="preserve">Safety Talk </t>
    </r>
    <r>
      <rPr>
        <sz val="11"/>
        <color theme="1"/>
        <rFont val="Arial Narrow"/>
        <family val="2"/>
      </rPr>
      <t xml:space="preserve">dan / atau </t>
    </r>
    <r>
      <rPr>
        <i/>
        <sz val="11"/>
        <color theme="1"/>
        <rFont val="Arial Narrow"/>
        <family val="2"/>
      </rPr>
      <t>Tool Box Meeting</t>
    </r>
    <r>
      <rPr>
        <sz val="11"/>
        <color theme="1"/>
        <rFont val="Arial Narrow"/>
        <family val="2"/>
      </rPr>
      <t>)</t>
    </r>
  </si>
  <si>
    <t>c</t>
  </si>
  <si>
    <r>
      <t>Spanduk (</t>
    </r>
    <r>
      <rPr>
        <i/>
        <sz val="11"/>
        <color theme="1"/>
        <rFont val="Arial Narrow"/>
        <family val="2"/>
      </rPr>
      <t>banner</t>
    </r>
    <r>
      <rPr>
        <sz val="11"/>
        <color theme="1"/>
        <rFont val="Arial Narrow"/>
        <family val="2"/>
      </rPr>
      <t>)</t>
    </r>
  </si>
  <si>
    <t>Memperhatikan lokasi pekerjaan dan waktu
pekerjaan</t>
  </si>
  <si>
    <t>Poster</t>
  </si>
  <si>
    <t>Bh</t>
  </si>
  <si>
    <t>Memperhatikan risiko k3 pekerjaan</t>
  </si>
  <si>
    <t>Sub Total Sosialisasi, Promosi dan Pelatihan</t>
  </si>
  <si>
    <t>III.</t>
  </si>
  <si>
    <t>ALAT PELINDUNG KERJA (APK) DAN ALAT PELINDUNG DIRI (APD):</t>
  </si>
  <si>
    <t>APK Antara Lain:</t>
  </si>
  <si>
    <t>Sesuai kebutuhan</t>
  </si>
  <si>
    <t>Pembatas Area (Restricted Area) / Safety Line</t>
  </si>
  <si>
    <t>APD Antara Lain:</t>
  </si>
  <si>
    <r>
      <t>Topi Pelindung (</t>
    </r>
    <r>
      <rPr>
        <i/>
        <sz val="11"/>
        <color theme="1"/>
        <rFont val="Arial Narrow"/>
        <family val="2"/>
      </rPr>
      <t>Safety Helmet</t>
    </r>
    <r>
      <rPr>
        <sz val="11"/>
        <color theme="1"/>
        <rFont val="Arial Narrow"/>
        <family val="2"/>
      </rPr>
      <t>)</t>
    </r>
  </si>
  <si>
    <t>Memperhatikan perkiraan jumlah pekerja tamu dan staf</t>
  </si>
  <si>
    <t>https://tkdn.kemenperin.go.id/sertifikat_perush.php?id=LXgDzIgDALi1Ge2ukHE7ZXx53avqEQjgBFBeb1z21ps,&amp;id_siinas=LXgDzIgDALi1Ge2ukHE7ZXx53avqEQjgBFBeb1z21ps,</t>
  </si>
  <si>
    <t>Psg</t>
  </si>
  <si>
    <r>
      <t>Sarung Tangan (</t>
    </r>
    <r>
      <rPr>
        <i/>
        <sz val="11"/>
        <color theme="1"/>
        <rFont val="Arial Narrow"/>
        <family val="2"/>
      </rPr>
      <t>Safety Gloves</t>
    </r>
    <r>
      <rPr>
        <sz val="11"/>
        <color theme="1"/>
        <rFont val="Arial Narrow"/>
        <family val="2"/>
      </rPr>
      <t xml:space="preserve">) </t>
    </r>
  </si>
  <si>
    <t>https://tkdn.kemenperin.go.id/sertifikat_perush.php?id=w-Y65P5c9W2YTOjPtMbiggEIxZYqgOC_2uf6vZXvY1s,&amp;id_siinas=vq2DN3VwRxHs25X0BxmbQiFY8n_irbYjEg-5_LMePFo,</t>
  </si>
  <si>
    <r>
      <t>Sepatu Keselamatan (</t>
    </r>
    <r>
      <rPr>
        <i/>
        <sz val="11"/>
        <rFont val="Arial Narrow"/>
        <family val="2"/>
      </rPr>
      <t>Safety Shoes</t>
    </r>
    <r>
      <rPr>
        <sz val="11"/>
        <rFont val="Arial Narrow"/>
        <family val="2"/>
      </rPr>
      <t xml:space="preserve">) </t>
    </r>
  </si>
  <si>
    <t xml:space="preserve">Memperhatikan perkiraan jumlah pekerja tamu dan staf </t>
  </si>
  <si>
    <t>https://tkdn.kemenperin.go.id/sertifikat_perush.php?id=qlXiOPwQVC1Ugd23hMrAjlt4wrfHvpLDs0C4F-q3-1E,&amp;id_siinas=ajfIiFxWAc5tzDubq0-dX0MfNpFQ5ktPydWY9IqmyXk,</t>
  </si>
  <si>
    <r>
      <t>Rompi Keselamatan (</t>
    </r>
    <r>
      <rPr>
        <i/>
        <sz val="11"/>
        <color theme="1"/>
        <rFont val="Arial Narrow"/>
        <family val="2"/>
      </rPr>
      <t>Safety Vest</t>
    </r>
    <r>
      <rPr>
        <sz val="11"/>
        <color theme="1"/>
        <rFont val="Arial Narrow"/>
        <family val="2"/>
      </rPr>
      <t>)</t>
    </r>
  </si>
  <si>
    <t>https://tkdn.kemenperin.go.id/sertifikat_perush.php?id=BwjfXmFNy_PcPmlGSjWRfwFf_0CbZkh4h9MFN_ZqS8A,&amp;id_siinas=cKhWiTRLRcHuRXFwucFMztay0TF-lws89_R8XrROL5Y,</t>
  </si>
  <si>
    <t>Sub Total Alat Pelindung Kerja dan Alat Pelindung Diri</t>
  </si>
  <si>
    <t>IV.</t>
  </si>
  <si>
    <t>ASURANSI DAN PERIZINAN:</t>
  </si>
  <si>
    <t>Asuransi JKK dan JKM</t>
  </si>
  <si>
    <t>Sub Total Asuransi dan Perizinan</t>
  </si>
  <si>
    <t>V.</t>
  </si>
  <si>
    <t>PERSONEL K3 KONSTRUKSI:</t>
  </si>
  <si>
    <t>Sub Total Personel K3 Konstruksi</t>
  </si>
  <si>
    <t>VI.</t>
  </si>
  <si>
    <t>FASILITAS, SARANA DAN PRASARANA KESEHATAN:</t>
  </si>
  <si>
    <t xml:space="preserve">Peralatan P3K Umum (Kotak P3K, Obat Luka, Perban,dll) </t>
  </si>
  <si>
    <t>Memperhatikan perkiraan jumlah pekerja
dan risiko k3 pekerjaan</t>
  </si>
  <si>
    <t>Sub Total Fasilitas, Sarana, dan Prasarana Kesehatan</t>
  </si>
  <si>
    <t>VII.</t>
  </si>
  <si>
    <t>RAMBU-RAMBU YANG DIPERLUKAN:</t>
  </si>
  <si>
    <t>Rambu Petunjuk</t>
  </si>
  <si>
    <t>https://tkdn.kemenperin.go.id/sertifikat_perush.php?id=QSsoMNgrkDEYcCxSuXBQOYxgtTtMbAZEyUEZIjoHkeM,&amp;id_siinas=e_LvgcF-xqow-MxHTRxjI-78147nnLCAUxKl7HxUfnc,</t>
  </si>
  <si>
    <t xml:space="preserve">Rambu Larangan </t>
  </si>
  <si>
    <t>Rambu Peringatan</t>
  </si>
  <si>
    <t>Rambu Kewajiban</t>
  </si>
  <si>
    <t>G.</t>
  </si>
  <si>
    <t>Sub Total Rambu-rambu yang Diperlukan</t>
  </si>
  <si>
    <t>VIII.</t>
  </si>
  <si>
    <t>KONSULTASI DENGAN AHLI TERKAIT KESELAMATAN KONSTRUKSI:</t>
  </si>
  <si>
    <t>Ahli Lingkungan</t>
  </si>
  <si>
    <t>Sesuai kebutuhan memperhatikan jenis pekerjaan dan waktu pelaksanaan pekerjaan</t>
  </si>
  <si>
    <t>Ahli Perpipaan</t>
  </si>
  <si>
    <t>H.</t>
  </si>
  <si>
    <t>Sub Total Konsultasi dengan Ahli Terkait Keselamatan Konstruksi</t>
  </si>
  <si>
    <t>IX.</t>
  </si>
  <si>
    <t>LAIN-LAIN TERKAIT PENGENDALIAN RISIKO KESELAMATAN KONSTRUKSI:</t>
  </si>
  <si>
    <t xml:space="preserve">Sesuai kebutuhan memperhatikan jenis pekerjaan dan risiko k3 pekerjaan </t>
  </si>
  <si>
    <t>https://tkdn.kemenperin.go.id/sertifikat_perush.php?id=PoGlz6lDNjHjW3VZldQ4WzigaYNafopxEMoEvdhwHhY,&amp;id_siinas=MR8DDg3dPaYUSfFePML5VMM14cs-AdtXrfiG2349nWY,</t>
  </si>
  <si>
    <t xml:space="preserve">Sirine </t>
  </si>
  <si>
    <r>
      <t>Lampu Darurat (</t>
    </r>
    <r>
      <rPr>
        <i/>
        <sz val="11"/>
        <color theme="1"/>
        <rFont val="Arial Narrow"/>
        <family val="2"/>
      </rPr>
      <t>Emergency Lamp</t>
    </r>
    <r>
      <rPr>
        <sz val="11"/>
        <color theme="1"/>
        <rFont val="Arial Narrow"/>
        <family val="2"/>
      </rPr>
      <t xml:space="preserve">) </t>
    </r>
  </si>
  <si>
    <t>https://tkdn.kemenperin.go.id/sertifikat_perush.php?id=1dU3IX_7z_CFV_eTU6p_b-V79Fe7qPLM64ZY5mFyRqE,&amp;id_siinas=j-Mc25-YrBhQ_AWr_-pp_xsKj_I_g5hXg-o_dsButnI,</t>
  </si>
  <si>
    <t xml:space="preserve">Pembuatan Kartu Identitas Pekerja (KIP) </t>
  </si>
  <si>
    <t>Lb</t>
  </si>
  <si>
    <t>Sesuai kebutuhan memperhatikan jumlah pekerja</t>
  </si>
  <si>
    <t xml:space="preserve">Program Inspeksi dan Audit Internal </t>
  </si>
  <si>
    <t>Sesuai kebutuhan memperhatikan jenis dan waktu pekerjaan</t>
  </si>
  <si>
    <t>Pelaporan dan Penyelidikan Insiden</t>
  </si>
  <si>
    <t>Sub Total Lain-lain Terkait Pengendalian Risiko Keselamatan Konstruksi</t>
  </si>
  <si>
    <t>JUMLAH I + II + III + IV + V + VI + VII + VIII + IX</t>
  </si>
  <si>
    <t>PVC-O dia. 6"  S-12,5 RRJ</t>
  </si>
  <si>
    <t>PVC-O dia. 4"  S-12,5 RRJ</t>
  </si>
  <si>
    <t>PVC-O dia. 3"  S-12,5 RRJ</t>
  </si>
  <si>
    <t>pkt</t>
  </si>
  <si>
    <t>Uji Kualitas Air</t>
  </si>
  <si>
    <t>Brass Loockable Ball Valve dia. 1/2"</t>
  </si>
  <si>
    <t>PPN 11%</t>
  </si>
  <si>
    <t>PROGRAM INFRASTRUKTUR BIDANG AIR MINUM TAHUN ANGGARAN 2026</t>
  </si>
  <si>
    <t xml:space="preserve">Pemasangan pipa dan asesoris </t>
  </si>
  <si>
    <t>Pemasangan pipa dan asesoris melalui galian tanah keras</t>
  </si>
  <si>
    <t>2.2.2</t>
  </si>
  <si>
    <t>Knee PVC (AW)</t>
  </si>
  <si>
    <t>Dia. 1,5" x 1" AW</t>
  </si>
  <si>
    <t>Dia. 1,5" x 1"  (AW)</t>
  </si>
  <si>
    <t>Dia. 1" x 1"  (AW)</t>
  </si>
  <si>
    <t>Dia. 1" x 1/2"  (AW)</t>
  </si>
  <si>
    <t>Dia. 1" x 1/2"  AW</t>
  </si>
  <si>
    <t>Dia. 4" x 900 (AW)</t>
  </si>
  <si>
    <t>Dia. 3" x 900 (AW)</t>
  </si>
  <si>
    <t>Dia. 2" x 900 (AW)</t>
  </si>
  <si>
    <t>Dia. 1,5" x 900 (AW)</t>
  </si>
  <si>
    <t>Dia. 1" x 900 (AW)</t>
  </si>
  <si>
    <t>Dia. 1/2" x 900 (AW)</t>
  </si>
  <si>
    <t>Dia. 1"  (SDD) AW</t>
  </si>
  <si>
    <t>Dia. 3/4"  (SDD) AW</t>
  </si>
  <si>
    <t>Dia. 1/2"  (SDD) AW</t>
  </si>
  <si>
    <t>Dia. 1,5"  (SDL) AW</t>
  </si>
  <si>
    <t>Dia. 1"  (SDL) AW</t>
  </si>
  <si>
    <t>Dia. 3/4"  (SDL) AW</t>
  </si>
  <si>
    <t>Dia. 1/2"  (SDL) AW</t>
  </si>
  <si>
    <t>Dia. 6" (AW)</t>
  </si>
  <si>
    <t>Dia. 4" (AW)</t>
  </si>
  <si>
    <t>Dia. 1" (AW)</t>
  </si>
  <si>
    <t>Dia. 1/2" (AW)</t>
  </si>
  <si>
    <t>1 m' Pemboran Pilot Hole dia. 4"</t>
  </si>
  <si>
    <t>1 m' Pemboran Reaming dari dia. 4" ke dia. 6"</t>
  </si>
  <si>
    <t>1 m' Pemboran Reaming dari dia. 8" ke dia. 12"</t>
  </si>
  <si>
    <t>1 m' Pemboran Pilot Hole dia. 6"</t>
  </si>
  <si>
    <t>1 m' Pemboran Pilot Hole dia. 8"</t>
  </si>
  <si>
    <t>A</t>
  </si>
  <si>
    <t>SUMUR DALAM</t>
  </si>
  <si>
    <t>B</t>
  </si>
  <si>
    <t>SUMUR DANGKAL</t>
  </si>
  <si>
    <t>1 m' Pengadaan Dan Pemasangan Pipa PVC dia. 4" untuk Cassing</t>
  </si>
  <si>
    <t>1 m' Pengadaan Dan Pemasangan Pipa PVC dia. 4" untuk Saringan</t>
  </si>
  <si>
    <t>Pemboran Pilot Hole dia. 8"</t>
  </si>
  <si>
    <t>Pemboran Reaming dari dia. 8" ke dia. 12"</t>
  </si>
  <si>
    <t>Pemboran Pilot Hole dia. 6"</t>
  </si>
  <si>
    <t>Pemboran Reaming dari dia. 6" ke dia. 8"</t>
  </si>
  <si>
    <t>Pemboran Pilot Hole dia. 4"</t>
  </si>
  <si>
    <t>Pemboran Reaming dari dia. 4" ke dia. 6"</t>
  </si>
  <si>
    <t>Pengadaan Dan Pemasangan Pipa PVC dia. 4" untuk Cassing</t>
  </si>
  <si>
    <t>Pengadaan Dan Pemasangan Pipa PVC dia. 4" untuk Saringan</t>
  </si>
  <si>
    <t>NIP. 19771121 200604 1 010</t>
  </si>
  <si>
    <t>Cianjur,                                            2026</t>
  </si>
  <si>
    <t>Pekerjaan Konstruksi Sumur</t>
  </si>
  <si>
    <t>Pemboran sumur sesuai dengan spesifikasi teknis, termasuk pengadaan bentonit, barit, air, surface casing</t>
  </si>
  <si>
    <t>Pengadaan dan pemasangan perpipaan dan pipa saringan</t>
  </si>
  <si>
    <t>sesuai dengan spesifikasi teknis</t>
  </si>
  <si>
    <t>Penyempurnaan konstruksi</t>
  </si>
  <si>
    <t>Beton cor  1 : 2 : 3 untuk permukaan</t>
  </si>
  <si>
    <t>Pekerjaan Pompa</t>
  </si>
  <si>
    <t>Pekerjaan pompa meliputi pengadaan dan pemasangan lengkap</t>
  </si>
  <si>
    <t>3.4</t>
  </si>
  <si>
    <t>Pekerjaan perpipaan sumur bor meliputi pengadaan dan pemasangan</t>
  </si>
  <si>
    <t>Pipa PVC dia. 1"  untuk pipa tekan (naik)</t>
  </si>
  <si>
    <t xml:space="preserve">Accessories </t>
  </si>
  <si>
    <t>Chek Valve dia. 1,5"</t>
  </si>
  <si>
    <t>Socket SDD dia. 1"</t>
  </si>
  <si>
    <t>Socket SDL dia. 1"</t>
  </si>
  <si>
    <t>Elbow PVC dia. 1"</t>
  </si>
  <si>
    <t>Tali Tambang Plastik</t>
  </si>
  <si>
    <t>Seal Tape</t>
  </si>
  <si>
    <t>3.5</t>
  </si>
  <si>
    <t>Pas. water turn ( 2000 liter) Berikut Rangka Tower Besi Siku Tinggi 3m</t>
  </si>
  <si>
    <t>Geolistrik</t>
  </si>
  <si>
    <t xml:space="preserve">PENYAMBUNGAN LISTRIK PLN </t>
  </si>
  <si>
    <t>SUB TOTAL  III</t>
  </si>
  <si>
    <t>Tangki air Polyetilenhe  2000 liter</t>
  </si>
  <si>
    <t>KRAN UMUM (KU)</t>
  </si>
  <si>
    <t>1.1</t>
  </si>
  <si>
    <t>1.2</t>
  </si>
  <si>
    <t>1.3</t>
  </si>
  <si>
    <t>Mobilisasi/Demobilisasi</t>
  </si>
  <si>
    <t>2.3</t>
  </si>
  <si>
    <t>2.4</t>
  </si>
  <si>
    <t>Pekerjaan Pasangan tembokan</t>
  </si>
  <si>
    <t>Pasangan Bata Merah campuran spesi  1PC : 5PS</t>
  </si>
  <si>
    <t>3.3</t>
  </si>
  <si>
    <t xml:space="preserve">m² </t>
  </si>
  <si>
    <t>4.1</t>
  </si>
  <si>
    <t xml:space="preserve">Pipa tegak PVC dia. 1" - 2 meter </t>
  </si>
  <si>
    <t>4.2</t>
  </si>
  <si>
    <t>Pembuangan air kotor Pipa PVC tipe AW dia. 3"</t>
  </si>
  <si>
    <t>4.3</t>
  </si>
  <si>
    <t>Bras valve dia. 1" drat</t>
  </si>
  <si>
    <t>Socket PVC dia. 1" (SDL)</t>
  </si>
  <si>
    <t>Pipa PVC dia. 1/2" AW</t>
  </si>
  <si>
    <t>Knee PVC dia. 1"</t>
  </si>
  <si>
    <t>Tee Dia. 1" x 1"  (AW)</t>
  </si>
  <si>
    <t>Tee Dia. 1" x 1/2"  (AW)</t>
  </si>
  <si>
    <t>Dop PVC dia. 1" (AW)</t>
  </si>
  <si>
    <t>Socket PVC dia. 1/2" (SDD)</t>
  </si>
  <si>
    <t>Kran dia 1/2"</t>
  </si>
  <si>
    <t>4.4</t>
  </si>
  <si>
    <t>4.5</t>
  </si>
  <si>
    <t>4.6</t>
  </si>
  <si>
    <t>Pas.Lantai Keramik  uk. 25 x 25 cm (warna / corak)</t>
  </si>
  <si>
    <t xml:space="preserve">DN (Warna / Corak)  </t>
  </si>
  <si>
    <t>Ubin Keramik</t>
  </si>
  <si>
    <t>PC</t>
  </si>
  <si>
    <t>Semen Warna</t>
  </si>
  <si>
    <t>Tukang  Batu</t>
  </si>
  <si>
    <t>Pas.Dinding Keramik  uk. 25 x 40cm (warna / corak)</t>
  </si>
  <si>
    <t>Bata Ringan (Heble) uk.10x20x60 cm</t>
  </si>
  <si>
    <t>Keramik  25 x 25 cm (KM) Kw1 DN warna/corak</t>
  </si>
  <si>
    <t>Keramik  25 x 40 cm (KM) Kw1 DN warna/corak</t>
  </si>
  <si>
    <t>DAU</t>
  </si>
  <si>
    <t>Network Table - Nodes</t>
  </si>
  <si>
    <t xml:space="preserve">Demand          </t>
  </si>
  <si>
    <t xml:space="preserve">Head            </t>
  </si>
  <si>
    <t xml:space="preserve">Pressure        </t>
  </si>
  <si>
    <t xml:space="preserve">LPS             </t>
  </si>
  <si>
    <t xml:space="preserve">m               </t>
  </si>
  <si>
    <t xml:space="preserve">Junc J1                 </t>
  </si>
  <si>
    <t xml:space="preserve">0.00            </t>
  </si>
  <si>
    <t xml:space="preserve">285.99          </t>
  </si>
  <si>
    <t xml:space="preserve">1.99            </t>
  </si>
  <si>
    <t xml:space="preserve">Junc J2                 </t>
  </si>
  <si>
    <t xml:space="preserve">0.20            </t>
  </si>
  <si>
    <t xml:space="preserve">285.97          </t>
  </si>
  <si>
    <t xml:space="preserve">4.97            </t>
  </si>
  <si>
    <t xml:space="preserve">Junc J3                 </t>
  </si>
  <si>
    <t xml:space="preserve">5.97            </t>
  </si>
  <si>
    <t xml:space="preserve">Junc J4                 </t>
  </si>
  <si>
    <t xml:space="preserve">0.22            </t>
  </si>
  <si>
    <t xml:space="preserve">285.88          </t>
  </si>
  <si>
    <t xml:space="preserve">5.88            </t>
  </si>
  <si>
    <t xml:space="preserve">Junc J5                 </t>
  </si>
  <si>
    <t xml:space="preserve">289.74          </t>
  </si>
  <si>
    <t xml:space="preserve">8.74            </t>
  </si>
  <si>
    <t xml:space="preserve">Resvr R1                </t>
  </si>
  <si>
    <t xml:space="preserve">-25.01          </t>
  </si>
  <si>
    <t xml:space="preserve">261.00          </t>
  </si>
  <si>
    <t xml:space="preserve">Resvr R2                </t>
  </si>
  <si>
    <t xml:space="preserve">24.59           </t>
  </si>
  <si>
    <t xml:space="preserve">286.00          </t>
  </si>
  <si>
    <t xml:space="preserve">Node ID                </t>
  </si>
  <si>
    <t>No</t>
  </si>
  <si>
    <t>Tambang Plastik uk. 10 mm</t>
  </si>
  <si>
    <t xml:space="preserve">1 unit </t>
  </si>
  <si>
    <t>AGUNG DELI SAHPUTRA, ST</t>
  </si>
  <si>
    <t>JANGKA WAKTU PELAKSANAAN  : 90 ( SEMBILAN PULUH ) HARI KALENDER</t>
  </si>
  <si>
    <t>Pompa submersible air bersih 1 Hp dia.3" 1 Phase berikut Box Panel dan Kabel</t>
  </si>
  <si>
    <t>Pompa submersible air bersih 1/2 Hp dia.2,5" 1 phase berikut Box Panel dan Kabel</t>
  </si>
  <si>
    <t>1 m' Pemboran Reaming dari dia. 6" ke dia. 8"</t>
  </si>
  <si>
    <t>1 m' Pemboran Pilot Hole dia. 3"</t>
  </si>
  <si>
    <t>1 m' Pemboran Reaming dari dia. 3" ke dia. 6"</t>
  </si>
  <si>
    <t>1 m' Pengadaan Dan Pemasangan Pipa PVC dia. 3" untuk Cassing</t>
  </si>
  <si>
    <t>1 m' Pengadaan Dan Pemasangan Pipa PVC dia. 3" untuk Saringan</t>
  </si>
  <si>
    <t>Lubang Sumur dia.4 inch</t>
  </si>
  <si>
    <t>Lubang Sumur dia.3 inch</t>
  </si>
  <si>
    <t>Lubang Sumur dia.6 inch</t>
  </si>
  <si>
    <t>Lubang Sumur dia.8 inch</t>
  </si>
  <si>
    <t xml:space="preserve">Pengadaan dan Pemasangan Pompa submersible air bersih 1 Hp dia.4" 3 phase </t>
  </si>
  <si>
    <t>Pengadaan dan Pemasangan Pompa submersible air bersih 1 Hp dia.3" 1 phase berikut Box Panel dan Kabel</t>
  </si>
  <si>
    <t>Pengadaan dan Pemasangan Pompa submersible air bersih 1/2 Hp dia.2,5" 1 phase berikut Box Panel dan Kabel</t>
  </si>
  <si>
    <t>Pemboran Pilot Hole dia. 3"</t>
  </si>
  <si>
    <t>Pemboran Reaming dari dia. 3" ke dia. 6"</t>
  </si>
  <si>
    <t>Pengadaan Dan Pemasangan Pipa PVC dia. 3" untuk Cassing</t>
  </si>
  <si>
    <t>Pengadaan Dan Pemasangan Pipa PVC dia. 3" untuk Saringan</t>
  </si>
  <si>
    <t>Rakitan</t>
  </si>
  <si>
    <t>Lem PVC  ( tube )</t>
  </si>
  <si>
    <t>Pasang Daya Listrik PLN  1.300 watt berikut jaringan</t>
  </si>
  <si>
    <t xml:space="preserve">Pemboran pilot hole diameter 6" </t>
  </si>
  <si>
    <t>Tutup cassing (well head) Dop PVC dia. 6" (AW)</t>
  </si>
  <si>
    <t>Pemasangan pipa PVC dia.  11/2" melalui galian tanah biasa</t>
  </si>
  <si>
    <t>JUMLAH TOTAL DANA ( I+II+III+IV+V+VI )</t>
  </si>
  <si>
    <t>PESANTREN AL MARUF RT.03 RW.01 KP.BOBOJONG DESA BOBOJONG KECAMATAN MANDE</t>
  </si>
  <si>
    <r>
      <t xml:space="preserve">PEMBUATAN SUMUR BOR (SATS) TYPE </t>
    </r>
    <r>
      <rPr>
        <b/>
        <sz val="10"/>
        <color rgb="FFFF0000"/>
        <rFont val="Arial Narrow"/>
        <family val="2"/>
      </rPr>
      <t>49 M  DIA. 6"</t>
    </r>
  </si>
  <si>
    <t>PEMBANGUNAN SPAM BUKAN JARINGAN PERPIPAAN DI KAWASAN PERDESAAN</t>
  </si>
  <si>
    <t>KURANGYA AIR BERSIH PESANTREN AL MARUF RT.03 RW.01 KP.BOBOJONG DESA BOBOJONG KECAMATAN 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</si>
</sst>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#,##0.000_);\(#,##0.000\)"/>
    <numFmt numFmtId="168" formatCode="0_);\(0\)"/>
    <numFmt numFmtId="169" formatCode="#,##0.0000_);\(#,##0.0000\)"/>
    <numFmt numFmtId="170" formatCode="_-[$Rp-3809]* #,##0.00_-;\-[$Rp-3809]* #,##0.00_-;_-[$Rp-3809]* &quot;-&quot;??_-;_-@_-"/>
    <numFmt numFmtId="171" formatCode="_(* #,##0_);_(* \(#,##0\);_(* &quot;-&quot;??_);_(@_)"/>
    <numFmt numFmtId="172" formatCode="_(* #,##0.000_);_(* \(#,##0.000\);_(* &quot;-&quot;??_);_(@_)"/>
    <numFmt numFmtId="173" formatCode="_(* #,##0.0000_);_(* \(#,##0.0000\);_(* &quot;-&quot;??_);_(@_)"/>
    <numFmt numFmtId="174" formatCode="_(* #,##0.000_);_(* \(#,##0.000\);_(* &quot;-&quot;_);_(@_)"/>
  </numFmts>
  <fonts count="42" x14ac:knownFonts="1">
    <font>
      <sz val="10"/>
      <name val="Arial Narrow"/>
      <family val="2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0"/>
      <name val="Tahoma"/>
      <family val="2"/>
    </font>
    <font>
      <b/>
      <sz val="14"/>
      <name val="Arial Narrow"/>
      <family val="2"/>
    </font>
    <font>
      <sz val="11"/>
      <name val="Arial Narrow"/>
      <family val="2"/>
    </font>
    <font>
      <vertAlign val="superscript"/>
      <sz val="10"/>
      <name val="Arial Narrow"/>
      <family val="2"/>
    </font>
    <font>
      <sz val="9"/>
      <name val="Arial Narrow"/>
      <family val="2"/>
    </font>
    <font>
      <vertAlign val="superscript"/>
      <sz val="9"/>
      <name val="Arial Narrow"/>
      <family val="2"/>
    </font>
    <font>
      <b/>
      <sz val="14"/>
      <color indexed="8"/>
      <name val="Arial Narrow"/>
      <family val="2"/>
    </font>
    <font>
      <sz val="10"/>
      <color indexed="8"/>
      <name val="Arial Narrow"/>
      <family val="2"/>
    </font>
    <font>
      <b/>
      <sz val="11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sz val="11"/>
      <color indexed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b/>
      <sz val="12"/>
      <color indexed="8"/>
      <name val="Arial Narrow"/>
      <family val="2"/>
    </font>
    <font>
      <b/>
      <u/>
      <sz val="10"/>
      <name val="Arial Narrow"/>
      <family val="2"/>
    </font>
    <font>
      <u/>
      <sz val="10"/>
      <name val="Arial Narrow"/>
      <family val="2"/>
    </font>
    <font>
      <sz val="10"/>
      <color theme="0"/>
      <name val="Arial Narrow"/>
      <family val="2"/>
    </font>
    <font>
      <b/>
      <sz val="10"/>
      <color indexed="8"/>
      <name val="Arial Narrow"/>
      <family val="2"/>
    </font>
    <font>
      <sz val="10"/>
      <color rgb="FFFF0000"/>
      <name val="Arial Narrow"/>
      <family val="2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 Narrow"/>
      <family val="2"/>
    </font>
    <font>
      <b/>
      <sz val="8"/>
      <name val="Arial Narrow"/>
      <family val="2"/>
    </font>
    <font>
      <sz val="11"/>
      <color indexed="8"/>
      <name val="Arial Narrow"/>
      <family val="2"/>
    </font>
    <font>
      <u/>
      <sz val="8"/>
      <name val="Arial Narrow"/>
      <family val="2"/>
    </font>
    <font>
      <b/>
      <u/>
      <sz val="8"/>
      <name val="Arial Narrow"/>
      <family val="2"/>
    </font>
    <font>
      <b/>
      <sz val="10"/>
      <color rgb="FFFF0000"/>
      <name val="Arial Narrow"/>
      <family val="2"/>
    </font>
    <font>
      <b/>
      <sz val="10"/>
      <color theme="5" tint="-0.249977111117893"/>
      <name val="Arial Narrow"/>
      <family val="2"/>
    </font>
    <font>
      <sz val="10"/>
      <name val="Helv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 Narrow"/>
      <family val="2"/>
    </font>
    <font>
      <b/>
      <sz val="15"/>
      <name val="Arial Narrow"/>
      <family val="2"/>
    </font>
    <font>
      <i/>
      <sz val="11"/>
      <color theme="1"/>
      <name val="Arial Narrow"/>
      <family val="2"/>
    </font>
    <font>
      <sz val="11"/>
      <color rgb="FFFF0000"/>
      <name val="Arial Narrow"/>
      <family val="2"/>
    </font>
    <font>
      <i/>
      <sz val="11"/>
      <name val="Arial Narrow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theme="1"/>
      </left>
      <right/>
      <top style="hair">
        <color indexed="8"/>
      </top>
      <bottom style="hair">
        <color theme="1"/>
      </bottom>
      <diagonal/>
    </border>
    <border>
      <left style="thin">
        <color theme="1"/>
      </left>
      <right style="medium">
        <color indexed="64"/>
      </right>
      <top style="hair">
        <color indexed="8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indexed="8"/>
      </bottom>
      <diagonal/>
    </border>
    <border>
      <left style="thin">
        <color theme="1"/>
      </left>
      <right style="medium">
        <color indexed="64"/>
      </right>
      <top style="hair">
        <color theme="1"/>
      </top>
      <bottom style="hair">
        <color indexed="8"/>
      </bottom>
      <diagonal/>
    </border>
    <border>
      <left style="thin">
        <color theme="1"/>
      </left>
      <right style="medium">
        <color theme="1"/>
      </right>
      <top style="hair">
        <color indexed="8"/>
      </top>
      <bottom style="hair">
        <color theme="1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 style="hair">
        <color indexed="8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medium">
        <color theme="1"/>
      </right>
      <top/>
      <bottom style="hair">
        <color theme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/>
      <diagonal/>
    </border>
    <border>
      <left style="thin">
        <color theme="1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hair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hair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/>
      <top style="thin">
        <color indexed="8"/>
      </top>
      <bottom style="thin">
        <color theme="1"/>
      </bottom>
      <diagonal/>
    </border>
    <border>
      <left/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/>
      <right style="medium">
        <color indexed="8"/>
      </right>
      <top style="thin">
        <color indexed="8"/>
      </top>
      <bottom style="thin">
        <color theme="1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8"/>
      </right>
      <top/>
      <bottom/>
      <diagonal/>
    </border>
    <border>
      <left/>
      <right/>
      <top style="hair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medium">
        <color indexed="8"/>
      </right>
      <top/>
      <bottom style="double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8"/>
      </left>
      <right/>
      <top style="hair">
        <color indexed="64"/>
      </top>
      <bottom style="medium">
        <color indexed="8"/>
      </bottom>
      <diagonal/>
    </border>
    <border>
      <left/>
      <right/>
      <top style="hair">
        <color indexed="64"/>
      </top>
      <bottom style="medium">
        <color indexed="8"/>
      </bottom>
      <diagonal/>
    </border>
    <border>
      <left/>
      <right style="thin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theme="1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theme="1"/>
      </left>
      <right style="thin">
        <color theme="1"/>
      </right>
      <top style="hair">
        <color indexed="8"/>
      </top>
      <bottom style="hair">
        <color indexed="8"/>
      </bottom>
      <diagonal/>
    </border>
    <border>
      <left style="thin">
        <color theme="1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thin">
        <color theme="1"/>
      </left>
      <right style="medium">
        <color theme="1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theme="1"/>
      </bottom>
      <diagonal/>
    </border>
    <border>
      <left/>
      <right/>
      <top style="thin">
        <color indexed="8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theme="1"/>
      </bottom>
      <diagonal/>
    </border>
    <border>
      <left style="thin">
        <color indexed="64"/>
      </left>
      <right/>
      <top style="hair">
        <color theme="1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/>
      <right style="thin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 style="medium">
        <color indexed="8"/>
      </right>
      <top style="hair">
        <color indexed="64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 style="medium">
        <color indexed="8"/>
      </right>
      <top style="hair">
        <color indexed="8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/>
      <bottom style="hair">
        <color indexed="8"/>
      </bottom>
      <diagonal/>
    </border>
    <border>
      <left style="thin">
        <color theme="1"/>
      </left>
      <right style="thin">
        <color theme="1"/>
      </right>
      <top/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medium">
        <color indexed="8"/>
      </right>
      <top style="thin">
        <color theme="1"/>
      </top>
      <bottom/>
      <diagonal/>
    </border>
    <border>
      <left style="thin">
        <color theme="1"/>
      </left>
      <right style="medium">
        <color indexed="8"/>
      </right>
      <top/>
      <bottom/>
      <diagonal/>
    </border>
    <border>
      <left style="thin">
        <color theme="1"/>
      </left>
      <right style="medium">
        <color indexed="8"/>
      </right>
      <top/>
      <bottom style="thin">
        <color theme="1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26" fillId="6" borderId="0" applyNumberFormat="0" applyBorder="0" applyAlignment="0" applyProtection="0"/>
    <xf numFmtId="0" fontId="25" fillId="0" borderId="0" applyNumberFormat="0" applyFill="0" applyBorder="0" applyAlignment="0" applyProtection="0"/>
    <xf numFmtId="0" fontId="24" fillId="5" borderId="185" applyNumberFormat="0" applyAlignment="0" applyProtection="0"/>
    <xf numFmtId="0" fontId="3" fillId="0" borderId="0"/>
    <xf numFmtId="0" fontId="34" fillId="0" borderId="0"/>
    <xf numFmtId="164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0"/>
  </cellStyleXfs>
  <cellXfs count="1686">
    <xf numFmtId="0" fontId="0" fillId="0" borderId="0" xfId="0"/>
    <xf numFmtId="0" fontId="2" fillId="0" borderId="0" xfId="0" applyFont="1" applyAlignment="1">
      <alignment vertical="center"/>
    </xf>
    <xf numFmtId="165" fontId="2" fillId="0" borderId="0" xfId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27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6" xfId="0" applyFont="1" applyBorder="1" applyAlignment="1">
      <alignment horizontal="left" vertical="center" indent="1"/>
    </xf>
    <xf numFmtId="0" fontId="2" fillId="0" borderId="3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Continuous" vertical="center"/>
    </xf>
    <xf numFmtId="39" fontId="2" fillId="0" borderId="0" xfId="0" applyNumberFormat="1" applyFont="1" applyAlignment="1">
      <alignment horizontal="centerContinuous" vertical="center"/>
    </xf>
    <xf numFmtId="0" fontId="11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49" xfId="0" applyFont="1" applyBorder="1" applyAlignment="1">
      <alignment horizontal="centerContinuous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Continuous" vertical="center"/>
    </xf>
    <xf numFmtId="0" fontId="2" fillId="0" borderId="55" xfId="0" applyFont="1" applyBorder="1" applyAlignment="1">
      <alignment horizontal="centerContinuous" vertical="center"/>
    </xf>
    <xf numFmtId="0" fontId="2" fillId="0" borderId="53" xfId="0" applyFont="1" applyBorder="1" applyAlignment="1">
      <alignment horizontal="centerContinuous" vertical="center"/>
    </xf>
    <xf numFmtId="0" fontId="2" fillId="0" borderId="57" xfId="0" applyFont="1" applyBorder="1" applyAlignment="1">
      <alignment horizontal="centerContinuous" vertical="center"/>
    </xf>
    <xf numFmtId="0" fontId="11" fillId="0" borderId="57" xfId="0" applyFont="1" applyBorder="1" applyAlignment="1">
      <alignment horizontal="centerContinuous" vertical="center"/>
    </xf>
    <xf numFmtId="39" fontId="11" fillId="2" borderId="55" xfId="0" applyNumberFormat="1" applyFont="1" applyFill="1" applyBorder="1" applyAlignment="1">
      <alignment horizontal="right" vertical="center"/>
    </xf>
    <xf numFmtId="0" fontId="2" fillId="0" borderId="53" xfId="0" applyFont="1" applyBorder="1" applyAlignment="1">
      <alignment horizontal="left" vertical="center" indent="1"/>
    </xf>
    <xf numFmtId="39" fontId="11" fillId="0" borderId="55" xfId="0" applyNumberFormat="1" applyFont="1" applyBorder="1" applyAlignment="1">
      <alignment horizontal="right" vertical="center"/>
    </xf>
    <xf numFmtId="39" fontId="2" fillId="0" borderId="57" xfId="0" applyNumberFormat="1" applyFont="1" applyBorder="1" applyAlignment="1">
      <alignment horizontal="centerContinuous" vertical="center"/>
    </xf>
    <xf numFmtId="39" fontId="11" fillId="3" borderId="55" xfId="0" applyNumberFormat="1" applyFont="1" applyFill="1" applyBorder="1" applyAlignment="1">
      <alignment horizontal="right" vertical="center"/>
    </xf>
    <xf numFmtId="0" fontId="2" fillId="0" borderId="53" xfId="0" applyFont="1" applyBorder="1"/>
    <xf numFmtId="0" fontId="2" fillId="0" borderId="54" xfId="0" applyFont="1" applyBorder="1" applyAlignment="1">
      <alignment horizontal="center"/>
    </xf>
    <xf numFmtId="39" fontId="0" fillId="2" borderId="55" xfId="0" applyNumberFormat="1" applyFill="1" applyBorder="1" applyAlignment="1">
      <alignment horizontal="right"/>
    </xf>
    <xf numFmtId="39" fontId="2" fillId="0" borderId="55" xfId="0" applyNumberFormat="1" applyFont="1" applyBorder="1" applyAlignment="1">
      <alignment horizontal="right"/>
    </xf>
    <xf numFmtId="39" fontId="2" fillId="2" borderId="59" xfId="0" applyNumberFormat="1" applyFont="1" applyFill="1" applyBorder="1" applyAlignment="1">
      <alignment vertical="center"/>
    </xf>
    <xf numFmtId="39" fontId="2" fillId="2" borderId="62" xfId="0" applyNumberFormat="1" applyFont="1" applyFill="1" applyBorder="1" applyAlignment="1">
      <alignment vertical="center"/>
    </xf>
    <xf numFmtId="39" fontId="2" fillId="2" borderId="64" xfId="0" applyNumberFormat="1" applyFont="1" applyFill="1" applyBorder="1" applyAlignment="1">
      <alignment vertical="center"/>
    </xf>
    <xf numFmtId="39" fontId="2" fillId="2" borderId="58" xfId="0" applyNumberFormat="1" applyFont="1" applyFill="1" applyBorder="1" applyAlignment="1">
      <alignment vertical="center"/>
    </xf>
    <xf numFmtId="39" fontId="2" fillId="2" borderId="65" xfId="0" applyNumberFormat="1" applyFont="1" applyFill="1" applyBorder="1" applyAlignment="1">
      <alignment vertical="center"/>
    </xf>
    <xf numFmtId="39" fontId="2" fillId="2" borderId="66" xfId="0" applyNumberFormat="1" applyFont="1" applyFill="1" applyBorder="1" applyAlignment="1">
      <alignment vertical="center"/>
    </xf>
    <xf numFmtId="39" fontId="2" fillId="2" borderId="67" xfId="0" applyNumberFormat="1" applyFont="1" applyFill="1" applyBorder="1" applyAlignment="1">
      <alignment vertical="center"/>
    </xf>
    <xf numFmtId="0" fontId="2" fillId="0" borderId="52" xfId="0" applyFont="1" applyBorder="1" applyAlignment="1">
      <alignment horizontal="left" vertical="center" indent="1"/>
    </xf>
    <xf numFmtId="0" fontId="2" fillId="0" borderId="53" xfId="0" applyFont="1" applyBorder="1" applyAlignment="1">
      <alignment horizontal="left" vertical="center"/>
    </xf>
    <xf numFmtId="39" fontId="2" fillId="2" borderId="68" xfId="0" applyNumberFormat="1" applyFont="1" applyFill="1" applyBorder="1" applyAlignment="1">
      <alignment vertical="center"/>
    </xf>
    <xf numFmtId="15" fontId="0" fillId="0" borderId="0" xfId="0" applyNumberFormat="1"/>
    <xf numFmtId="15" fontId="0" fillId="0" borderId="0" xfId="0" applyNumberFormat="1" applyAlignment="1">
      <alignment horizontal="center"/>
    </xf>
    <xf numFmtId="0" fontId="6" fillId="0" borderId="0" xfId="0" applyFont="1" applyAlignment="1">
      <alignment horizontal="centerContinuous" vertical="center"/>
    </xf>
    <xf numFmtId="9" fontId="0" fillId="0" borderId="0" xfId="0" applyNumberFormat="1"/>
    <xf numFmtId="0" fontId="0" fillId="0" borderId="0" xfId="0" applyAlignment="1">
      <alignment horizontal="center"/>
    </xf>
    <xf numFmtId="166" fontId="2" fillId="0" borderId="55" xfId="2" applyNumberFormat="1" applyFont="1" applyBorder="1" applyAlignment="1" applyProtection="1">
      <alignment horizontal="centerContinuous" vertical="center"/>
    </xf>
    <xf numFmtId="165" fontId="0" fillId="0" borderId="0" xfId="1" applyFont="1"/>
    <xf numFmtId="165" fontId="0" fillId="0" borderId="0" xfId="0" applyNumberFormat="1" applyAlignment="1">
      <alignment horizontal="center"/>
    </xf>
    <xf numFmtId="0" fontId="2" fillId="0" borderId="51" xfId="0" applyFont="1" applyBorder="1" applyAlignment="1">
      <alignment horizontal="center" vertical="center"/>
    </xf>
    <xf numFmtId="0" fontId="2" fillId="0" borderId="57" xfId="0" applyFont="1" applyBorder="1" applyAlignment="1">
      <alignment horizontal="left" vertical="center"/>
    </xf>
    <xf numFmtId="166" fontId="2" fillId="2" borderId="55" xfId="2" applyNumberFormat="1" applyFont="1" applyFill="1" applyBorder="1" applyAlignment="1" applyProtection="1">
      <alignment horizontal="right" vertical="center"/>
    </xf>
    <xf numFmtId="0" fontId="6" fillId="0" borderId="0" xfId="0" applyFont="1"/>
    <xf numFmtId="166" fontId="2" fillId="2" borderId="69" xfId="2" applyNumberFormat="1" applyFont="1" applyFill="1" applyBorder="1" applyAlignment="1" applyProtection="1">
      <alignment horizontal="right" vertical="center"/>
    </xf>
    <xf numFmtId="1" fontId="2" fillId="0" borderId="54" xfId="0" applyNumberFormat="1" applyFont="1" applyBorder="1" applyAlignment="1">
      <alignment horizontal="center" vertical="center"/>
    </xf>
    <xf numFmtId="166" fontId="2" fillId="0" borderId="69" xfId="2" applyNumberFormat="1" applyFont="1" applyBorder="1" applyAlignment="1" applyProtection="1">
      <alignment vertical="center"/>
    </xf>
    <xf numFmtId="1" fontId="2" fillId="0" borderId="53" xfId="0" applyNumberFormat="1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165" fontId="2" fillId="0" borderId="69" xfId="1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2" fillId="0" borderId="71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0" fillId="0" borderId="75" xfId="0" applyBorder="1"/>
    <xf numFmtId="0" fontId="0" fillId="0" borderId="0" xfId="0" applyAlignment="1">
      <alignment horizontal="left" indent="1"/>
    </xf>
    <xf numFmtId="167" fontId="2" fillId="0" borderId="0" xfId="0" applyNumberFormat="1" applyFont="1" applyAlignment="1">
      <alignment horizontal="centerContinuous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9" fontId="2" fillId="0" borderId="0" xfId="0" applyNumberFormat="1" applyFont="1" applyAlignment="1">
      <alignment horizontal="right" vertical="center"/>
    </xf>
    <xf numFmtId="0" fontId="2" fillId="0" borderId="39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Continuous" vertical="center"/>
    </xf>
    <xf numFmtId="39" fontId="2" fillId="0" borderId="28" xfId="0" applyNumberFormat="1" applyFont="1" applyBorder="1" applyAlignment="1">
      <alignment horizontal="center" vertical="center"/>
    </xf>
    <xf numFmtId="0" fontId="13" fillId="0" borderId="83" xfId="3" applyFont="1" applyBorder="1" applyAlignment="1">
      <alignment horizontal="center" vertical="center" wrapText="1"/>
    </xf>
    <xf numFmtId="0" fontId="13" fillId="0" borderId="83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Continuous" vertical="center"/>
    </xf>
    <xf numFmtId="39" fontId="2" fillId="0" borderId="47" xfId="0" applyNumberFormat="1" applyFont="1" applyBorder="1" applyAlignment="1">
      <alignment horizontal="center" vertical="center"/>
    </xf>
    <xf numFmtId="0" fontId="13" fillId="0" borderId="82" xfId="3" applyFont="1" applyBorder="1" applyAlignment="1">
      <alignment horizontal="center" vertical="center"/>
    </xf>
    <xf numFmtId="0" fontId="13" fillId="0" borderId="83" xfId="3" applyFont="1" applyBorder="1" applyAlignment="1">
      <alignment horizontal="center" vertical="center"/>
    </xf>
    <xf numFmtId="0" fontId="13" fillId="0" borderId="84" xfId="3" applyFont="1" applyBorder="1" applyAlignment="1">
      <alignment horizontal="center" vertical="center"/>
    </xf>
    <xf numFmtId="0" fontId="2" fillId="0" borderId="29" xfId="0" applyFont="1" applyBorder="1" applyAlignment="1">
      <alignment horizontal="centerContinuous" vertical="center"/>
    </xf>
    <xf numFmtId="0" fontId="2" fillId="0" borderId="27" xfId="0" applyFont="1" applyBorder="1" applyAlignment="1">
      <alignment horizontal="centerContinuous" vertical="center"/>
    </xf>
    <xf numFmtId="39" fontId="2" fillId="0" borderId="28" xfId="0" applyNumberFormat="1" applyFont="1" applyBorder="1" applyAlignment="1">
      <alignment horizontal="centerContinuous" vertical="center"/>
    </xf>
    <xf numFmtId="165" fontId="13" fillId="0" borderId="85" xfId="1" applyFont="1" applyFill="1" applyBorder="1" applyAlignment="1">
      <alignment horizontal="center" vertical="center"/>
    </xf>
    <xf numFmtId="165" fontId="13" fillId="0" borderId="86" xfId="1" applyFont="1" applyFill="1" applyBorder="1" applyAlignment="1">
      <alignment horizontal="center" vertical="center"/>
    </xf>
    <xf numFmtId="165" fontId="13" fillId="0" borderId="86" xfId="1" applyFont="1" applyBorder="1" applyAlignment="1">
      <alignment horizontal="center" vertical="center"/>
    </xf>
    <xf numFmtId="165" fontId="2" fillId="0" borderId="87" xfId="1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14" fillId="0" borderId="89" xfId="0" applyFont="1" applyBorder="1" applyAlignment="1">
      <alignment vertical="center"/>
    </xf>
    <xf numFmtId="0" fontId="2" fillId="0" borderId="89" xfId="0" applyFont="1" applyBorder="1" applyAlignment="1">
      <alignment vertical="center"/>
    </xf>
    <xf numFmtId="39" fontId="2" fillId="0" borderId="89" xfId="0" applyNumberFormat="1" applyFont="1" applyBorder="1" applyAlignment="1">
      <alignment vertical="center"/>
    </xf>
    <xf numFmtId="39" fontId="2" fillId="0" borderId="90" xfId="0" applyNumberFormat="1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39" fontId="2" fillId="0" borderId="27" xfId="0" applyNumberFormat="1" applyFont="1" applyBorder="1" applyAlignment="1">
      <alignment vertical="center"/>
    </xf>
    <xf numFmtId="39" fontId="2" fillId="0" borderId="0" xfId="0" applyNumberFormat="1" applyFont="1" applyAlignment="1">
      <alignment vertical="center"/>
    </xf>
    <xf numFmtId="39" fontId="2" fillId="0" borderId="28" xfId="0" applyNumberFormat="1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9" fontId="2" fillId="0" borderId="27" xfId="0" quotePrefix="1" applyNumberFormat="1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horizontal="center" vertical="center"/>
    </xf>
    <xf numFmtId="39" fontId="2" fillId="0" borderId="93" xfId="0" applyNumberFormat="1" applyFont="1" applyBorder="1" applyAlignment="1">
      <alignment vertical="center"/>
    </xf>
    <xf numFmtId="39" fontId="2" fillId="0" borderId="94" xfId="0" applyNumberFormat="1" applyFont="1" applyBorder="1" applyAlignment="1">
      <alignment vertical="center"/>
    </xf>
    <xf numFmtId="39" fontId="2" fillId="0" borderId="95" xfId="0" applyNumberFormat="1" applyFont="1" applyBorder="1" applyAlignment="1">
      <alignment vertical="center"/>
    </xf>
    <xf numFmtId="39" fontId="2" fillId="0" borderId="30" xfId="0" applyNumberFormat="1" applyFont="1" applyBorder="1" applyAlignment="1">
      <alignment horizontal="left" vertical="center" indent="1"/>
    </xf>
    <xf numFmtId="39" fontId="2" fillId="0" borderId="0" xfId="0" applyNumberFormat="1" applyFont="1" applyAlignment="1">
      <alignment horizontal="left" vertical="center"/>
    </xf>
    <xf numFmtId="39" fontId="2" fillId="0" borderId="46" xfId="0" applyNumberFormat="1" applyFont="1" applyBorder="1" applyAlignment="1">
      <alignment horizontal="left" vertical="center" indent="1"/>
    </xf>
    <xf numFmtId="39" fontId="2" fillId="0" borderId="44" xfId="0" applyNumberFormat="1" applyFont="1" applyBorder="1" applyAlignment="1">
      <alignment horizontal="left" vertical="center"/>
    </xf>
    <xf numFmtId="0" fontId="2" fillId="0" borderId="44" xfId="0" applyFont="1" applyBorder="1"/>
    <xf numFmtId="39" fontId="2" fillId="0" borderId="46" xfId="0" applyNumberFormat="1" applyFont="1" applyBorder="1" applyAlignment="1">
      <alignment vertical="center"/>
    </xf>
    <xf numFmtId="39" fontId="2" fillId="0" borderId="47" xfId="0" applyNumberFormat="1" applyFont="1" applyBorder="1" applyAlignment="1">
      <alignment vertical="center"/>
    </xf>
    <xf numFmtId="39" fontId="2" fillId="0" borderId="96" xfId="0" applyNumberFormat="1" applyFont="1" applyBorder="1" applyAlignment="1">
      <alignment vertical="center"/>
    </xf>
    <xf numFmtId="39" fontId="2" fillId="0" borderId="0" xfId="0" quotePrefix="1" applyNumberFormat="1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39" fontId="2" fillId="0" borderId="37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Continuous" vertical="center"/>
    </xf>
    <xf numFmtId="39" fontId="2" fillId="0" borderId="32" xfId="0" applyNumberFormat="1" applyFont="1" applyBorder="1" applyAlignment="1">
      <alignment horizontal="right" vertical="center"/>
    </xf>
    <xf numFmtId="4" fontId="2" fillId="0" borderId="89" xfId="0" applyNumberFormat="1" applyFont="1" applyBorder="1" applyAlignment="1">
      <alignment vertical="center"/>
    </xf>
    <xf numFmtId="0" fontId="2" fillId="0" borderId="89" xfId="0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39" fontId="2" fillId="0" borderId="29" xfId="0" applyNumberFormat="1" applyFont="1" applyBorder="1" applyAlignment="1">
      <alignment horizontal="center" vertical="center"/>
    </xf>
    <xf numFmtId="37" fontId="2" fillId="0" borderId="88" xfId="0" applyNumberFormat="1" applyFont="1" applyBorder="1" applyAlignment="1">
      <alignment horizontal="center" vertical="center"/>
    </xf>
    <xf numFmtId="37" fontId="2" fillId="0" borderId="29" xfId="0" applyNumberFormat="1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14" fillId="0" borderId="100" xfId="0" applyFont="1" applyBorder="1" applyAlignment="1">
      <alignment vertical="center"/>
    </xf>
    <xf numFmtId="165" fontId="13" fillId="0" borderId="101" xfId="1" applyFont="1" applyFill="1" applyBorder="1" applyAlignment="1">
      <alignment horizontal="center" vertical="center"/>
    </xf>
    <xf numFmtId="165" fontId="13" fillId="0" borderId="61" xfId="1" applyFont="1" applyFill="1" applyBorder="1" applyAlignment="1">
      <alignment horizontal="center" vertical="center"/>
    </xf>
    <xf numFmtId="165" fontId="13" fillId="4" borderId="61" xfId="1" applyFont="1" applyFill="1" applyBorder="1" applyAlignment="1">
      <alignment horizontal="center" vertical="center"/>
    </xf>
    <xf numFmtId="165" fontId="13" fillId="4" borderId="66" xfId="1" applyFont="1" applyFill="1" applyBorder="1" applyAlignment="1">
      <alignment horizontal="center" vertical="center"/>
    </xf>
    <xf numFmtId="165" fontId="13" fillId="4" borderId="101" xfId="1" applyFont="1" applyFill="1" applyBorder="1" applyAlignment="1">
      <alignment horizontal="center" vertical="center"/>
    </xf>
    <xf numFmtId="165" fontId="2" fillId="0" borderId="61" xfId="1" applyFont="1" applyBorder="1" applyAlignment="1">
      <alignment horizontal="center" vertical="center"/>
    </xf>
    <xf numFmtId="165" fontId="2" fillId="0" borderId="66" xfId="1" applyFont="1" applyBorder="1" applyAlignment="1">
      <alignment horizontal="center" vertical="center"/>
    </xf>
    <xf numFmtId="165" fontId="13" fillId="0" borderId="101" xfId="1" applyFont="1" applyFill="1" applyBorder="1" applyAlignment="1">
      <alignment horizontal="left" vertical="center"/>
    </xf>
    <xf numFmtId="165" fontId="11" fillId="0" borderId="61" xfId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39" fontId="2" fillId="0" borderId="30" xfId="0" applyNumberFormat="1" applyFont="1" applyBorder="1" applyAlignment="1">
      <alignment vertical="center"/>
    </xf>
    <xf numFmtId="165" fontId="13" fillId="0" borderId="102" xfId="1" applyFont="1" applyFill="1" applyBorder="1" applyAlignment="1">
      <alignment horizontal="center" vertical="center"/>
    </xf>
    <xf numFmtId="165" fontId="11" fillId="0" borderId="103" xfId="1" applyFont="1" applyFill="1" applyBorder="1" applyAlignment="1">
      <alignment horizontal="center" vertical="center"/>
    </xf>
    <xf numFmtId="165" fontId="13" fillId="0" borderId="103" xfId="1" applyFont="1" applyFill="1" applyBorder="1" applyAlignment="1">
      <alignment horizontal="center" vertical="center"/>
    </xf>
    <xf numFmtId="165" fontId="2" fillId="0" borderId="103" xfId="1" applyFont="1" applyBorder="1" applyAlignment="1">
      <alignment horizontal="center" vertical="center"/>
    </xf>
    <xf numFmtId="165" fontId="2" fillId="0" borderId="104" xfId="1" applyFont="1" applyBorder="1" applyAlignment="1">
      <alignment horizontal="center" vertical="center"/>
    </xf>
    <xf numFmtId="39" fontId="2" fillId="0" borderId="27" xfId="0" applyNumberFormat="1" applyFont="1" applyBorder="1" applyAlignment="1">
      <alignment horizontal="center" vertical="center"/>
    </xf>
    <xf numFmtId="165" fontId="13" fillId="0" borderId="61" xfId="1" applyFont="1" applyBorder="1" applyAlignment="1">
      <alignment horizontal="center" vertical="center"/>
    </xf>
    <xf numFmtId="0" fontId="2" fillId="0" borderId="96" xfId="0" applyFont="1" applyBorder="1" applyAlignment="1">
      <alignment horizontal="right" vertical="center"/>
    </xf>
    <xf numFmtId="165" fontId="14" fillId="0" borderId="105" xfId="1" applyFont="1" applyBorder="1" applyAlignment="1">
      <alignment horizontal="center" vertical="center"/>
    </xf>
    <xf numFmtId="165" fontId="14" fillId="0" borderId="106" xfId="1" applyFont="1" applyBorder="1" applyAlignment="1">
      <alignment horizontal="center" vertical="center"/>
    </xf>
    <xf numFmtId="165" fontId="14" fillId="0" borderId="107" xfId="1" applyFont="1" applyBorder="1" applyAlignment="1">
      <alignment horizontal="center" vertical="center"/>
    </xf>
    <xf numFmtId="39" fontId="2" fillId="0" borderId="30" xfId="0" applyNumberFormat="1" applyFont="1" applyBorder="1" applyAlignment="1">
      <alignment horizontal="right" vertical="center"/>
    </xf>
    <xf numFmtId="165" fontId="2" fillId="0" borderId="0" xfId="1" applyFont="1"/>
    <xf numFmtId="165" fontId="13" fillId="0" borderId="105" xfId="1" applyFont="1" applyFill="1" applyBorder="1" applyAlignment="1">
      <alignment horizontal="left" vertical="center"/>
    </xf>
    <xf numFmtId="165" fontId="11" fillId="0" borderId="106" xfId="1" applyFont="1" applyFill="1" applyBorder="1" applyAlignment="1">
      <alignment horizontal="center" vertical="center"/>
    </xf>
    <xf numFmtId="165" fontId="13" fillId="0" borderId="106" xfId="1" applyFont="1" applyFill="1" applyBorder="1" applyAlignment="1">
      <alignment horizontal="center" vertical="center"/>
    </xf>
    <xf numFmtId="165" fontId="2" fillId="0" borderId="106" xfId="1" applyFont="1" applyBorder="1" applyAlignment="1">
      <alignment horizontal="center" vertical="center"/>
    </xf>
    <xf numFmtId="165" fontId="2" fillId="0" borderId="107" xfId="1" applyFont="1" applyBorder="1" applyAlignment="1">
      <alignment horizontal="center" vertical="center"/>
    </xf>
    <xf numFmtId="167" fontId="2" fillId="0" borderId="27" xfId="0" applyNumberFormat="1" applyFont="1" applyBorder="1" applyAlignment="1">
      <alignment vertical="center"/>
    </xf>
    <xf numFmtId="165" fontId="11" fillId="0" borderId="86" xfId="1" applyFont="1" applyFill="1" applyBorder="1" applyAlignment="1">
      <alignment horizontal="center" vertical="center"/>
    </xf>
    <xf numFmtId="165" fontId="2" fillId="0" borderId="86" xfId="1" applyFont="1" applyBorder="1" applyAlignment="1">
      <alignment horizontal="center" vertical="center"/>
    </xf>
    <xf numFmtId="165" fontId="13" fillId="0" borderId="108" xfId="1" applyFont="1" applyFill="1" applyBorder="1" applyAlignment="1">
      <alignment horizontal="center" vertical="center"/>
    </xf>
    <xf numFmtId="165" fontId="11" fillId="0" borderId="109" xfId="1" applyFont="1" applyFill="1" applyBorder="1" applyAlignment="1">
      <alignment horizontal="center" vertical="center"/>
    </xf>
    <xf numFmtId="165" fontId="13" fillId="0" borderId="109" xfId="1" applyFont="1" applyFill="1" applyBorder="1" applyAlignment="1">
      <alignment horizontal="center" vertical="center"/>
    </xf>
    <xf numFmtId="165" fontId="2" fillId="0" borderId="109" xfId="1" applyFont="1" applyBorder="1" applyAlignment="1">
      <alignment horizontal="center" vertical="center"/>
    </xf>
    <xf numFmtId="165" fontId="13" fillId="0" borderId="109" xfId="1" applyFont="1" applyBorder="1" applyAlignment="1">
      <alignment horizontal="center" vertical="center"/>
    </xf>
    <xf numFmtId="165" fontId="2" fillId="0" borderId="110" xfId="1" applyFont="1" applyBorder="1" applyAlignment="1">
      <alignment horizontal="center" vertical="center"/>
    </xf>
    <xf numFmtId="39" fontId="2" fillId="0" borderId="94" xfId="0" applyNumberFormat="1" applyFont="1" applyBorder="1" applyAlignment="1">
      <alignment horizontal="center" vertical="center"/>
    </xf>
    <xf numFmtId="39" fontId="2" fillId="0" borderId="0" xfId="0" applyNumberFormat="1" applyFont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39" fontId="2" fillId="0" borderId="44" xfId="0" applyNumberFormat="1" applyFont="1" applyBorder="1" applyAlignment="1">
      <alignment vertical="center"/>
    </xf>
    <xf numFmtId="39" fontId="2" fillId="0" borderId="45" xfId="0" applyNumberFormat="1" applyFont="1" applyBorder="1" applyAlignment="1">
      <alignment horizontal="right" vertical="center"/>
    </xf>
    <xf numFmtId="39" fontId="2" fillId="0" borderId="46" xfId="0" applyNumberFormat="1" applyFont="1" applyBorder="1" applyAlignment="1">
      <alignment horizontal="center" vertical="center"/>
    </xf>
    <xf numFmtId="0" fontId="2" fillId="0" borderId="111" xfId="0" applyFont="1" applyBorder="1" applyAlignment="1">
      <alignment horizontal="centerContinuous" vertical="center"/>
    </xf>
    <xf numFmtId="0" fontId="2" fillId="0" borderId="112" xfId="0" applyFont="1" applyBorder="1" applyAlignment="1">
      <alignment horizontal="centerContinuous" vertical="center"/>
    </xf>
    <xf numFmtId="0" fontId="2" fillId="0" borderId="113" xfId="0" applyFont="1" applyBorder="1" applyAlignment="1">
      <alignment horizontal="centerContinuous" vertical="center"/>
    </xf>
    <xf numFmtId="0" fontId="2" fillId="0" borderId="98" xfId="0" applyFont="1" applyBorder="1" applyAlignment="1">
      <alignment horizontal="centerContinuous" vertical="center"/>
    </xf>
    <xf numFmtId="39" fontId="2" fillId="0" borderId="114" xfId="0" applyNumberFormat="1" applyFont="1" applyBorder="1" applyAlignment="1">
      <alignment horizontal="centerContinuous" vertical="center"/>
    </xf>
    <xf numFmtId="168" fontId="2" fillId="0" borderId="88" xfId="0" applyNumberFormat="1" applyFont="1" applyBorder="1" applyAlignment="1">
      <alignment horizontal="center" vertical="center"/>
    </xf>
    <xf numFmtId="168" fontId="2" fillId="0" borderId="29" xfId="0" applyNumberFormat="1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168" fontId="2" fillId="0" borderId="42" xfId="0" applyNumberFormat="1" applyFont="1" applyBorder="1" applyAlignment="1">
      <alignment vertical="center"/>
    </xf>
    <xf numFmtId="39" fontId="2" fillId="0" borderId="115" xfId="0" applyNumberFormat="1" applyFont="1" applyBorder="1" applyAlignment="1">
      <alignment vertical="center"/>
    </xf>
    <xf numFmtId="39" fontId="2" fillId="0" borderId="93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right" vertical="center"/>
    </xf>
    <xf numFmtId="39" fontId="2" fillId="0" borderId="44" xfId="0" applyNumberFormat="1" applyFont="1" applyBorder="1" applyAlignment="1">
      <alignment horizontal="center" vertical="center"/>
    </xf>
    <xf numFmtId="167" fontId="2" fillId="0" borderId="46" xfId="0" applyNumberFormat="1" applyFont="1" applyBorder="1" applyAlignment="1">
      <alignment vertical="center"/>
    </xf>
    <xf numFmtId="0" fontId="2" fillId="0" borderId="116" xfId="0" applyFont="1" applyBorder="1" applyAlignment="1">
      <alignment horizontal="centerContinuous" vertical="center"/>
    </xf>
    <xf numFmtId="0" fontId="2" fillId="0" borderId="28" xfId="0" applyFont="1" applyBorder="1" applyAlignment="1">
      <alignment vertical="center"/>
    </xf>
    <xf numFmtId="39" fontId="2" fillId="0" borderId="117" xfId="0" applyNumberFormat="1" applyFont="1" applyBorder="1" applyAlignment="1">
      <alignment vertical="center"/>
    </xf>
    <xf numFmtId="0" fontId="2" fillId="0" borderId="90" xfId="0" applyFont="1" applyBorder="1" applyAlignment="1">
      <alignment vertical="center"/>
    </xf>
    <xf numFmtId="168" fontId="2" fillId="0" borderId="2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/>
    <xf numFmtId="167" fontId="2" fillId="0" borderId="0" xfId="0" applyNumberFormat="1" applyFont="1" applyAlignment="1">
      <alignment horizontal="center"/>
    </xf>
    <xf numFmtId="167" fontId="2" fillId="0" borderId="27" xfId="0" applyNumberFormat="1" applyFont="1" applyBorder="1"/>
    <xf numFmtId="39" fontId="2" fillId="0" borderId="30" xfId="0" applyNumberFormat="1" applyFont="1" applyBorder="1" applyAlignment="1">
      <alignment horizontal="center"/>
    </xf>
    <xf numFmtId="39" fontId="2" fillId="0" borderId="28" xfId="0" applyNumberFormat="1" applyFont="1" applyBorder="1"/>
    <xf numFmtId="39" fontId="2" fillId="0" borderId="30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39" fontId="2" fillId="0" borderId="27" xfId="0" applyNumberFormat="1" applyFont="1" applyBorder="1"/>
    <xf numFmtId="39" fontId="2" fillId="0" borderId="30" xfId="0" applyNumberFormat="1" applyFont="1" applyBorder="1"/>
    <xf numFmtId="0" fontId="2" fillId="0" borderId="93" xfId="0" applyFont="1" applyBorder="1" applyAlignment="1">
      <alignment vertical="center"/>
    </xf>
    <xf numFmtId="0" fontId="2" fillId="0" borderId="96" xfId="0" applyFont="1" applyBorder="1" applyAlignment="1">
      <alignment vertical="center"/>
    </xf>
    <xf numFmtId="37" fontId="2" fillId="0" borderId="29" xfId="0" applyNumberFormat="1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118" xfId="0" applyFont="1" applyBorder="1" applyAlignment="1">
      <alignment horizontal="centerContinuous" vertical="center"/>
    </xf>
    <xf numFmtId="0" fontId="2" fillId="0" borderId="119" xfId="0" applyFont="1" applyBorder="1" applyAlignment="1">
      <alignment horizontal="centerContinuous" vertical="center"/>
    </xf>
    <xf numFmtId="0" fontId="2" fillId="0" borderId="120" xfId="0" applyFont="1" applyBorder="1" applyAlignment="1">
      <alignment horizontal="centerContinuous" vertical="center"/>
    </xf>
    <xf numFmtId="0" fontId="2" fillId="0" borderId="121" xfId="0" applyFont="1" applyBorder="1" applyAlignment="1">
      <alignment horizontal="centerContinuous" vertical="center"/>
    </xf>
    <xf numFmtId="39" fontId="2" fillId="0" borderId="122" xfId="0" applyNumberFormat="1" applyFont="1" applyBorder="1" applyAlignment="1">
      <alignment horizontal="centerContinuous" vertical="center"/>
    </xf>
    <xf numFmtId="0" fontId="2" fillId="0" borderId="44" xfId="0" applyFont="1" applyBorder="1" applyAlignment="1">
      <alignment horizontal="right" vertical="center"/>
    </xf>
    <xf numFmtId="165" fontId="2" fillId="0" borderId="0" xfId="1" applyFont="1" applyAlignment="1" applyProtection="1">
      <alignment vertical="center"/>
    </xf>
    <xf numFmtId="165" fontId="2" fillId="0" borderId="0" xfId="1" applyFont="1" applyAlignment="1" applyProtection="1">
      <alignment horizontal="left" vertical="center" indent="1"/>
    </xf>
    <xf numFmtId="165" fontId="6" fillId="0" borderId="0" xfId="1" applyFont="1" applyAlignment="1" applyProtection="1">
      <alignment vertical="center"/>
    </xf>
    <xf numFmtId="165" fontId="6" fillId="0" borderId="0" xfId="1" applyFont="1" applyAlignment="1" applyProtection="1">
      <alignment horizontal="left" vertical="center" indent="1"/>
    </xf>
    <xf numFmtId="165" fontId="6" fillId="0" borderId="46" xfId="1" applyFont="1" applyBorder="1" applyAlignment="1" applyProtection="1">
      <alignment horizontal="left" vertical="center" indent="1"/>
    </xf>
    <xf numFmtId="165" fontId="6" fillId="0" borderId="0" xfId="1" applyFont="1" applyBorder="1" applyAlignment="1" applyProtection="1">
      <alignment vertical="center"/>
    </xf>
    <xf numFmtId="165" fontId="2" fillId="0" borderId="0" xfId="1" applyFont="1" applyBorder="1" applyAlignment="1" applyProtection="1">
      <alignment vertical="center"/>
    </xf>
    <xf numFmtId="165" fontId="11" fillId="0" borderId="0" xfId="1" applyFont="1" applyBorder="1" applyAlignment="1" applyProtection="1">
      <alignment vertical="center"/>
    </xf>
    <xf numFmtId="0" fontId="2" fillId="0" borderId="0" xfId="0" quotePrefix="1" applyFont="1" applyAlignment="1">
      <alignment horizontal="center"/>
    </xf>
    <xf numFmtId="165" fontId="2" fillId="0" borderId="13" xfId="1" applyFont="1" applyBorder="1" applyAlignment="1" applyProtection="1">
      <alignment vertical="center"/>
    </xf>
    <xf numFmtId="165" fontId="2" fillId="0" borderId="133" xfId="1" applyFont="1" applyBorder="1" applyAlignment="1" applyProtection="1">
      <alignment horizontal="left" vertical="center" indent="1"/>
    </xf>
    <xf numFmtId="165" fontId="2" fillId="0" borderId="24" xfId="1" applyFont="1" applyBorder="1" applyAlignment="1" applyProtection="1">
      <alignment vertical="center"/>
    </xf>
    <xf numFmtId="165" fontId="2" fillId="0" borderId="135" xfId="1" applyFont="1" applyBorder="1" applyAlignment="1" applyProtection="1">
      <alignment horizontal="left" vertical="center" indent="1"/>
    </xf>
    <xf numFmtId="165" fontId="2" fillId="0" borderId="0" xfId="1" applyFont="1" applyAlignment="1">
      <alignment horizontal="left" indent="1"/>
    </xf>
    <xf numFmtId="0" fontId="0" fillId="0" borderId="89" xfId="0" applyBorder="1" applyAlignment="1">
      <alignment vertical="center"/>
    </xf>
    <xf numFmtId="0" fontId="0" fillId="0" borderId="0" xfId="0" applyAlignment="1">
      <alignment horizontal="center" vertical="center"/>
    </xf>
    <xf numFmtId="169" fontId="2" fillId="0" borderId="27" xfId="0" applyNumberFormat="1" applyFont="1" applyBorder="1" applyAlignment="1">
      <alignment vertical="center"/>
    </xf>
    <xf numFmtId="0" fontId="2" fillId="3" borderId="89" xfId="0" applyFont="1" applyFill="1" applyBorder="1" applyAlignment="1">
      <alignment vertical="center"/>
    </xf>
    <xf numFmtId="39" fontId="2" fillId="3" borderId="90" xfId="0" applyNumberFormat="1" applyFont="1" applyFill="1" applyBorder="1" applyAlignment="1">
      <alignment vertical="center"/>
    </xf>
    <xf numFmtId="0" fontId="2" fillId="3" borderId="0" xfId="0" applyFont="1" applyFill="1"/>
    <xf numFmtId="165" fontId="14" fillId="3" borderId="105" xfId="1" applyFont="1" applyFill="1" applyBorder="1" applyAlignment="1">
      <alignment horizontal="center" vertical="center"/>
    </xf>
    <xf numFmtId="165" fontId="14" fillId="3" borderId="106" xfId="1" applyFont="1" applyFill="1" applyBorder="1" applyAlignment="1">
      <alignment horizontal="center" vertical="center"/>
    </xf>
    <xf numFmtId="165" fontId="14" fillId="3" borderId="107" xfId="1" applyFont="1" applyFill="1" applyBorder="1" applyAlignment="1">
      <alignment horizontal="center" vertical="center"/>
    </xf>
    <xf numFmtId="165" fontId="13" fillId="3" borderId="101" xfId="1" applyFont="1" applyFill="1" applyBorder="1" applyAlignment="1">
      <alignment horizontal="center" vertical="center"/>
    </xf>
    <xf numFmtId="165" fontId="11" fillId="3" borderId="61" xfId="1" applyFont="1" applyFill="1" applyBorder="1" applyAlignment="1">
      <alignment horizontal="center" vertical="center"/>
    </xf>
    <xf numFmtId="165" fontId="13" fillId="3" borderId="61" xfId="1" applyFont="1" applyFill="1" applyBorder="1" applyAlignment="1">
      <alignment horizontal="center" vertical="center"/>
    </xf>
    <xf numFmtId="165" fontId="2" fillId="3" borderId="61" xfId="1" applyFont="1" applyFill="1" applyBorder="1" applyAlignment="1">
      <alignment horizontal="center" vertical="center"/>
    </xf>
    <xf numFmtId="165" fontId="2" fillId="3" borderId="66" xfId="1" applyFont="1" applyFill="1" applyBorder="1" applyAlignment="1">
      <alignment horizontal="center" vertical="center"/>
    </xf>
    <xf numFmtId="168" fontId="2" fillId="3" borderId="88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2" fillId="3" borderId="90" xfId="0" applyFont="1" applyFill="1" applyBorder="1" applyAlignment="1">
      <alignment vertical="center"/>
    </xf>
    <xf numFmtId="0" fontId="0" fillId="3" borderId="89" xfId="0" applyFill="1" applyBorder="1" applyAlignment="1">
      <alignment vertical="center"/>
    </xf>
    <xf numFmtId="165" fontId="14" fillId="0" borderId="105" xfId="1" applyFont="1" applyFill="1" applyBorder="1" applyAlignment="1">
      <alignment horizontal="center" vertical="center"/>
    </xf>
    <xf numFmtId="165" fontId="14" fillId="0" borderId="106" xfId="1" applyFont="1" applyFill="1" applyBorder="1" applyAlignment="1">
      <alignment horizontal="center" vertical="center"/>
    </xf>
    <xf numFmtId="165" fontId="14" fillId="0" borderId="107" xfId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13" fillId="0" borderId="137" xfId="1" applyFont="1" applyFill="1" applyBorder="1" applyAlignment="1">
      <alignment horizontal="center" vertical="center"/>
    </xf>
    <xf numFmtId="165" fontId="11" fillId="0" borderId="138" xfId="1" applyFont="1" applyFill="1" applyBorder="1" applyAlignment="1">
      <alignment horizontal="center" vertical="center"/>
    </xf>
    <xf numFmtId="165" fontId="13" fillId="0" borderId="138" xfId="1" applyFont="1" applyFill="1" applyBorder="1" applyAlignment="1">
      <alignment horizontal="center" vertical="center"/>
    </xf>
    <xf numFmtId="165" fontId="2" fillId="0" borderId="138" xfId="1" applyFont="1" applyBorder="1" applyAlignment="1">
      <alignment horizontal="center" vertical="center"/>
    </xf>
    <xf numFmtId="165" fontId="13" fillId="0" borderId="138" xfId="1" applyFont="1" applyBorder="1" applyAlignment="1">
      <alignment horizontal="center" vertical="center"/>
    </xf>
    <xf numFmtId="165" fontId="2" fillId="0" borderId="139" xfId="1" applyFont="1" applyBorder="1" applyAlignment="1">
      <alignment horizontal="center" vertical="center"/>
    </xf>
    <xf numFmtId="168" fontId="2" fillId="0" borderId="140" xfId="0" applyNumberFormat="1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1" xfId="0" applyFont="1" applyBorder="1" applyAlignment="1">
      <alignment vertical="center"/>
    </xf>
    <xf numFmtId="39" fontId="2" fillId="0" borderId="13" xfId="0" applyNumberFormat="1" applyFont="1" applyBorder="1" applyAlignment="1">
      <alignment vertical="center"/>
    </xf>
    <xf numFmtId="39" fontId="2" fillId="0" borderId="141" xfId="0" applyNumberFormat="1" applyFont="1" applyBorder="1" applyAlignment="1">
      <alignment horizontal="right" vertical="center"/>
    </xf>
    <xf numFmtId="39" fontId="2" fillId="0" borderId="133" xfId="0" applyNumberFormat="1" applyFont="1" applyBorder="1" applyAlignment="1">
      <alignment horizontal="center" vertical="center"/>
    </xf>
    <xf numFmtId="39" fontId="2" fillId="0" borderId="142" xfId="0" applyNumberFormat="1" applyFont="1" applyBorder="1" applyAlignment="1">
      <alignment vertical="center"/>
    </xf>
    <xf numFmtId="0" fontId="0" fillId="0" borderId="89" xfId="0" quotePrefix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37" fontId="2" fillId="3" borderId="88" xfId="0" applyNumberFormat="1" applyFont="1" applyFill="1" applyBorder="1" applyAlignment="1">
      <alignment horizontal="center" vertical="center"/>
    </xf>
    <xf numFmtId="167" fontId="0" fillId="0" borderId="27" xfId="0" applyNumberFormat="1" applyBorder="1" applyAlignment="1">
      <alignment vertical="center"/>
    </xf>
    <xf numFmtId="165" fontId="4" fillId="0" borderId="0" xfId="1" applyFont="1" applyFill="1" applyAlignment="1">
      <alignment vertical="center"/>
    </xf>
    <xf numFmtId="39" fontId="2" fillId="3" borderId="27" xfId="0" applyNumberFormat="1" applyFont="1" applyFill="1" applyBorder="1" applyAlignment="1">
      <alignment vertical="center"/>
    </xf>
    <xf numFmtId="39" fontId="2" fillId="3" borderId="46" xfId="0" applyNumberFormat="1" applyFont="1" applyFill="1" applyBorder="1" applyAlignment="1">
      <alignment vertical="center"/>
    </xf>
    <xf numFmtId="165" fontId="2" fillId="0" borderId="106" xfId="1" applyFont="1" applyFill="1" applyBorder="1" applyAlignment="1">
      <alignment horizontal="center" vertical="center"/>
    </xf>
    <xf numFmtId="165" fontId="2" fillId="0" borderId="107" xfId="1" applyFont="1" applyFill="1" applyBorder="1" applyAlignment="1">
      <alignment horizontal="center" vertical="center"/>
    </xf>
    <xf numFmtId="165" fontId="2" fillId="0" borderId="61" xfId="1" applyFont="1" applyFill="1" applyBorder="1" applyAlignment="1">
      <alignment horizontal="center" vertical="center"/>
    </xf>
    <xf numFmtId="165" fontId="2" fillId="0" borderId="66" xfId="1" applyFont="1" applyFill="1" applyBorder="1" applyAlignment="1">
      <alignment horizontal="center" vertical="center"/>
    </xf>
    <xf numFmtId="39" fontId="0" fillId="0" borderId="30" xfId="0" applyNumberFormat="1" applyBorder="1" applyAlignment="1">
      <alignment horizontal="center" vertical="center"/>
    </xf>
    <xf numFmtId="168" fontId="2" fillId="0" borderId="42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39" fontId="2" fillId="0" borderId="26" xfId="0" applyNumberFormat="1" applyFont="1" applyBorder="1" applyAlignment="1">
      <alignment vertical="center"/>
    </xf>
    <xf numFmtId="0" fontId="2" fillId="0" borderId="89" xfId="0" quotePrefix="1" applyFont="1" applyBorder="1" applyAlignment="1">
      <alignment vertical="center"/>
    </xf>
    <xf numFmtId="165" fontId="2" fillId="0" borderId="109" xfId="1" applyFont="1" applyFill="1" applyBorder="1" applyAlignment="1">
      <alignment horizontal="center" vertical="center"/>
    </xf>
    <xf numFmtId="165" fontId="2" fillId="0" borderId="110" xfId="1" applyFont="1" applyFill="1" applyBorder="1" applyAlignment="1">
      <alignment horizontal="center" vertical="center"/>
    </xf>
    <xf numFmtId="39" fontId="0" fillId="0" borderId="30" xfId="0" applyNumberFormat="1" applyBorder="1" applyAlignment="1">
      <alignment horizontal="left" vertical="center" indent="1"/>
    </xf>
    <xf numFmtId="39" fontId="0" fillId="0" borderId="30" xfId="0" applyNumberFormat="1" applyBorder="1" applyAlignment="1">
      <alignment horizontal="right" vertical="center"/>
    </xf>
    <xf numFmtId="39" fontId="0" fillId="0" borderId="0" xfId="0" applyNumberFormat="1" applyAlignment="1">
      <alignment vertical="center"/>
    </xf>
    <xf numFmtId="170" fontId="0" fillId="0" borderId="0" xfId="0" applyNumberFormat="1"/>
    <xf numFmtId="43" fontId="0" fillId="0" borderId="0" xfId="0" applyNumberFormat="1"/>
    <xf numFmtId="166" fontId="2" fillId="0" borderId="55" xfId="2" applyNumberFormat="1" applyFont="1" applyBorder="1" applyAlignment="1" applyProtection="1">
      <alignment vertical="center"/>
    </xf>
    <xf numFmtId="166" fontId="2" fillId="2" borderId="55" xfId="2" applyNumberFormat="1" applyFont="1" applyFill="1" applyBorder="1" applyAlignment="1" applyProtection="1">
      <alignment vertical="center"/>
    </xf>
    <xf numFmtId="166" fontId="2" fillId="2" borderId="69" xfId="2" applyNumberFormat="1" applyFont="1" applyFill="1" applyBorder="1" applyAlignment="1" applyProtection="1">
      <alignment vertical="center"/>
    </xf>
    <xf numFmtId="166" fontId="2" fillId="0" borderId="0" xfId="2" applyNumberFormat="1" applyFont="1" applyAlignment="1"/>
    <xf numFmtId="166" fontId="2" fillId="0" borderId="0" xfId="2" applyNumberFormat="1" applyFont="1" applyAlignment="1" applyProtection="1">
      <alignment vertical="center"/>
    </xf>
    <xf numFmtId="166" fontId="2" fillId="0" borderId="0" xfId="2" quotePrefix="1" applyNumberFormat="1" applyFont="1" applyAlignment="1" applyProtection="1">
      <alignment vertical="center"/>
    </xf>
    <xf numFmtId="166" fontId="2" fillId="0" borderId="50" xfId="2" applyNumberFormat="1" applyFont="1" applyBorder="1" applyAlignment="1" applyProtection="1">
      <alignment vertical="center"/>
    </xf>
    <xf numFmtId="166" fontId="11" fillId="2" borderId="55" xfId="2" applyNumberFormat="1" applyFont="1" applyFill="1" applyBorder="1" applyAlignment="1" applyProtection="1">
      <alignment vertical="center"/>
    </xf>
    <xf numFmtId="166" fontId="11" fillId="0" borderId="55" xfId="2" applyNumberFormat="1" applyFont="1" applyBorder="1" applyAlignment="1" applyProtection="1">
      <alignment vertical="center"/>
    </xf>
    <xf numFmtId="166" fontId="0" fillId="2" borderId="55" xfId="2" applyNumberFormat="1" applyFont="1" applyFill="1" applyBorder="1" applyAlignment="1"/>
    <xf numFmtId="166" fontId="2" fillId="0" borderId="55" xfId="2" applyNumberFormat="1" applyFont="1" applyFill="1" applyBorder="1" applyAlignment="1"/>
    <xf numFmtId="166" fontId="2" fillId="0" borderId="69" xfId="2" applyNumberFormat="1" applyFont="1" applyBorder="1" applyAlignment="1">
      <alignment vertical="center"/>
    </xf>
    <xf numFmtId="166" fontId="2" fillId="0" borderId="74" xfId="2" applyNumberFormat="1" applyFont="1" applyBorder="1" applyAlignment="1">
      <alignment vertical="center"/>
    </xf>
    <xf numFmtId="166" fontId="2" fillId="0" borderId="0" xfId="2" applyNumberFormat="1" applyFont="1" applyAlignment="1">
      <alignment vertical="center"/>
    </xf>
    <xf numFmtId="166" fontId="0" fillId="0" borderId="0" xfId="2" applyNumberFormat="1" applyFont="1" applyAlignment="1"/>
    <xf numFmtId="166" fontId="2" fillId="0" borderId="47" xfId="2" applyNumberFormat="1" applyFont="1" applyBorder="1" applyAlignment="1" applyProtection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1" fontId="0" fillId="0" borderId="54" xfId="0" applyNumberFormat="1" applyBorder="1" applyAlignment="1">
      <alignment horizontal="center" vertical="center"/>
    </xf>
    <xf numFmtId="164" fontId="0" fillId="0" borderId="0" xfId="2" applyFont="1"/>
    <xf numFmtId="166" fontId="2" fillId="0" borderId="0" xfId="2" applyNumberFormat="1" applyFont="1"/>
    <xf numFmtId="166" fontId="11" fillId="0" borderId="0" xfId="2" applyNumberFormat="1" applyFont="1" applyAlignment="1" applyProtection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39" fontId="11" fillId="0" borderId="0" xfId="0" applyNumberFormat="1" applyFont="1" applyAlignment="1">
      <alignment vertical="center"/>
    </xf>
    <xf numFmtId="166" fontId="2" fillId="0" borderId="0" xfId="2" applyNumberFormat="1" applyFont="1" applyAlignment="1" applyProtection="1">
      <alignment horizontal="right" vertical="center"/>
    </xf>
    <xf numFmtId="39" fontId="2" fillId="0" borderId="29" xfId="0" applyNumberFormat="1" applyFont="1" applyBorder="1" applyAlignment="1">
      <alignment vertical="center"/>
    </xf>
    <xf numFmtId="166" fontId="2" fillId="0" borderId="30" xfId="2" applyNumberFormat="1" applyFont="1" applyBorder="1" applyAlignment="1" applyProtection="1">
      <alignment vertical="center"/>
    </xf>
    <xf numFmtId="166" fontId="2" fillId="0" borderId="0" xfId="2" applyNumberFormat="1" applyFont="1" applyBorder="1" applyAlignment="1" applyProtection="1">
      <alignment vertical="center"/>
    </xf>
    <xf numFmtId="166" fontId="2" fillId="0" borderId="28" xfId="2" applyNumberFormat="1" applyFont="1" applyBorder="1" applyAlignment="1" applyProtection="1">
      <alignment vertical="center"/>
    </xf>
    <xf numFmtId="39" fontId="2" fillId="0" borderId="0" xfId="0" applyNumberFormat="1" applyFont="1" applyAlignment="1">
      <alignment horizontal="left" vertical="center" indent="1"/>
    </xf>
    <xf numFmtId="166" fontId="2" fillId="0" borderId="0" xfId="2" applyNumberFormat="1" applyFont="1" applyBorder="1" applyAlignment="1" applyProtection="1">
      <alignment horizontal="center" vertical="center"/>
    </xf>
    <xf numFmtId="1" fontId="2" fillId="0" borderId="0" xfId="0" applyNumberFormat="1" applyFont="1" applyAlignment="1">
      <alignment horizontal="left" indent="1"/>
    </xf>
    <xf numFmtId="166" fontId="2" fillId="0" borderId="44" xfId="2" applyNumberFormat="1" applyFont="1" applyBorder="1" applyAlignment="1" applyProtection="1">
      <alignment vertical="center"/>
    </xf>
    <xf numFmtId="39" fontId="2" fillId="0" borderId="25" xfId="0" applyNumberFormat="1" applyFont="1" applyBorder="1" applyAlignment="1">
      <alignment horizontal="center" vertical="center"/>
    </xf>
    <xf numFmtId="171" fontId="2" fillId="0" borderId="0" xfId="1" applyNumberFormat="1" applyFont="1"/>
    <xf numFmtId="0" fontId="2" fillId="0" borderId="147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 indent="1"/>
    </xf>
    <xf numFmtId="166" fontId="2" fillId="0" borderId="32" xfId="2" applyNumberFormat="1" applyFont="1" applyBorder="1" applyAlignment="1" applyProtection="1">
      <alignment vertical="center"/>
    </xf>
    <xf numFmtId="166" fontId="2" fillId="0" borderId="97" xfId="2" applyNumberFormat="1" applyFont="1" applyBorder="1" applyAlignment="1" applyProtection="1">
      <alignment vertical="center"/>
    </xf>
    <xf numFmtId="166" fontId="2" fillId="0" borderId="0" xfId="2" applyNumberFormat="1" applyFont="1" applyAlignment="1" applyProtection="1">
      <alignment horizontal="center" vertical="center"/>
    </xf>
    <xf numFmtId="166" fontId="11" fillId="0" borderId="0" xfId="2" applyNumberFormat="1" applyFont="1" applyBorder="1" applyAlignment="1" applyProtection="1">
      <alignment horizontal="right" vertical="center"/>
    </xf>
    <xf numFmtId="166" fontId="11" fillId="0" borderId="0" xfId="2" applyNumberFormat="1" applyFont="1" applyBorder="1" applyAlignment="1" applyProtection="1">
      <alignment horizontal="center" vertical="center"/>
    </xf>
    <xf numFmtId="166" fontId="11" fillId="0" borderId="0" xfId="2" applyNumberFormat="1" applyFont="1" applyBorder="1" applyAlignment="1" applyProtection="1">
      <alignment vertical="center"/>
    </xf>
    <xf numFmtId="0" fontId="19" fillId="0" borderId="0" xfId="0" applyFont="1" applyAlignment="1">
      <alignment vertical="center" wrapText="1"/>
    </xf>
    <xf numFmtId="166" fontId="20" fillId="0" borderId="0" xfId="2" applyNumberFormat="1" applyFont="1" applyAlignment="1" applyProtection="1">
      <alignment vertical="center"/>
    </xf>
    <xf numFmtId="166" fontId="2" fillId="0" borderId="0" xfId="2" quotePrefix="1" applyNumberFormat="1" applyFont="1" applyAlignment="1" applyProtection="1">
      <alignment horizontal="center" vertical="center"/>
    </xf>
    <xf numFmtId="0" fontId="2" fillId="0" borderId="0" xfId="0" applyFont="1" applyAlignment="1">
      <alignment vertical="center" wrapText="1"/>
    </xf>
    <xf numFmtId="166" fontId="2" fillId="0" borderId="0" xfId="2" applyNumberFormat="1" applyFont="1" applyAlignment="1" applyProtection="1">
      <alignment horizontal="left" vertical="center"/>
    </xf>
    <xf numFmtId="166" fontId="19" fillId="0" borderId="0" xfId="2" applyNumberFormat="1" applyFont="1" applyAlignment="1" applyProtection="1">
      <alignment vertical="center"/>
    </xf>
    <xf numFmtId="166" fontId="19" fillId="0" borderId="0" xfId="2" applyNumberFormat="1" applyFont="1" applyAlignment="1" applyProtection="1">
      <alignment horizontal="center" vertical="center"/>
    </xf>
    <xf numFmtId="166" fontId="11" fillId="0" borderId="0" xfId="2" applyNumberFormat="1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166" fontId="11" fillId="0" borderId="40" xfId="2" applyNumberFormat="1" applyFont="1" applyBorder="1" applyAlignment="1" applyProtection="1">
      <alignment horizontal="center" vertical="center" wrapText="1"/>
    </xf>
    <xf numFmtId="166" fontId="2" fillId="0" borderId="41" xfId="2" applyNumberFormat="1" applyFont="1" applyBorder="1" applyAlignment="1">
      <alignment horizontal="center" vertical="center" wrapText="1"/>
    </xf>
    <xf numFmtId="166" fontId="11" fillId="0" borderId="47" xfId="2" applyNumberFormat="1" applyFont="1" applyBorder="1" applyAlignment="1" applyProtection="1">
      <alignment horizontal="center" vertical="center"/>
    </xf>
    <xf numFmtId="166" fontId="2" fillId="0" borderId="27" xfId="2" applyNumberFormat="1" applyFont="1" applyBorder="1" applyAlignment="1" applyProtection="1">
      <alignment vertical="center"/>
    </xf>
    <xf numFmtId="0" fontId="11" fillId="0" borderId="29" xfId="0" applyFont="1" applyBorder="1" applyAlignment="1">
      <alignment horizontal="center"/>
    </xf>
    <xf numFmtId="0" fontId="11" fillId="0" borderId="26" xfId="0" applyFont="1" applyBorder="1" applyAlignment="1">
      <alignment horizontal="left" indent="1"/>
    </xf>
    <xf numFmtId="0" fontId="11" fillId="0" borderId="30" xfId="0" applyFont="1" applyBorder="1" applyAlignment="1">
      <alignment horizontal="center"/>
    </xf>
    <xf numFmtId="166" fontId="2" fillId="0" borderId="27" xfId="2" applyNumberFormat="1" applyFont="1" applyBorder="1" applyAlignment="1" applyProtection="1">
      <alignment horizontal="right" vertical="center"/>
    </xf>
    <xf numFmtId="165" fontId="2" fillId="0" borderId="30" xfId="2" applyNumberFormat="1" applyFont="1" applyBorder="1" applyAlignment="1" applyProtection="1">
      <alignment horizontal="right" vertical="center"/>
    </xf>
    <xf numFmtId="0" fontId="11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 indent="1"/>
    </xf>
    <xf numFmtId="0" fontId="11" fillId="0" borderId="4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66" fontId="11" fillId="0" borderId="46" xfId="2" applyNumberFormat="1" applyFont="1" applyBorder="1" applyProtection="1"/>
    <xf numFmtId="165" fontId="11" fillId="0" borderId="45" xfId="2" applyNumberFormat="1" applyFont="1" applyBorder="1" applyProtection="1"/>
    <xf numFmtId="166" fontId="11" fillId="0" borderId="47" xfId="2" applyNumberFormat="1" applyFont="1" applyBorder="1" applyProtection="1"/>
    <xf numFmtId="0" fontId="2" fillId="0" borderId="148" xfId="0" applyFont="1" applyBorder="1" applyAlignment="1">
      <alignment horizontal="center" vertical="center"/>
    </xf>
    <xf numFmtId="0" fontId="14" fillId="0" borderId="149" xfId="0" applyFont="1" applyBorder="1" applyAlignment="1">
      <alignment vertical="center"/>
    </xf>
    <xf numFmtId="0" fontId="2" fillId="0" borderId="149" xfId="0" applyFont="1" applyBorder="1" applyAlignment="1">
      <alignment vertical="center"/>
    </xf>
    <xf numFmtId="0" fontId="2" fillId="0" borderId="150" xfId="0" applyFont="1" applyBorder="1" applyAlignment="1">
      <alignment vertical="center"/>
    </xf>
    <xf numFmtId="0" fontId="2" fillId="0" borderId="151" xfId="0" applyFont="1" applyBorder="1" applyAlignment="1">
      <alignment vertical="center"/>
    </xf>
    <xf numFmtId="166" fontId="2" fillId="0" borderId="151" xfId="2" applyNumberFormat="1" applyFont="1" applyBorder="1" applyAlignment="1" applyProtection="1">
      <alignment vertical="center"/>
    </xf>
    <xf numFmtId="165" fontId="2" fillId="0" borderId="151" xfId="2" applyNumberFormat="1" applyFont="1" applyBorder="1" applyAlignment="1" applyProtection="1">
      <alignment vertical="center"/>
    </xf>
    <xf numFmtId="0" fontId="21" fillId="0" borderId="0" xfId="0" applyFont="1"/>
    <xf numFmtId="165" fontId="21" fillId="0" borderId="0" xfId="1" applyFont="1"/>
    <xf numFmtId="165" fontId="2" fillId="0" borderId="30" xfId="2" applyNumberFormat="1" applyFont="1" applyBorder="1" applyAlignment="1" applyProtection="1">
      <alignment vertical="center"/>
    </xf>
    <xf numFmtId="166" fontId="11" fillId="0" borderId="30" xfId="2" applyNumberFormat="1" applyFont="1" applyBorder="1" applyAlignment="1" applyProtection="1">
      <alignment horizontal="right"/>
    </xf>
    <xf numFmtId="165" fontId="11" fillId="0" borderId="30" xfId="2" applyNumberFormat="1" applyFont="1" applyBorder="1" applyAlignment="1" applyProtection="1">
      <alignment horizontal="right"/>
    </xf>
    <xf numFmtId="0" fontId="11" fillId="0" borderId="153" xfId="0" applyFont="1" applyBorder="1" applyAlignment="1">
      <alignment horizontal="center"/>
    </xf>
    <xf numFmtId="0" fontId="2" fillId="0" borderId="154" xfId="0" applyFont="1" applyBorder="1" applyAlignment="1">
      <alignment vertical="center"/>
    </xf>
    <xf numFmtId="0" fontId="2" fillId="0" borderId="155" xfId="0" applyFont="1" applyBorder="1" applyAlignment="1">
      <alignment vertical="center"/>
    </xf>
    <xf numFmtId="166" fontId="2" fillId="0" borderId="155" xfId="2" applyNumberFormat="1" applyFont="1" applyBorder="1" applyAlignment="1" applyProtection="1">
      <alignment vertical="center"/>
    </xf>
    <xf numFmtId="165" fontId="2" fillId="0" borderId="155" xfId="2" applyNumberFormat="1" applyFont="1" applyBorder="1" applyAlignment="1" applyProtection="1">
      <alignment vertical="center"/>
    </xf>
    <xf numFmtId="0" fontId="2" fillId="0" borderId="30" xfId="0" applyFont="1" applyBorder="1" applyAlignment="1">
      <alignment horizontal="left" vertical="center" indent="1"/>
    </xf>
    <xf numFmtId="166" fontId="11" fillId="0" borderId="28" xfId="2" applyNumberFormat="1" applyFont="1" applyBorder="1" applyAlignment="1" applyProtection="1">
      <alignment vertical="center"/>
    </xf>
    <xf numFmtId="1" fontId="2" fillId="0" borderId="30" xfId="0" applyNumberFormat="1" applyFont="1" applyBorder="1" applyAlignment="1">
      <alignment horizontal="left" vertical="center" indent="1"/>
    </xf>
    <xf numFmtId="1" fontId="11" fillId="0" borderId="30" xfId="0" applyNumberFormat="1" applyFont="1" applyBorder="1" applyAlignment="1">
      <alignment horizontal="center" vertical="center"/>
    </xf>
    <xf numFmtId="166" fontId="11" fillId="0" borderId="30" xfId="2" applyNumberFormat="1" applyFont="1" applyBorder="1" applyAlignment="1" applyProtection="1">
      <alignment vertical="center"/>
    </xf>
    <xf numFmtId="165" fontId="11" fillId="0" borderId="30" xfId="2" applyNumberFormat="1" applyFont="1" applyBorder="1" applyAlignment="1" applyProtection="1">
      <alignment vertical="center"/>
    </xf>
    <xf numFmtId="1" fontId="11" fillId="0" borderId="29" xfId="0" applyNumberFormat="1" applyFont="1" applyBorder="1" applyAlignment="1">
      <alignment horizontal="center" vertical="center"/>
    </xf>
    <xf numFmtId="164" fontId="2" fillId="0" borderId="0" xfId="2" applyFont="1"/>
    <xf numFmtId="1" fontId="22" fillId="0" borderId="29" xfId="0" applyNumberFormat="1" applyFont="1" applyBorder="1" applyAlignment="1">
      <alignment horizontal="center" vertical="center"/>
    </xf>
    <xf numFmtId="166" fontId="23" fillId="0" borderId="27" xfId="2" applyNumberFormat="1" applyFont="1" applyBorder="1" applyAlignment="1" applyProtection="1">
      <alignment vertical="center"/>
    </xf>
    <xf numFmtId="0" fontId="11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27" xfId="2" applyNumberFormat="1" applyFont="1" applyBorder="1" applyAlignment="1" applyProtection="1">
      <alignment vertical="center"/>
    </xf>
    <xf numFmtId="0" fontId="11" fillId="0" borderId="30" xfId="0" applyFont="1" applyBorder="1" applyAlignment="1">
      <alignment horizontal="left" vertical="center" indent="1"/>
    </xf>
    <xf numFmtId="0" fontId="11" fillId="0" borderId="26" xfId="0" applyFont="1" applyBorder="1" applyAlignment="1">
      <alignment horizontal="center" vertical="center"/>
    </xf>
    <xf numFmtId="165" fontId="11" fillId="0" borderId="30" xfId="2" applyNumberFormat="1" applyFont="1" applyBorder="1" applyProtection="1"/>
    <xf numFmtId="166" fontId="11" fillId="0" borderId="28" xfId="2" applyNumberFormat="1" applyFont="1" applyBorder="1" applyProtection="1"/>
    <xf numFmtId="0" fontId="2" fillId="0" borderId="26" xfId="0" applyFont="1" applyBorder="1" applyAlignment="1">
      <alignment vertical="center"/>
    </xf>
    <xf numFmtId="166" fontId="11" fillId="0" borderId="27" xfId="2" quotePrefix="1" applyNumberFormat="1" applyFont="1" applyBorder="1" applyAlignment="1" applyProtection="1">
      <alignment vertical="center"/>
    </xf>
    <xf numFmtId="165" fontId="2" fillId="0" borderId="0" xfId="0" applyNumberFormat="1" applyFont="1"/>
    <xf numFmtId="0" fontId="11" fillId="0" borderId="44" xfId="0" quotePrefix="1" applyFont="1" applyBorder="1" applyAlignment="1">
      <alignment horizontal="left" vertical="center" indent="1"/>
    </xf>
    <xf numFmtId="166" fontId="2" fillId="0" borderId="46" xfId="2" applyNumberFormat="1" applyFont="1" applyBorder="1" applyAlignment="1" applyProtection="1">
      <alignment vertical="center"/>
    </xf>
    <xf numFmtId="165" fontId="2" fillId="0" borderId="45" xfId="2" applyNumberFormat="1" applyFont="1" applyBorder="1" applyAlignment="1" applyProtection="1">
      <alignment vertical="center"/>
    </xf>
    <xf numFmtId="0" fontId="2" fillId="0" borderId="37" xfId="0" applyFont="1" applyBorder="1"/>
    <xf numFmtId="0" fontId="2" fillId="0" borderId="37" xfId="0" applyFont="1" applyBorder="1" applyAlignment="1">
      <alignment horizontal="center"/>
    </xf>
    <xf numFmtId="166" fontId="2" fillId="0" borderId="37" xfId="2" applyNumberFormat="1" applyFont="1" applyBorder="1"/>
    <xf numFmtId="165" fontId="2" fillId="0" borderId="37" xfId="2" applyNumberFormat="1" applyFont="1" applyBorder="1"/>
    <xf numFmtId="39" fontId="14" fillId="0" borderId="0" xfId="0" applyNumberFormat="1" applyFont="1" applyAlignment="1">
      <alignment vertical="center"/>
    </xf>
    <xf numFmtId="165" fontId="11" fillId="0" borderId="39" xfId="2" applyNumberFormat="1" applyFont="1" applyBorder="1" applyAlignment="1" applyProtection="1">
      <alignment horizontal="center" vertical="center" wrapText="1"/>
    </xf>
    <xf numFmtId="165" fontId="2" fillId="0" borderId="27" xfId="2" applyNumberFormat="1" applyFont="1" applyBorder="1" applyAlignment="1">
      <alignment horizontal="center" vertical="center" wrapText="1"/>
    </xf>
    <xf numFmtId="165" fontId="11" fillId="0" borderId="45" xfId="2" applyNumberFormat="1" applyFont="1" applyBorder="1" applyAlignment="1" applyProtection="1">
      <alignment horizontal="center" vertical="center"/>
    </xf>
    <xf numFmtId="1" fontId="2" fillId="0" borderId="30" xfId="0" applyNumberFormat="1" applyFont="1" applyBorder="1" applyAlignment="1">
      <alignment vertical="center"/>
    </xf>
    <xf numFmtId="166" fontId="2" fillId="0" borderId="30" xfId="2" quotePrefix="1" applyNumberFormat="1" applyFont="1" applyBorder="1" applyAlignment="1">
      <alignment horizontal="right" vertical="center"/>
    </xf>
    <xf numFmtId="1" fontId="2" fillId="0" borderId="26" xfId="0" applyNumberFormat="1" applyFont="1" applyBorder="1" applyAlignment="1">
      <alignment horizontal="left" vertical="center" indent="1"/>
    </xf>
    <xf numFmtId="1" fontId="11" fillId="0" borderId="26" xfId="0" applyNumberFormat="1" applyFont="1" applyBorder="1" applyAlignment="1">
      <alignment horizontal="left" vertical="center" indent="1"/>
    </xf>
    <xf numFmtId="1" fontId="2" fillId="0" borderId="29" xfId="0" applyNumberFormat="1" applyFont="1" applyBorder="1" applyAlignment="1">
      <alignment horizontal="center" vertical="center"/>
    </xf>
    <xf numFmtId="165" fontId="2" fillId="0" borderId="30" xfId="0" applyNumberFormat="1" applyFont="1" applyBorder="1" applyAlignment="1">
      <alignment vertical="center"/>
    </xf>
    <xf numFmtId="165" fontId="2" fillId="0" borderId="30" xfId="1" applyFont="1" applyBorder="1" applyAlignment="1" applyProtection="1">
      <alignment vertical="center"/>
    </xf>
    <xf numFmtId="39" fontId="11" fillId="0" borderId="28" xfId="0" applyNumberFormat="1" applyFont="1" applyBorder="1" applyAlignment="1">
      <alignment vertical="center"/>
    </xf>
    <xf numFmtId="165" fontId="11" fillId="0" borderId="30" xfId="0" applyNumberFormat="1" applyFont="1" applyBorder="1" applyAlignment="1">
      <alignment vertical="center"/>
    </xf>
    <xf numFmtId="1" fontId="2" fillId="0" borderId="30" xfId="0" applyNumberFormat="1" applyFont="1" applyBorder="1" applyAlignment="1">
      <alignment horizontal="center" vertical="center"/>
    </xf>
    <xf numFmtId="165" fontId="2" fillId="0" borderId="156" xfId="2" applyNumberFormat="1" applyFont="1" applyBorder="1"/>
    <xf numFmtId="1" fontId="2" fillId="0" borderId="29" xfId="0" applyNumberFormat="1" applyFont="1" applyBorder="1" applyAlignment="1">
      <alignment vertical="center"/>
    </xf>
    <xf numFmtId="2" fontId="2" fillId="0" borderId="29" xfId="0" applyNumberFormat="1" applyFont="1" applyBorder="1" applyAlignment="1">
      <alignment horizontal="center" vertical="center"/>
    </xf>
    <xf numFmtId="165" fontId="2" fillId="0" borderId="0" xfId="2" applyNumberFormat="1" applyFont="1" applyBorder="1"/>
    <xf numFmtId="172" fontId="2" fillId="0" borderId="45" xfId="1" applyNumberFormat="1" applyFont="1" applyBorder="1" applyAlignment="1" applyProtection="1">
      <alignment vertical="center"/>
    </xf>
    <xf numFmtId="39" fontId="11" fillId="0" borderId="47" xfId="0" applyNumberFormat="1" applyFont="1" applyBorder="1"/>
    <xf numFmtId="166" fontId="0" fillId="0" borderId="0" xfId="2" applyNumberFormat="1" applyFont="1" applyAlignment="1" applyProtection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39" fontId="11" fillId="0" borderId="20" xfId="0" applyNumberFormat="1" applyFont="1" applyBorder="1" applyAlignment="1">
      <alignment vertical="center"/>
    </xf>
    <xf numFmtId="167" fontId="11" fillId="0" borderId="0" xfId="0" applyNumberFormat="1" applyFont="1" applyAlignment="1">
      <alignment vertical="center"/>
    </xf>
    <xf numFmtId="167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39" fontId="11" fillId="0" borderId="131" xfId="0" applyNumberFormat="1" applyFont="1" applyBorder="1" applyAlignment="1">
      <alignment vertical="center"/>
    </xf>
    <xf numFmtId="0" fontId="2" fillId="0" borderId="13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13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39" fontId="11" fillId="0" borderId="136" xfId="0" applyNumberFormat="1" applyFont="1" applyBorder="1" applyAlignment="1">
      <alignment vertical="center"/>
    </xf>
    <xf numFmtId="39" fontId="2" fillId="0" borderId="158" xfId="0" applyNumberFormat="1" applyFont="1" applyBorder="1" applyAlignment="1">
      <alignment horizontal="right"/>
    </xf>
    <xf numFmtId="39" fontId="2" fillId="2" borderId="160" xfId="0" applyNumberFormat="1" applyFont="1" applyFill="1" applyBorder="1" applyAlignment="1">
      <alignment vertical="center"/>
    </xf>
    <xf numFmtId="0" fontId="2" fillId="2" borderId="54" xfId="0" applyFont="1" applyFill="1" applyBorder="1" applyAlignment="1">
      <alignment horizontal="center" vertical="center"/>
    </xf>
    <xf numFmtId="166" fontId="2" fillId="2" borderId="69" xfId="2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173" fontId="2" fillId="0" borderId="0" xfId="1" applyNumberFormat="1" applyFont="1" applyBorder="1" applyAlignment="1">
      <alignment vertical="center"/>
    </xf>
    <xf numFmtId="0" fontId="14" fillId="0" borderId="161" xfId="0" applyFont="1" applyBorder="1" applyAlignment="1">
      <alignment horizontal="center" vertical="center"/>
    </xf>
    <xf numFmtId="0" fontId="2" fillId="0" borderId="162" xfId="0" applyFont="1" applyBorder="1" applyAlignment="1">
      <alignment vertical="center"/>
    </xf>
    <xf numFmtId="0" fontId="2" fillId="0" borderId="163" xfId="0" applyFont="1" applyBorder="1" applyAlignment="1">
      <alignment vertical="center"/>
    </xf>
    <xf numFmtId="0" fontId="14" fillId="0" borderId="163" xfId="0" applyFont="1" applyBorder="1" applyAlignment="1">
      <alignment vertical="center"/>
    </xf>
    <xf numFmtId="0" fontId="14" fillId="0" borderId="164" xfId="0" applyFont="1" applyBorder="1" applyAlignment="1">
      <alignment vertical="center"/>
    </xf>
    <xf numFmtId="0" fontId="2" fillId="0" borderId="161" xfId="0" applyFont="1" applyBorder="1" applyAlignment="1">
      <alignment horizontal="center" vertical="center"/>
    </xf>
    <xf numFmtId="172" fontId="2" fillId="0" borderId="161" xfId="1" applyNumberFormat="1" applyFont="1" applyBorder="1" applyAlignment="1">
      <alignment vertical="center"/>
    </xf>
    <xf numFmtId="165" fontId="2" fillId="0" borderId="161" xfId="1" applyFont="1" applyBorder="1" applyAlignment="1">
      <alignment vertical="center"/>
    </xf>
    <xf numFmtId="39" fontId="2" fillId="0" borderId="161" xfId="0" applyNumberFormat="1" applyFont="1" applyBorder="1" applyAlignment="1">
      <alignment vertical="center"/>
    </xf>
    <xf numFmtId="39" fontId="2" fillId="0" borderId="161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172" fontId="2" fillId="0" borderId="23" xfId="1" applyNumberFormat="1" applyFont="1" applyBorder="1" applyAlignment="1">
      <alignment vertical="center"/>
    </xf>
    <xf numFmtId="165" fontId="2" fillId="0" borderId="23" xfId="1" applyFont="1" applyBorder="1" applyAlignment="1">
      <alignment vertical="center"/>
    </xf>
    <xf numFmtId="39" fontId="2" fillId="0" borderId="23" xfId="0" applyNumberFormat="1" applyFont="1" applyBorder="1" applyAlignment="1">
      <alignment vertical="center"/>
    </xf>
    <xf numFmtId="39" fontId="2" fillId="0" borderId="23" xfId="0" applyNumberFormat="1" applyFont="1" applyBorder="1" applyAlignment="1">
      <alignment horizontal="center" vertical="center"/>
    </xf>
    <xf numFmtId="0" fontId="14" fillId="0" borderId="165" xfId="0" applyFont="1" applyBorder="1" applyAlignment="1">
      <alignment horizontal="center" vertical="center"/>
    </xf>
    <xf numFmtId="0" fontId="2" fillId="0" borderId="166" xfId="0" applyFont="1" applyBorder="1" applyAlignment="1">
      <alignment vertical="center"/>
    </xf>
    <xf numFmtId="0" fontId="2" fillId="0" borderId="167" xfId="0" applyFont="1" applyBorder="1" applyAlignment="1">
      <alignment vertical="center"/>
    </xf>
    <xf numFmtId="0" fontId="14" fillId="0" borderId="167" xfId="0" applyFont="1" applyBorder="1" applyAlignment="1">
      <alignment vertical="center"/>
    </xf>
    <xf numFmtId="0" fontId="14" fillId="0" borderId="168" xfId="0" applyFont="1" applyBorder="1" applyAlignment="1">
      <alignment vertical="center"/>
    </xf>
    <xf numFmtId="0" fontId="2" fillId="0" borderId="165" xfId="0" applyFont="1" applyBorder="1" applyAlignment="1">
      <alignment horizontal="center" vertical="center"/>
    </xf>
    <xf numFmtId="172" fontId="2" fillId="0" borderId="165" xfId="1" applyNumberFormat="1" applyFont="1" applyBorder="1" applyAlignment="1">
      <alignment vertical="center"/>
    </xf>
    <xf numFmtId="165" fontId="2" fillId="0" borderId="165" xfId="1" applyFont="1" applyBorder="1" applyAlignment="1">
      <alignment vertical="center"/>
    </xf>
    <xf numFmtId="39" fontId="2" fillId="0" borderId="165" xfId="0" applyNumberFormat="1" applyFont="1" applyBorder="1" applyAlignment="1">
      <alignment vertical="center"/>
    </xf>
    <xf numFmtId="39" fontId="2" fillId="0" borderId="165" xfId="0" applyNumberFormat="1" applyFont="1" applyBorder="1" applyAlignment="1">
      <alignment horizontal="center" vertical="center"/>
    </xf>
    <xf numFmtId="0" fontId="14" fillId="0" borderId="162" xfId="0" applyFont="1" applyBorder="1" applyAlignment="1">
      <alignment horizontal="right" vertical="center"/>
    </xf>
    <xf numFmtId="0" fontId="2" fillId="0" borderId="163" xfId="0" applyFont="1" applyBorder="1" applyAlignment="1">
      <alignment horizontal="right" vertical="center"/>
    </xf>
    <xf numFmtId="0" fontId="2" fillId="0" borderId="164" xfId="0" applyFont="1" applyBorder="1" applyAlignment="1">
      <alignment horizontal="centerContinuous" vertical="center"/>
    </xf>
    <xf numFmtId="0" fontId="2" fillId="0" borderId="2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2" xfId="0" applyFont="1" applyBorder="1" applyAlignment="1">
      <alignment horizontal="centerContinuous"/>
    </xf>
    <xf numFmtId="0" fontId="2" fillId="0" borderId="166" xfId="0" applyFont="1" applyBorder="1" applyAlignment="1">
      <alignment horizontal="right"/>
    </xf>
    <xf numFmtId="0" fontId="2" fillId="0" borderId="167" xfId="0" applyFont="1" applyBorder="1" applyAlignment="1">
      <alignment horizontal="right"/>
    </xf>
    <xf numFmtId="0" fontId="2" fillId="0" borderId="168" xfId="0" applyFont="1" applyBorder="1" applyAlignment="1">
      <alignment horizontal="centerContinuous"/>
    </xf>
    <xf numFmtId="172" fontId="2" fillId="0" borderId="0" xfId="1" applyNumberFormat="1" applyFont="1" applyBorder="1" applyAlignment="1">
      <alignment vertical="center"/>
    </xf>
    <xf numFmtId="0" fontId="2" fillId="0" borderId="88" xfId="0" applyFont="1" applyBorder="1" applyAlignment="1">
      <alignment horizontal="centerContinuous" vertical="center"/>
    </xf>
    <xf numFmtId="0" fontId="2" fillId="0" borderId="89" xfId="0" applyFont="1" applyBorder="1" applyAlignment="1">
      <alignment horizontal="centerContinuous" vertical="center"/>
    </xf>
    <xf numFmtId="0" fontId="2" fillId="0" borderId="154" xfId="0" applyFont="1" applyBorder="1" applyAlignment="1">
      <alignment horizontal="centerContinuous" vertical="center"/>
    </xf>
    <xf numFmtId="0" fontId="2" fillId="0" borderId="100" xfId="0" applyFont="1" applyBorder="1" applyAlignment="1">
      <alignment horizontal="centerContinuous" vertical="center"/>
    </xf>
    <xf numFmtId="0" fontId="2" fillId="0" borderId="155" xfId="0" applyFont="1" applyBorder="1" applyAlignment="1">
      <alignment horizontal="centerContinuous" vertical="center"/>
    </xf>
    <xf numFmtId="39" fontId="2" fillId="0" borderId="90" xfId="0" applyNumberFormat="1" applyFont="1" applyBorder="1" applyAlignment="1">
      <alignment horizontal="centerContinuous" vertical="center"/>
    </xf>
    <xf numFmtId="0" fontId="2" fillId="0" borderId="44" xfId="0" applyFont="1" applyBorder="1" applyAlignment="1">
      <alignment horizontal="centerContinuous" vertical="center"/>
    </xf>
    <xf numFmtId="165" fontId="14" fillId="0" borderId="0" xfId="1" applyFont="1" applyBorder="1" applyAlignment="1">
      <alignment horizontal="center" vertical="center"/>
    </xf>
    <xf numFmtId="39" fontId="2" fillId="0" borderId="154" xfId="0" applyNumberFormat="1" applyFont="1" applyBorder="1" applyAlignment="1">
      <alignment horizontal="right" vertical="center"/>
    </xf>
    <xf numFmtId="39" fontId="2" fillId="0" borderId="154" xfId="0" applyNumberFormat="1" applyFont="1" applyBorder="1" applyAlignment="1">
      <alignment horizontal="center" vertical="center"/>
    </xf>
    <xf numFmtId="0" fontId="2" fillId="0" borderId="94" xfId="0" applyFont="1" applyBorder="1"/>
    <xf numFmtId="39" fontId="2" fillId="0" borderId="94" xfId="0" applyNumberFormat="1" applyFont="1" applyBorder="1" applyAlignment="1">
      <alignment horizontal="right" vertical="center"/>
    </xf>
    <xf numFmtId="39" fontId="2" fillId="0" borderId="27" xfId="0" applyNumberFormat="1" applyFont="1" applyBorder="1" applyAlignment="1">
      <alignment horizontal="right" vertical="center"/>
    </xf>
    <xf numFmtId="39" fontId="2" fillId="0" borderId="41" xfId="0" applyNumberFormat="1" applyFont="1" applyBorder="1" applyAlignment="1">
      <alignment vertical="center"/>
    </xf>
    <xf numFmtId="0" fontId="2" fillId="0" borderId="46" xfId="0" applyFont="1" applyBorder="1"/>
    <xf numFmtId="39" fontId="2" fillId="0" borderId="46" xfId="0" applyNumberFormat="1" applyFont="1" applyBorder="1" applyAlignment="1">
      <alignment horizontal="right" vertical="center"/>
    </xf>
    <xf numFmtId="39" fontId="2" fillId="0" borderId="169" xfId="0" applyNumberFormat="1" applyFont="1" applyBorder="1" applyAlignment="1">
      <alignment vertical="center"/>
    </xf>
    <xf numFmtId="0" fontId="0" fillId="0" borderId="32" xfId="0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5" fontId="0" fillId="0" borderId="0" xfId="1" applyFont="1" applyFill="1" applyAlignment="1">
      <alignment horizontal="center" vertical="center"/>
    </xf>
    <xf numFmtId="43" fontId="23" fillId="0" borderId="0" xfId="0" applyNumberFormat="1" applyFont="1"/>
    <xf numFmtId="39" fontId="0" fillId="0" borderId="94" xfId="0" applyNumberFormat="1" applyBorder="1" applyAlignment="1">
      <alignment vertical="center"/>
    </xf>
    <xf numFmtId="39" fontId="0" fillId="0" borderId="0" xfId="0" applyNumberFormat="1"/>
    <xf numFmtId="166" fontId="11" fillId="0" borderId="55" xfId="2" applyNumberFormat="1" applyFont="1" applyFill="1" applyBorder="1" applyAlignment="1" applyProtection="1">
      <alignment vertical="center"/>
    </xf>
    <xf numFmtId="166" fontId="2" fillId="0" borderId="55" xfId="2" applyNumberFormat="1" applyFont="1" applyFill="1" applyBorder="1" applyAlignment="1" applyProtection="1">
      <alignment vertical="center"/>
    </xf>
    <xf numFmtId="0" fontId="0" fillId="0" borderId="26" xfId="0" applyBorder="1" applyAlignment="1">
      <alignment horizontal="left" vertical="center" indent="1"/>
    </xf>
    <xf numFmtId="170" fontId="0" fillId="0" borderId="75" xfId="0" applyNumberFormat="1" applyBorder="1"/>
    <xf numFmtId="170" fontId="0" fillId="0" borderId="75" xfId="1" applyNumberFormat="1" applyFont="1" applyFill="1" applyBorder="1"/>
    <xf numFmtId="43" fontId="0" fillId="0" borderId="75" xfId="0" applyNumberFormat="1" applyBorder="1"/>
    <xf numFmtId="164" fontId="2" fillId="0" borderId="0" xfId="2" applyFont="1" applyAlignment="1" applyProtection="1">
      <alignment horizontal="centerContinuous" vertical="center"/>
    </xf>
    <xf numFmtId="164" fontId="6" fillId="0" borderId="0" xfId="2" applyFont="1" applyAlignment="1" applyProtection="1">
      <alignment horizontal="centerContinuous" vertical="center"/>
    </xf>
    <xf numFmtId="164" fontId="12" fillId="0" borderId="0" xfId="2" applyFont="1" applyAlignment="1" applyProtection="1">
      <alignment horizontal="centerContinuous" vertical="center"/>
    </xf>
    <xf numFmtId="164" fontId="6" fillId="0" borderId="0" xfId="2" applyFont="1" applyFill="1" applyAlignment="1" applyProtection="1">
      <alignment horizontal="centerContinuous" vertical="center"/>
    </xf>
    <xf numFmtId="164" fontId="6" fillId="3" borderId="0" xfId="2" applyFont="1" applyFill="1" applyAlignment="1" applyProtection="1">
      <alignment horizontal="centerContinuous" vertical="center"/>
    </xf>
    <xf numFmtId="164" fontId="6" fillId="0" borderId="0" xfId="2" applyFont="1" applyAlignment="1">
      <alignment horizontal="centerContinuous" vertical="center"/>
    </xf>
    <xf numFmtId="164" fontId="6" fillId="0" borderId="0" xfId="2" applyFont="1" applyAlignment="1">
      <alignment vertical="center"/>
    </xf>
    <xf numFmtId="164" fontId="6" fillId="0" borderId="0" xfId="2" applyFont="1" applyAlignment="1" applyProtection="1">
      <alignment vertical="center"/>
    </xf>
    <xf numFmtId="164" fontId="6" fillId="3" borderId="0" xfId="2" applyFont="1" applyFill="1" applyAlignment="1">
      <alignment vertical="center"/>
    </xf>
    <xf numFmtId="164" fontId="6" fillId="0" borderId="0" xfId="2" applyFont="1" applyFill="1" applyAlignment="1">
      <alignment vertical="center"/>
    </xf>
    <xf numFmtId="164" fontId="2" fillId="0" borderId="0" xfId="2" applyFont="1" applyAlignment="1" applyProtection="1">
      <alignment horizontal="right" vertical="center"/>
    </xf>
    <xf numFmtId="164" fontId="6" fillId="0" borderId="0" xfId="2" applyFont="1" applyFill="1" applyAlignment="1" applyProtection="1">
      <alignment vertical="center"/>
    </xf>
    <xf numFmtId="164" fontId="2" fillId="0" borderId="0" xfId="2" applyFont="1" applyAlignment="1">
      <alignment vertical="center"/>
    </xf>
    <xf numFmtId="164" fontId="2" fillId="0" borderId="0" xfId="2" applyFont="1" applyFill="1" applyAlignment="1">
      <alignment vertical="center"/>
    </xf>
    <xf numFmtId="164" fontId="2" fillId="0" borderId="0" xfId="2" applyFont="1" applyFill="1"/>
    <xf numFmtId="164" fontId="2" fillId="3" borderId="0" xfId="2" applyFont="1" applyFill="1"/>
    <xf numFmtId="164" fontId="2" fillId="0" borderId="0" xfId="0" applyNumberFormat="1" applyFont="1"/>
    <xf numFmtId="166" fontId="21" fillId="0" borderId="0" xfId="2" applyNumberFormat="1" applyFont="1"/>
    <xf numFmtId="166" fontId="23" fillId="0" borderId="75" xfId="2" applyNumberFormat="1" applyFont="1" applyBorder="1"/>
    <xf numFmtId="171" fontId="2" fillId="0" borderId="155" xfId="1" applyNumberFormat="1" applyFont="1" applyBorder="1" applyAlignment="1" applyProtection="1">
      <alignment vertical="center"/>
    </xf>
    <xf numFmtId="165" fontId="2" fillId="0" borderId="155" xfId="1" applyFont="1" applyBorder="1" applyAlignment="1" applyProtection="1">
      <alignment vertical="center"/>
    </xf>
    <xf numFmtId="0" fontId="0" fillId="0" borderId="29" xfId="0" quotePrefix="1" applyBorder="1" applyAlignment="1">
      <alignment horizontal="center"/>
    </xf>
    <xf numFmtId="0" fontId="0" fillId="0" borderId="30" xfId="0" applyBorder="1" applyAlignment="1">
      <alignment horizontal="center" vertical="center"/>
    </xf>
    <xf numFmtId="166" fontId="0" fillId="0" borderId="27" xfId="2" applyNumberFormat="1" applyFont="1" applyBorder="1" applyAlignment="1" applyProtection="1">
      <alignment horizontal="right" vertical="center"/>
    </xf>
    <xf numFmtId="166" fontId="2" fillId="0" borderId="41" xfId="2" applyNumberFormat="1" applyFont="1" applyBorder="1" applyAlignment="1" applyProtection="1">
      <alignment vertical="center"/>
    </xf>
    <xf numFmtId="0" fontId="8" fillId="0" borderId="180" xfId="0" applyFont="1" applyBorder="1" applyAlignment="1">
      <alignment horizontal="center" vertical="center"/>
    </xf>
    <xf numFmtId="39" fontId="8" fillId="0" borderId="181" xfId="0" applyNumberFormat="1" applyFont="1" applyBorder="1" applyAlignment="1">
      <alignment vertical="center"/>
    </xf>
    <xf numFmtId="0" fontId="8" fillId="0" borderId="184" xfId="0" applyFont="1" applyBorder="1" applyAlignment="1">
      <alignment horizontal="center" vertical="center"/>
    </xf>
    <xf numFmtId="0" fontId="27" fillId="0" borderId="0" xfId="0" applyFont="1" applyAlignment="1">
      <alignment horizontal="centerContinuous"/>
    </xf>
    <xf numFmtId="0" fontId="27" fillId="0" borderId="0" xfId="0" applyFont="1" applyAlignment="1">
      <alignment horizontal="left" indent="1"/>
    </xf>
    <xf numFmtId="0" fontId="28" fillId="0" borderId="0" xfId="0" applyFont="1" applyAlignment="1">
      <alignment horizontal="centerContinuous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8" fillId="0" borderId="0" xfId="0" applyFont="1"/>
    <xf numFmtId="0" fontId="16" fillId="0" borderId="0" xfId="0" applyFont="1"/>
    <xf numFmtId="0" fontId="8" fillId="0" borderId="2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45" xfId="0" applyFont="1" applyBorder="1"/>
    <xf numFmtId="0" fontId="8" fillId="0" borderId="30" xfId="0" applyFont="1" applyBorder="1"/>
    <xf numFmtId="37" fontId="8" fillId="0" borderId="30" xfId="0" applyNumberFormat="1" applyFont="1" applyBorder="1"/>
    <xf numFmtId="39" fontId="8" fillId="0" borderId="30" xfId="0" applyNumberFormat="1" applyFont="1" applyBorder="1"/>
    <xf numFmtId="39" fontId="16" fillId="0" borderId="30" xfId="0" applyNumberFormat="1" applyFont="1" applyBorder="1"/>
    <xf numFmtId="39" fontId="16" fillId="0" borderId="28" xfId="0" applyNumberFormat="1" applyFont="1" applyBorder="1"/>
    <xf numFmtId="37" fontId="8" fillId="0" borderId="29" xfId="0" applyNumberFormat="1" applyFont="1" applyBorder="1" applyAlignment="1">
      <alignment horizontal="center"/>
    </xf>
    <xf numFmtId="37" fontId="8" fillId="0" borderId="30" xfId="0" applyNumberFormat="1" applyFont="1" applyBorder="1" applyAlignment="1">
      <alignment horizontal="center"/>
    </xf>
    <xf numFmtId="39" fontId="16" fillId="0" borderId="186" xfId="0" applyNumberFormat="1" applyFont="1" applyBorder="1"/>
    <xf numFmtId="39" fontId="16" fillId="0" borderId="187" xfId="0" applyNumberFormat="1" applyFont="1" applyBorder="1"/>
    <xf numFmtId="39" fontId="16" fillId="0" borderId="0" xfId="0" applyNumberFormat="1" applyFont="1"/>
    <xf numFmtId="39" fontId="16" fillId="0" borderId="9" xfId="0" applyNumberFormat="1" applyFont="1" applyBorder="1"/>
    <xf numFmtId="0" fontId="16" fillId="0" borderId="30" xfId="0" applyFont="1" applyBorder="1"/>
    <xf numFmtId="0" fontId="16" fillId="0" borderId="27" xfId="0" applyFont="1" applyBorder="1"/>
    <xf numFmtId="39" fontId="16" fillId="0" borderId="156" xfId="0" applyNumberFormat="1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Continuous"/>
    </xf>
    <xf numFmtId="1" fontId="30" fillId="0" borderId="0" xfId="0" quotePrefix="1" applyNumberFormat="1" applyFont="1"/>
    <xf numFmtId="0" fontId="30" fillId="0" borderId="0" xfId="0" applyFont="1"/>
    <xf numFmtId="1" fontId="16" fillId="0" borderId="0" xfId="0" applyNumberFormat="1" applyFont="1"/>
    <xf numFmtId="0" fontId="31" fillId="0" borderId="0" xfId="0" applyFont="1"/>
    <xf numFmtId="0" fontId="31" fillId="0" borderId="0" xfId="0" applyFont="1" applyAlignment="1">
      <alignment horizontal="center"/>
    </xf>
    <xf numFmtId="0" fontId="14" fillId="0" borderId="93" xfId="0" applyFont="1" applyBorder="1" applyAlignment="1">
      <alignment vertical="center"/>
    </xf>
    <xf numFmtId="165" fontId="2" fillId="0" borderId="0" xfId="2" applyNumberFormat="1" applyFont="1" applyBorder="1" applyAlignment="1" applyProtection="1">
      <alignment vertical="center"/>
    </xf>
    <xf numFmtId="165" fontId="2" fillId="0" borderId="192" xfId="1" applyFont="1" applyBorder="1" applyAlignment="1">
      <alignment vertical="center"/>
    </xf>
    <xf numFmtId="1" fontId="0" fillId="0" borderId="30" xfId="0" applyNumberFormat="1" applyBorder="1" applyAlignment="1">
      <alignment vertical="center"/>
    </xf>
    <xf numFmtId="1" fontId="0" fillId="0" borderId="30" xfId="0" applyNumberFormat="1" applyBorder="1" applyAlignment="1">
      <alignment horizontal="center" vertical="center"/>
    </xf>
    <xf numFmtId="166" fontId="0" fillId="0" borderId="27" xfId="2" applyNumberFormat="1" applyFont="1" applyBorder="1" applyAlignment="1" applyProtection="1">
      <alignment vertical="center"/>
    </xf>
    <xf numFmtId="165" fontId="0" fillId="0" borderId="0" xfId="1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170" xfId="0" applyBorder="1" applyAlignment="1">
      <alignment vertical="center"/>
    </xf>
    <xf numFmtId="0" fontId="0" fillId="0" borderId="171" xfId="0" applyBorder="1" applyAlignment="1">
      <alignment vertical="center"/>
    </xf>
    <xf numFmtId="0" fontId="0" fillId="0" borderId="172" xfId="0" applyBorder="1" applyAlignment="1">
      <alignment vertical="center"/>
    </xf>
    <xf numFmtId="0" fontId="0" fillId="0" borderId="173" xfId="0" applyBorder="1" applyAlignment="1">
      <alignment vertical="center"/>
    </xf>
    <xf numFmtId="0" fontId="0" fillId="0" borderId="174" xfId="0" applyBorder="1" applyAlignment="1">
      <alignment horizontal="center" vertical="center"/>
    </xf>
    <xf numFmtId="0" fontId="0" fillId="0" borderId="175" xfId="0" applyBorder="1" applyAlignment="1">
      <alignment horizontal="left" vertical="center" indent="1"/>
    </xf>
    <xf numFmtId="0" fontId="0" fillId="0" borderId="175" xfId="0" applyBorder="1" applyAlignment="1">
      <alignment vertical="center"/>
    </xf>
    <xf numFmtId="0" fontId="0" fillId="0" borderId="176" xfId="0" applyBorder="1" applyAlignment="1">
      <alignment horizontal="center" vertical="center"/>
    </xf>
    <xf numFmtId="39" fontId="0" fillId="0" borderId="177" xfId="0" applyNumberFormat="1" applyBorder="1" applyAlignment="1">
      <alignment vertical="center"/>
    </xf>
    <xf numFmtId="0" fontId="0" fillId="0" borderId="178" xfId="0" applyBorder="1" applyAlignment="1">
      <alignment horizontal="left" vertical="center" indent="1"/>
    </xf>
    <xf numFmtId="0" fontId="0" fillId="0" borderId="179" xfId="0" applyBorder="1" applyAlignment="1">
      <alignment vertical="center"/>
    </xf>
    <xf numFmtId="39" fontId="0" fillId="0" borderId="181" xfId="0" applyNumberFormat="1" applyBorder="1" applyAlignment="1">
      <alignment vertical="center"/>
    </xf>
    <xf numFmtId="0" fontId="0" fillId="0" borderId="182" xfId="0" applyBorder="1" applyAlignment="1">
      <alignment horizontal="left" vertical="center" indent="1"/>
    </xf>
    <xf numFmtId="0" fontId="0" fillId="0" borderId="183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165" fontId="2" fillId="0" borderId="27" xfId="1" applyFont="1" applyBorder="1" applyAlignment="1" applyProtection="1">
      <alignment vertical="center"/>
    </xf>
    <xf numFmtId="165" fontId="2" fillId="0" borderId="27" xfId="1" applyFont="1" applyBorder="1" applyAlignment="1" applyProtection="1">
      <alignment horizontal="right" vertical="center"/>
    </xf>
    <xf numFmtId="0" fontId="22" fillId="0" borderId="29" xfId="0" applyFont="1" applyBorder="1" applyAlignment="1">
      <alignment horizontal="center" vertical="center"/>
    </xf>
    <xf numFmtId="39" fontId="11" fillId="0" borderId="30" xfId="0" applyNumberFormat="1" applyFont="1" applyBorder="1"/>
    <xf numFmtId="39" fontId="11" fillId="0" borderId="27" xfId="0" applyNumberFormat="1" applyFont="1" applyBorder="1"/>
    <xf numFmtId="165" fontId="11" fillId="0" borderId="27" xfId="1" applyFont="1" applyBorder="1" applyProtection="1"/>
    <xf numFmtId="0" fontId="11" fillId="0" borderId="30" xfId="0" applyFont="1" applyBorder="1"/>
    <xf numFmtId="0" fontId="11" fillId="0" borderId="27" xfId="0" applyFont="1" applyBorder="1"/>
    <xf numFmtId="165" fontId="11" fillId="0" borderId="30" xfId="1" applyFont="1" applyBorder="1" applyAlignment="1" applyProtection="1">
      <alignment horizontal="center"/>
    </xf>
    <xf numFmtId="0" fontId="11" fillId="0" borderId="29" xfId="0" applyFont="1" applyBorder="1"/>
    <xf numFmtId="0" fontId="22" fillId="0" borderId="29" xfId="0" applyFont="1" applyBorder="1" applyAlignment="1">
      <alignment horizontal="center"/>
    </xf>
    <xf numFmtId="0" fontId="11" fillId="0" borderId="43" xfId="0" quotePrefix="1" applyFont="1" applyBorder="1" applyAlignment="1">
      <alignment horizontal="left" vertical="center" indent="1"/>
    </xf>
    <xf numFmtId="0" fontId="11" fillId="0" borderId="46" xfId="0" applyFont="1" applyBorder="1" applyAlignment="1">
      <alignment horizontal="center" vertical="center"/>
    </xf>
    <xf numFmtId="165" fontId="2" fillId="0" borderId="45" xfId="1" applyFont="1" applyBorder="1" applyAlignment="1" applyProtection="1">
      <alignment vertical="center"/>
    </xf>
    <xf numFmtId="165" fontId="2" fillId="0" borderId="30" xfId="1" applyFont="1" applyBorder="1" applyAlignment="1" applyProtection="1">
      <alignment horizontal="right" vertical="center"/>
    </xf>
    <xf numFmtId="165" fontId="11" fillId="0" borderId="30" xfId="1" applyFont="1" applyBorder="1" applyAlignment="1" applyProtection="1">
      <alignment horizontal="right"/>
    </xf>
    <xf numFmtId="165" fontId="11" fillId="0" borderId="30" xfId="1" applyFont="1" applyBorder="1" applyProtection="1"/>
    <xf numFmtId="0" fontId="32" fillId="0" borderId="193" xfId="0" applyFont="1" applyBorder="1" applyAlignment="1">
      <alignment horizontal="right"/>
    </xf>
    <xf numFmtId="0" fontId="2" fillId="0" borderId="194" xfId="0" applyFont="1" applyBorder="1" applyAlignment="1">
      <alignment horizontal="center" vertical="center"/>
    </xf>
    <xf numFmtId="166" fontId="23" fillId="0" borderId="18" xfId="2" applyNumberFormat="1" applyFont="1" applyBorder="1"/>
    <xf numFmtId="165" fontId="0" fillId="0" borderId="75" xfId="1" applyFont="1" applyBorder="1"/>
    <xf numFmtId="166" fontId="32" fillId="0" borderId="75" xfId="2" applyNumberFormat="1" applyFont="1" applyBorder="1"/>
    <xf numFmtId="0" fontId="14" fillId="0" borderId="29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 indent="1"/>
    </xf>
    <xf numFmtId="0" fontId="27" fillId="0" borderId="35" xfId="0" applyFont="1" applyBorder="1" applyAlignment="1">
      <alignment horizontal="center"/>
    </xf>
    <xf numFmtId="0" fontId="27" fillId="0" borderId="37" xfId="0" applyFont="1" applyBorder="1" applyAlignment="1">
      <alignment horizontal="left" indent="1"/>
    </xf>
    <xf numFmtId="0" fontId="27" fillId="0" borderId="37" xfId="0" applyFont="1" applyBorder="1" applyAlignment="1">
      <alignment horizontal="centerContinuous"/>
    </xf>
    <xf numFmtId="0" fontId="27" fillId="0" borderId="38" xfId="0" applyFont="1" applyBorder="1" applyAlignment="1">
      <alignment horizontal="centerContinuous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Continuous"/>
    </xf>
    <xf numFmtId="0" fontId="27" fillId="0" borderId="42" xfId="0" applyFont="1" applyBorder="1"/>
    <xf numFmtId="0" fontId="27" fillId="0" borderId="44" xfId="0" applyFont="1" applyBorder="1" applyAlignment="1">
      <alignment horizontal="left" indent="1"/>
    </xf>
    <xf numFmtId="0" fontId="27" fillId="0" borderId="44" xfId="0" applyFont="1" applyBorder="1"/>
    <xf numFmtId="0" fontId="27" fillId="0" borderId="45" xfId="0" applyFont="1" applyBorder="1"/>
    <xf numFmtId="0" fontId="27" fillId="0" borderId="45" xfId="0" applyFont="1" applyBorder="1" applyAlignment="1">
      <alignment horizontal="center"/>
    </xf>
    <xf numFmtId="0" fontId="28" fillId="0" borderId="154" xfId="0" applyFont="1" applyBorder="1" applyAlignment="1">
      <alignment horizontal="center"/>
    </xf>
    <xf numFmtId="0" fontId="27" fillId="0" borderId="144" xfId="0" applyFont="1" applyBorder="1" applyAlignment="1">
      <alignment horizontal="center"/>
    </xf>
    <xf numFmtId="0" fontId="27" fillId="0" borderId="93" xfId="0" applyFont="1" applyBorder="1" applyAlignment="1">
      <alignment horizontal="left" indent="1"/>
    </xf>
    <xf numFmtId="0" fontId="27" fillId="0" borderId="93" xfId="0" applyFont="1" applyBorder="1"/>
    <xf numFmtId="0" fontId="27" fillId="0" borderId="93" xfId="0" applyFont="1" applyBorder="1" applyAlignment="1">
      <alignment horizontal="center"/>
    </xf>
    <xf numFmtId="39" fontId="27" fillId="0" borderId="96" xfId="0" applyNumberFormat="1" applyFont="1" applyBorder="1" applyAlignment="1">
      <alignment horizontal="center"/>
    </xf>
    <xf numFmtId="39" fontId="27" fillId="0" borderId="96" xfId="0" applyNumberFormat="1" applyFont="1" applyBorder="1"/>
    <xf numFmtId="39" fontId="28" fillId="0" borderId="96" xfId="0" applyNumberFormat="1" applyFont="1" applyBorder="1"/>
    <xf numFmtId="39" fontId="28" fillId="0" borderId="95" xfId="0" applyNumberFormat="1" applyFont="1" applyBorder="1"/>
    <xf numFmtId="0" fontId="27" fillId="0" borderId="188" xfId="0" applyFont="1" applyBorder="1" applyAlignment="1">
      <alignment horizontal="center"/>
    </xf>
    <xf numFmtId="0" fontId="27" fillId="0" borderId="189" xfId="0" applyFont="1" applyBorder="1" applyAlignment="1">
      <alignment horizontal="left" indent="1"/>
    </xf>
    <xf numFmtId="0" fontId="27" fillId="0" borderId="189" xfId="0" applyFont="1" applyBorder="1"/>
    <xf numFmtId="0" fontId="27" fillId="0" borderId="190" xfId="0" applyFont="1" applyBorder="1"/>
    <xf numFmtId="39" fontId="28" fillId="0" borderId="190" xfId="0" applyNumberFormat="1" applyFont="1" applyBorder="1"/>
    <xf numFmtId="39" fontId="28" fillId="0" borderId="191" xfId="0" applyNumberFormat="1" applyFont="1" applyBorder="1"/>
    <xf numFmtId="0" fontId="27" fillId="0" borderId="147" xfId="0" applyFont="1" applyBorder="1" applyAlignment="1">
      <alignment horizontal="center"/>
    </xf>
    <xf numFmtId="0" fontId="27" fillId="0" borderId="32" xfId="0" applyFont="1" applyBorder="1" applyAlignment="1">
      <alignment horizontal="left" indent="1"/>
    </xf>
    <xf numFmtId="0" fontId="27" fillId="0" borderId="32" xfId="0" applyFont="1" applyBorder="1"/>
    <xf numFmtId="0" fontId="27" fillId="0" borderId="112" xfId="0" applyFont="1" applyBorder="1"/>
    <xf numFmtId="0" fontId="27" fillId="0" borderId="33" xfId="0" applyFont="1" applyBorder="1"/>
    <xf numFmtId="39" fontId="28" fillId="0" borderId="33" xfId="0" applyNumberFormat="1" applyFont="1" applyBorder="1"/>
    <xf numFmtId="39" fontId="28" fillId="0" borderId="97" xfId="0" applyNumberFormat="1" applyFont="1" applyBorder="1"/>
    <xf numFmtId="0" fontId="5" fillId="0" borderId="0" xfId="0" applyFont="1"/>
    <xf numFmtId="0" fontId="2" fillId="0" borderId="200" xfId="0" applyFont="1" applyBorder="1" applyAlignment="1">
      <alignment horizontal="center" vertical="center"/>
    </xf>
    <xf numFmtId="0" fontId="14" fillId="0" borderId="201" xfId="0" applyFont="1" applyBorder="1" applyAlignment="1">
      <alignment vertical="center"/>
    </xf>
    <xf numFmtId="0" fontId="2" fillId="0" borderId="201" xfId="0" applyFont="1" applyBorder="1" applyAlignment="1">
      <alignment vertical="center"/>
    </xf>
    <xf numFmtId="0" fontId="2" fillId="0" borderId="202" xfId="0" applyFont="1" applyBorder="1" applyAlignment="1">
      <alignment vertical="center"/>
    </xf>
    <xf numFmtId="0" fontId="2" fillId="0" borderId="203" xfId="0" applyFont="1" applyBorder="1" applyAlignment="1">
      <alignment vertical="center"/>
    </xf>
    <xf numFmtId="166" fontId="2" fillId="0" borderId="203" xfId="2" applyNumberFormat="1" applyFont="1" applyBorder="1" applyAlignment="1" applyProtection="1">
      <alignment vertical="center"/>
    </xf>
    <xf numFmtId="165" fontId="2" fillId="0" borderId="203" xfId="2" applyNumberFormat="1" applyFont="1" applyBorder="1" applyAlignment="1" applyProtection="1">
      <alignment vertical="center"/>
    </xf>
    <xf numFmtId="171" fontId="2" fillId="0" borderId="151" xfId="1" applyNumberFormat="1" applyFont="1" applyBorder="1" applyAlignment="1" applyProtection="1">
      <alignment vertical="center"/>
    </xf>
    <xf numFmtId="165" fontId="2" fillId="0" borderId="151" xfId="1" applyFont="1" applyBorder="1" applyAlignment="1" applyProtection="1">
      <alignment vertical="center"/>
    </xf>
    <xf numFmtId="0" fontId="2" fillId="0" borderId="25" xfId="0" applyFont="1" applyBorder="1" applyAlignment="1">
      <alignment horizontal="center" vertical="center"/>
    </xf>
    <xf numFmtId="171" fontId="2" fillId="0" borderId="27" xfId="1" applyNumberFormat="1" applyFont="1" applyBorder="1" applyAlignment="1" applyProtection="1">
      <alignment vertical="center"/>
    </xf>
    <xf numFmtId="0" fontId="0" fillId="0" borderId="205" xfId="0" applyBorder="1" applyAlignment="1">
      <alignment horizontal="left" vertical="center" indent="1"/>
    </xf>
    <xf numFmtId="0" fontId="14" fillId="0" borderId="17" xfId="0" applyFont="1" applyBorder="1" applyAlignment="1">
      <alignment vertical="center"/>
    </xf>
    <xf numFmtId="0" fontId="0" fillId="0" borderId="8" xfId="0" applyBorder="1" applyAlignment="1">
      <alignment horizontal="left" vertical="center" indent="1"/>
    </xf>
    <xf numFmtId="0" fontId="0" fillId="0" borderId="206" xfId="0" applyBorder="1" applyAlignment="1">
      <alignment horizontal="left" vertical="center" indent="1"/>
    </xf>
    <xf numFmtId="0" fontId="14" fillId="0" borderId="44" xfId="0" applyFont="1" applyBorder="1" applyAlignment="1">
      <alignment vertical="center"/>
    </xf>
    <xf numFmtId="1" fontId="0" fillId="0" borderId="8" xfId="0" applyNumberFormat="1" applyBorder="1" applyAlignment="1">
      <alignment horizontal="left" vertical="center" indent="1"/>
    </xf>
    <xf numFmtId="0" fontId="0" fillId="0" borderId="26" xfId="0" applyBorder="1" applyAlignment="1">
      <alignment horizontal="center" vertical="center"/>
    </xf>
    <xf numFmtId="166" fontId="0" fillId="0" borderId="27" xfId="2" quotePrefix="1" applyNumberFormat="1" applyFont="1" applyBorder="1" applyAlignment="1" applyProtection="1">
      <alignment vertical="center"/>
    </xf>
    <xf numFmtId="165" fontId="0" fillId="0" borderId="30" xfId="2" applyNumberFormat="1" applyFont="1" applyBorder="1" applyAlignment="1" applyProtection="1">
      <alignment vertical="center"/>
    </xf>
    <xf numFmtId="166" fontId="0" fillId="0" borderId="28" xfId="2" applyNumberFormat="1" applyFont="1" applyBorder="1" applyAlignment="1" applyProtection="1">
      <alignment vertical="center"/>
    </xf>
    <xf numFmtId="1" fontId="0" fillId="0" borderId="8" xfId="0" quotePrefix="1" applyNumberFormat="1" applyBorder="1" applyAlignment="1">
      <alignment horizontal="left" vertical="center" indent="1"/>
    </xf>
    <xf numFmtId="1" fontId="0" fillId="0" borderId="0" xfId="0" applyNumberFormat="1" applyAlignment="1">
      <alignment vertical="center"/>
    </xf>
    <xf numFmtId="0" fontId="14" fillId="0" borderId="149" xfId="0" applyFont="1" applyBorder="1" applyAlignment="1">
      <alignment horizontal="left" vertical="center" indent="1"/>
    </xf>
    <xf numFmtId="39" fontId="22" fillId="0" borderId="152" xfId="0" applyNumberFormat="1" applyFont="1" applyBorder="1" applyAlignment="1">
      <alignment vertical="center"/>
    </xf>
    <xf numFmtId="166" fontId="22" fillId="0" borderId="204" xfId="2" applyNumberFormat="1" applyFont="1" applyBorder="1" applyAlignment="1" applyProtection="1">
      <alignment vertical="center"/>
    </xf>
    <xf numFmtId="0" fontId="14" fillId="0" borderId="201" xfId="0" applyFont="1" applyBorder="1" applyAlignment="1">
      <alignment horizontal="left" vertical="center" indent="1"/>
    </xf>
    <xf numFmtId="39" fontId="22" fillId="0" borderId="90" xfId="0" applyNumberFormat="1" applyFont="1" applyBorder="1" applyAlignment="1">
      <alignment vertical="center"/>
    </xf>
    <xf numFmtId="166" fontId="22" fillId="0" borderId="90" xfId="2" applyNumberFormat="1" applyFont="1" applyBorder="1" applyAlignment="1" applyProtection="1">
      <alignment vertical="center"/>
    </xf>
    <xf numFmtId="166" fontId="22" fillId="0" borderId="152" xfId="2" applyNumberFormat="1" applyFont="1" applyBorder="1" applyAlignment="1" applyProtection="1">
      <alignment vertical="center"/>
    </xf>
    <xf numFmtId="39" fontId="2" fillId="0" borderId="207" xfId="0" applyNumberFormat="1" applyFont="1" applyBorder="1" applyAlignment="1">
      <alignment horizontal="center" vertical="center"/>
    </xf>
    <xf numFmtId="39" fontId="2" fillId="0" borderId="209" xfId="0" applyNumberFormat="1" applyFont="1" applyBorder="1" applyAlignment="1">
      <alignment horizontal="center" vertical="center"/>
    </xf>
    <xf numFmtId="39" fontId="14" fillId="0" borderId="3" xfId="0" applyNumberFormat="1" applyFont="1" applyBorder="1" applyAlignment="1">
      <alignment horizontal="left" vertical="center" indent="1"/>
    </xf>
    <xf numFmtId="39" fontId="14" fillId="0" borderId="3" xfId="0" applyNumberFormat="1" applyFont="1" applyBorder="1" applyAlignment="1">
      <alignment vertical="center"/>
    </xf>
    <xf numFmtId="166" fontId="14" fillId="0" borderId="3" xfId="2" applyNumberFormat="1" applyFont="1" applyBorder="1" applyAlignment="1" applyProtection="1">
      <alignment vertical="center"/>
    </xf>
    <xf numFmtId="166" fontId="14" fillId="0" borderId="2" xfId="2" applyNumberFormat="1" applyFont="1" applyBorder="1" applyAlignment="1" applyProtection="1">
      <alignment horizontal="center" vertical="center"/>
    </xf>
    <xf numFmtId="166" fontId="14" fillId="0" borderId="208" xfId="2" applyNumberFormat="1" applyFont="1" applyBorder="1" applyAlignment="1" applyProtection="1">
      <alignment vertical="center"/>
    </xf>
    <xf numFmtId="39" fontId="14" fillId="0" borderId="0" xfId="0" applyNumberFormat="1" applyFont="1" applyAlignment="1">
      <alignment horizontal="left" vertical="center" indent="1"/>
    </xf>
    <xf numFmtId="166" fontId="14" fillId="0" borderId="0" xfId="2" applyNumberFormat="1" applyFont="1" applyBorder="1" applyAlignment="1" applyProtection="1">
      <alignment vertical="center"/>
    </xf>
    <xf numFmtId="166" fontId="14" fillId="0" borderId="8" xfId="2" applyNumberFormat="1" applyFont="1" applyBorder="1" applyAlignment="1" applyProtection="1">
      <alignment horizontal="center" vertical="center"/>
    </xf>
    <xf numFmtId="166" fontId="14" fillId="0" borderId="28" xfId="2" applyNumberFormat="1" applyFont="1" applyBorder="1" applyAlignment="1" applyProtection="1">
      <alignment vertical="center"/>
    </xf>
    <xf numFmtId="39" fontId="14" fillId="0" borderId="24" xfId="0" applyNumberFormat="1" applyFont="1" applyBorder="1" applyAlignment="1">
      <alignment horizontal="left" vertical="center" indent="1"/>
    </xf>
    <xf numFmtId="39" fontId="14" fillId="0" borderId="24" xfId="0" applyNumberFormat="1" applyFont="1" applyBorder="1" applyAlignment="1">
      <alignment vertical="center"/>
    </xf>
    <xf numFmtId="166" fontId="14" fillId="0" borderId="24" xfId="2" applyNumberFormat="1" applyFont="1" applyBorder="1" applyAlignment="1" applyProtection="1">
      <alignment vertical="center"/>
    </xf>
    <xf numFmtId="166" fontId="14" fillId="0" borderId="210" xfId="2" applyNumberFormat="1" applyFont="1" applyBorder="1" applyAlignment="1" applyProtection="1">
      <alignment horizontal="center" vertical="center"/>
    </xf>
    <xf numFmtId="166" fontId="14" fillId="0" borderId="211" xfId="2" applyNumberFormat="1" applyFont="1" applyBorder="1" applyAlignment="1" applyProtection="1">
      <alignment vertical="center"/>
    </xf>
    <xf numFmtId="1" fontId="0" fillId="0" borderId="29" xfId="0" applyNumberFormat="1" applyBorder="1" applyAlignment="1">
      <alignment horizontal="center" vertical="center"/>
    </xf>
    <xf numFmtId="166" fontId="2" fillId="0" borderId="212" xfId="2" applyNumberFormat="1" applyFont="1" applyBorder="1" applyAlignment="1" applyProtection="1">
      <alignment vertical="center"/>
    </xf>
    <xf numFmtId="166" fontId="0" fillId="0" borderId="0" xfId="2" applyNumberFormat="1" applyFont="1"/>
    <xf numFmtId="166" fontId="0" fillId="0" borderId="0" xfId="2" applyNumberFormat="1" applyFont="1" applyAlignment="1">
      <alignment horizontal="center"/>
    </xf>
    <xf numFmtId="165" fontId="0" fillId="0" borderId="0" xfId="1" applyFont="1" applyAlignment="1">
      <alignment horizontal="center"/>
    </xf>
    <xf numFmtId="164" fontId="2" fillId="0" borderId="0" xfId="2" applyFont="1" applyAlignment="1">
      <alignment horizontal="center"/>
    </xf>
    <xf numFmtId="39" fontId="14" fillId="0" borderId="144" xfId="0" applyNumberFormat="1" applyFont="1" applyBorder="1" applyAlignment="1">
      <alignment horizontal="center" vertical="center"/>
    </xf>
    <xf numFmtId="39" fontId="14" fillId="0" borderId="93" xfId="0" applyNumberFormat="1" applyFont="1" applyBorder="1" applyAlignment="1">
      <alignment horizontal="left" vertical="center" indent="1"/>
    </xf>
    <xf numFmtId="39" fontId="14" fillId="0" borderId="93" xfId="0" applyNumberFormat="1" applyFont="1" applyBorder="1" applyAlignment="1">
      <alignment vertical="center"/>
    </xf>
    <xf numFmtId="166" fontId="14" fillId="0" borderId="93" xfId="2" applyNumberFormat="1" applyFont="1" applyBorder="1" applyAlignment="1" applyProtection="1">
      <alignment vertical="center"/>
    </xf>
    <xf numFmtId="166" fontId="14" fillId="0" borderId="145" xfId="2" applyNumberFormat="1" applyFont="1" applyBorder="1" applyAlignment="1" applyProtection="1">
      <alignment horizontal="center" vertical="center"/>
    </xf>
    <xf numFmtId="166" fontId="14" fillId="0" borderId="95" xfId="2" applyNumberFormat="1" applyFont="1" applyBorder="1" applyAlignment="1" applyProtection="1">
      <alignment vertical="center"/>
    </xf>
    <xf numFmtId="39" fontId="14" fillId="0" borderId="25" xfId="0" applyNumberFormat="1" applyFont="1" applyBorder="1" applyAlignment="1">
      <alignment horizontal="center" vertical="center"/>
    </xf>
    <xf numFmtId="39" fontId="14" fillId="0" borderId="146" xfId="0" applyNumberFormat="1" applyFont="1" applyBorder="1" applyAlignment="1">
      <alignment horizontal="center" vertical="center"/>
    </xf>
    <xf numFmtId="39" fontId="14" fillId="0" borderId="44" xfId="0" applyNumberFormat="1" applyFont="1" applyBorder="1" applyAlignment="1">
      <alignment horizontal="left" vertical="center" indent="1"/>
    </xf>
    <xf numFmtId="39" fontId="14" fillId="0" borderId="44" xfId="0" applyNumberFormat="1" applyFont="1" applyBorder="1" applyAlignment="1">
      <alignment vertical="center"/>
    </xf>
    <xf numFmtId="166" fontId="14" fillId="0" borderId="44" xfId="2" applyNumberFormat="1" applyFont="1" applyBorder="1" applyAlignment="1" applyProtection="1">
      <alignment vertical="center"/>
    </xf>
    <xf numFmtId="166" fontId="14" fillId="0" borderId="47" xfId="2" applyNumberFormat="1" applyFont="1" applyBorder="1" applyAlignment="1" applyProtection="1">
      <alignment vertical="center"/>
    </xf>
    <xf numFmtId="0" fontId="14" fillId="0" borderId="144" xfId="0" applyFont="1" applyBorder="1" applyAlignment="1">
      <alignment horizontal="center" vertical="center"/>
    </xf>
    <xf numFmtId="0" fontId="14" fillId="0" borderId="93" xfId="0" applyFont="1" applyBorder="1" applyAlignment="1">
      <alignment horizontal="left" vertical="center" indent="1"/>
    </xf>
    <xf numFmtId="0" fontId="14" fillId="0" borderId="93" xfId="0" applyFont="1" applyBorder="1" applyAlignment="1">
      <alignment vertical="top"/>
    </xf>
    <xf numFmtId="0" fontId="14" fillId="0" borderId="93" xfId="0" applyFont="1" applyBorder="1" applyAlignment="1">
      <alignment vertical="top" wrapText="1"/>
    </xf>
    <xf numFmtId="0" fontId="14" fillId="0" borderId="95" xfId="0" applyFont="1" applyBorder="1" applyAlignment="1">
      <alignment vertical="top" wrapText="1"/>
    </xf>
    <xf numFmtId="0" fontId="14" fillId="0" borderId="146" xfId="0" applyFont="1" applyBorder="1" applyAlignment="1">
      <alignment horizontal="center" vertical="center"/>
    </xf>
    <xf numFmtId="0" fontId="14" fillId="0" borderId="44" xfId="0" applyFont="1" applyBorder="1" applyAlignment="1">
      <alignment horizontal="left" vertical="center" indent="1"/>
    </xf>
    <xf numFmtId="0" fontId="14" fillId="0" borderId="44" xfId="0" applyFont="1" applyBorder="1" applyAlignment="1">
      <alignment vertical="top" wrapText="1"/>
    </xf>
    <xf numFmtId="0" fontId="14" fillId="0" borderId="47" xfId="0" applyFont="1" applyBorder="1" applyAlignment="1">
      <alignment vertical="top" wrapText="1"/>
    </xf>
    <xf numFmtId="166" fontId="23" fillId="0" borderId="0" xfId="2" applyNumberFormat="1" applyFont="1"/>
    <xf numFmtId="0" fontId="18" fillId="0" borderId="0" xfId="0" applyFont="1" applyAlignment="1">
      <alignment horizontal="center" vertical="center"/>
    </xf>
    <xf numFmtId="166" fontId="2" fillId="0" borderId="0" xfId="2" applyNumberFormat="1" applyFont="1" applyBorder="1" applyAlignment="1">
      <alignment vertical="center"/>
    </xf>
    <xf numFmtId="165" fontId="33" fillId="0" borderId="213" xfId="1" applyFont="1" applyBorder="1"/>
    <xf numFmtId="166" fontId="32" fillId="0" borderId="214" xfId="2" applyNumberFormat="1" applyFont="1" applyBorder="1" applyAlignment="1">
      <alignment horizontal="right"/>
    </xf>
    <xf numFmtId="0" fontId="11" fillId="0" borderId="0" xfId="0" applyFont="1"/>
    <xf numFmtId="0" fontId="14" fillId="0" borderId="0" xfId="0" applyFont="1" applyAlignment="1">
      <alignment horizontal="left" vertical="center" indent="1"/>
    </xf>
    <xf numFmtId="1" fontId="11" fillId="0" borderId="0" xfId="0" applyNumberFormat="1" applyFont="1" applyAlignment="1">
      <alignment horizontal="left" vertical="center" indent="1"/>
    </xf>
    <xf numFmtId="1" fontId="2" fillId="0" borderId="0" xfId="0" applyNumberFormat="1" applyFont="1" applyAlignment="1">
      <alignment horizontal="left" vertical="center" indent="1"/>
    </xf>
    <xf numFmtId="39" fontId="2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" fontId="2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2" fillId="0" borderId="215" xfId="0" applyFont="1" applyBorder="1"/>
    <xf numFmtId="166" fontId="2" fillId="0" borderId="143" xfId="2" applyNumberFormat="1" applyFont="1" applyBorder="1"/>
    <xf numFmtId="0" fontId="2" fillId="0" borderId="25" xfId="0" applyFont="1" applyBorder="1"/>
    <xf numFmtId="166" fontId="2" fillId="0" borderId="0" xfId="2" applyNumberFormat="1" applyFont="1" applyBorder="1"/>
    <xf numFmtId="166" fontId="2" fillId="0" borderId="28" xfId="2" applyNumberFormat="1" applyFont="1" applyBorder="1"/>
    <xf numFmtId="39" fontId="18" fillId="0" borderId="25" xfId="0" applyNumberFormat="1" applyFont="1" applyBorder="1" applyAlignment="1">
      <alignment vertical="center"/>
    </xf>
    <xf numFmtId="0" fontId="11" fillId="0" borderId="25" xfId="0" applyFont="1" applyBorder="1" applyAlignment="1">
      <alignment horizontal="left" vertical="center"/>
    </xf>
    <xf numFmtId="165" fontId="11" fillId="0" borderId="0" xfId="2" applyNumberFormat="1" applyFont="1" applyBorder="1" applyAlignment="1" applyProtection="1">
      <alignment vertical="center"/>
    </xf>
    <xf numFmtId="165" fontId="2" fillId="0" borderId="0" xfId="0" applyNumberFormat="1" applyFont="1" applyAlignment="1">
      <alignment vertical="center" wrapText="1"/>
    </xf>
    <xf numFmtId="0" fontId="2" fillId="0" borderId="28" xfId="0" applyFont="1" applyBorder="1" applyAlignment="1">
      <alignment vertical="center" wrapText="1"/>
    </xf>
    <xf numFmtId="39" fontId="2" fillId="0" borderId="0" xfId="0" quotePrefix="1" applyNumberFormat="1" applyFont="1" applyAlignment="1">
      <alignment vertical="center"/>
    </xf>
    <xf numFmtId="166" fontId="2" fillId="0" borderId="0" xfId="2" quotePrefix="1" applyNumberFormat="1" applyFont="1" applyBorder="1" applyAlignment="1" applyProtection="1">
      <alignment vertical="center"/>
    </xf>
    <xf numFmtId="39" fontId="11" fillId="0" borderId="25" xfId="0" applyNumberFormat="1" applyFont="1" applyBorder="1" applyAlignment="1">
      <alignment vertical="center"/>
    </xf>
    <xf numFmtId="166" fontId="0" fillId="0" borderId="28" xfId="2" applyNumberFormat="1" applyFont="1" applyBorder="1" applyAlignment="1" applyProtection="1">
      <alignment horizontal="right" vertical="center"/>
    </xf>
    <xf numFmtId="0" fontId="11" fillId="0" borderId="0" xfId="0" applyFont="1" applyAlignment="1">
      <alignment horizontal="left" indent="1"/>
    </xf>
    <xf numFmtId="0" fontId="22" fillId="0" borderId="0" xfId="0" applyFont="1" applyAlignment="1">
      <alignment horizontal="left" vertical="center" indent="1"/>
    </xf>
    <xf numFmtId="0" fontId="0" fillId="0" borderId="26" xfId="0" applyBorder="1" applyAlignment="1">
      <alignment horizontal="left" indent="1"/>
    </xf>
    <xf numFmtId="166" fontId="22" fillId="7" borderId="39" xfId="2" applyNumberFormat="1" applyFont="1" applyFill="1" applyBorder="1" applyAlignment="1" applyProtection="1">
      <alignment horizontal="center" vertical="center" wrapText="1"/>
    </xf>
    <xf numFmtId="166" fontId="22" fillId="7" borderId="40" xfId="2" applyNumberFormat="1" applyFont="1" applyFill="1" applyBorder="1" applyAlignment="1" applyProtection="1">
      <alignment horizontal="center" vertical="center" wrapText="1"/>
    </xf>
    <xf numFmtId="166" fontId="14" fillId="7" borderId="27" xfId="2" applyNumberFormat="1" applyFont="1" applyFill="1" applyBorder="1" applyAlignment="1">
      <alignment horizontal="center" vertical="center" wrapText="1"/>
    </xf>
    <xf numFmtId="166" fontId="14" fillId="7" borderId="41" xfId="2" applyNumberFormat="1" applyFont="1" applyFill="1" applyBorder="1" applyAlignment="1">
      <alignment horizontal="center" vertical="center" wrapText="1"/>
    </xf>
    <xf numFmtId="166" fontId="22" fillId="7" borderId="197" xfId="2" applyNumberFormat="1" applyFont="1" applyFill="1" applyBorder="1" applyAlignment="1" applyProtection="1">
      <alignment horizontal="center" vertical="center"/>
    </xf>
    <xf numFmtId="166" fontId="22" fillId="7" borderId="199" xfId="2" applyNumberFormat="1" applyFont="1" applyFill="1" applyBorder="1" applyAlignment="1" applyProtection="1">
      <alignment horizontal="center" vertical="center"/>
    </xf>
    <xf numFmtId="0" fontId="2" fillId="0" borderId="0" xfId="2" applyNumberFormat="1" applyFont="1" applyAlignment="1" applyProtection="1">
      <alignment vertical="center"/>
    </xf>
    <xf numFmtId="166" fontId="16" fillId="0" borderId="0" xfId="2" applyNumberFormat="1" applyFont="1"/>
    <xf numFmtId="39" fontId="14" fillId="7" borderId="39" xfId="0" applyNumberFormat="1" applyFont="1" applyFill="1" applyBorder="1" applyAlignment="1">
      <alignment vertical="center" wrapText="1"/>
    </xf>
    <xf numFmtId="39" fontId="14" fillId="7" borderId="218" xfId="0" applyNumberFormat="1" applyFont="1" applyFill="1" applyBorder="1" applyAlignment="1">
      <alignment horizontal="center" vertical="center" wrapText="1"/>
    </xf>
    <xf numFmtId="39" fontId="14" fillId="7" borderId="198" xfId="0" applyNumberFormat="1" applyFont="1" applyFill="1" applyBorder="1" applyAlignment="1">
      <alignment vertical="center" wrapText="1"/>
    </xf>
    <xf numFmtId="39" fontId="2" fillId="0" borderId="218" xfId="0" applyNumberFormat="1" applyFont="1" applyBorder="1" applyAlignment="1">
      <alignment horizontal="center" vertical="center"/>
    </xf>
    <xf numFmtId="166" fontId="2" fillId="0" borderId="218" xfId="2" applyNumberFormat="1" applyFont="1" applyBorder="1" applyAlignment="1" applyProtection="1">
      <alignment vertical="center"/>
    </xf>
    <xf numFmtId="39" fontId="0" fillId="0" borderId="218" xfId="0" applyNumberFormat="1" applyBorder="1" applyAlignment="1">
      <alignment horizontal="center" vertical="center"/>
    </xf>
    <xf numFmtId="0" fontId="2" fillId="0" borderId="218" xfId="2" applyNumberFormat="1" applyFont="1" applyBorder="1" applyAlignment="1" applyProtection="1">
      <alignment horizontal="center" vertical="center"/>
    </xf>
    <xf numFmtId="0" fontId="22" fillId="0" borderId="217" xfId="0" applyFont="1" applyBorder="1" applyAlignment="1">
      <alignment horizontal="left" indent="1"/>
    </xf>
    <xf numFmtId="0" fontId="2" fillId="0" borderId="218" xfId="0" applyFont="1" applyBorder="1" applyAlignment="1">
      <alignment vertical="center"/>
    </xf>
    <xf numFmtId="0" fontId="11" fillId="0" borderId="217" xfId="0" applyFont="1" applyBorder="1" applyAlignment="1">
      <alignment horizontal="left" indent="1"/>
    </xf>
    <xf numFmtId="0" fontId="11" fillId="0" borderId="0" xfId="0" quotePrefix="1" applyFont="1"/>
    <xf numFmtId="0" fontId="0" fillId="0" borderId="175" xfId="0" quotePrefix="1" applyBorder="1" applyAlignment="1">
      <alignment horizontal="left" vertical="center" indent="1"/>
    </xf>
    <xf numFmtId="0" fontId="0" fillId="0" borderId="220" xfId="0" applyBorder="1" applyAlignment="1">
      <alignment horizontal="left" vertical="center" indent="1"/>
    </xf>
    <xf numFmtId="0" fontId="0" fillId="0" borderId="221" xfId="0" applyBorder="1" applyAlignment="1">
      <alignment vertical="center"/>
    </xf>
    <xf numFmtId="0" fontId="0" fillId="0" borderId="222" xfId="0" applyBorder="1" applyAlignment="1">
      <alignment horizontal="center" vertical="center"/>
    </xf>
    <xf numFmtId="0" fontId="0" fillId="0" borderId="223" xfId="0" applyBorder="1" applyAlignment="1">
      <alignment horizontal="center" vertical="center"/>
    </xf>
    <xf numFmtId="0" fontId="0" fillId="0" borderId="224" xfId="0" quotePrefix="1" applyBorder="1" applyAlignment="1">
      <alignment horizontal="right" vertical="center"/>
    </xf>
    <xf numFmtId="0" fontId="0" fillId="0" borderId="175" xfId="0" applyBorder="1" applyAlignment="1">
      <alignment horizontal="left" vertical="center"/>
    </xf>
    <xf numFmtId="0" fontId="0" fillId="0" borderId="220" xfId="0" quotePrefix="1" applyBorder="1" applyAlignment="1">
      <alignment horizontal="right" vertical="center"/>
    </xf>
    <xf numFmtId="39" fontId="0" fillId="0" borderId="225" xfId="0" applyNumberFormat="1" applyBorder="1" applyAlignment="1">
      <alignment vertical="center"/>
    </xf>
    <xf numFmtId="0" fontId="0" fillId="0" borderId="226" xfId="0" applyBorder="1" applyAlignment="1">
      <alignment horizontal="center" vertical="center"/>
    </xf>
    <xf numFmtId="0" fontId="0" fillId="0" borderId="227" xfId="0" applyBorder="1" applyAlignment="1">
      <alignment horizontal="left" vertical="center" indent="1"/>
    </xf>
    <xf numFmtId="0" fontId="0" fillId="0" borderId="228" xfId="0" applyBorder="1" applyAlignment="1">
      <alignment horizontal="centerContinuous" vertical="center"/>
    </xf>
    <xf numFmtId="0" fontId="0" fillId="0" borderId="229" xfId="0" applyBorder="1" applyAlignment="1">
      <alignment horizontal="centerContinuous" vertical="center"/>
    </xf>
    <xf numFmtId="0" fontId="0" fillId="0" borderId="230" xfId="0" applyBorder="1" applyAlignment="1">
      <alignment horizontal="center" vertical="center"/>
    </xf>
    <xf numFmtId="0" fontId="0" fillId="0" borderId="175" xfId="0" applyBorder="1" applyAlignment="1">
      <alignment horizontal="right" vertical="center"/>
    </xf>
    <xf numFmtId="0" fontId="0" fillId="0" borderId="175" xfId="0" quotePrefix="1" applyBorder="1" applyAlignment="1">
      <alignment horizontal="left" vertical="center"/>
    </xf>
    <xf numFmtId="166" fontId="0" fillId="0" borderId="229" xfId="2" applyNumberFormat="1" applyFont="1" applyFill="1" applyBorder="1" applyAlignment="1" applyProtection="1">
      <alignment horizontal="centerContinuous" vertical="center"/>
    </xf>
    <xf numFmtId="0" fontId="0" fillId="0" borderId="231" xfId="0" applyBorder="1" applyAlignment="1">
      <alignment horizontal="left" vertical="center" indent="1"/>
    </xf>
    <xf numFmtId="0" fontId="0" fillId="0" borderId="183" xfId="0" applyBorder="1" applyAlignment="1">
      <alignment horizontal="left" vertical="center"/>
    </xf>
    <xf numFmtId="0" fontId="0" fillId="0" borderId="227" xfId="0" applyBorder="1" applyAlignment="1">
      <alignment horizontal="right" vertical="center"/>
    </xf>
    <xf numFmtId="0" fontId="0" fillId="0" borderId="228" xfId="0" applyBorder="1" applyAlignment="1">
      <alignment horizontal="center" vertical="center"/>
    </xf>
    <xf numFmtId="1" fontId="0" fillId="0" borderId="175" xfId="0" applyNumberFormat="1" applyBorder="1" applyAlignment="1">
      <alignment vertical="center"/>
    </xf>
    <xf numFmtId="1" fontId="0" fillId="0" borderId="228" xfId="0" applyNumberFormat="1" applyBorder="1" applyAlignment="1">
      <alignment horizontal="center" vertical="center"/>
    </xf>
    <xf numFmtId="165" fontId="0" fillId="0" borderId="175" xfId="1" applyFont="1" applyFill="1" applyBorder="1" applyAlignment="1">
      <alignment vertical="center"/>
    </xf>
    <xf numFmtId="0" fontId="0" fillId="0" borderId="232" xfId="0" applyBorder="1" applyAlignment="1">
      <alignment vertical="center"/>
    </xf>
    <xf numFmtId="0" fontId="0" fillId="0" borderId="233" xfId="0" applyBorder="1" applyAlignment="1">
      <alignment vertical="center"/>
    </xf>
    <xf numFmtId="0" fontId="0" fillId="0" borderId="234" xfId="0" applyBorder="1" applyAlignment="1">
      <alignment vertical="center"/>
    </xf>
    <xf numFmtId="0" fontId="0" fillId="0" borderId="235" xfId="0" applyBorder="1" applyAlignment="1">
      <alignment vertical="center"/>
    </xf>
    <xf numFmtId="0" fontId="0" fillId="0" borderId="236" xfId="0" applyBorder="1" applyAlignment="1">
      <alignment vertical="center"/>
    </xf>
    <xf numFmtId="0" fontId="0" fillId="0" borderId="237" xfId="0" applyBorder="1" applyAlignment="1">
      <alignment vertical="center"/>
    </xf>
    <xf numFmtId="0" fontId="11" fillId="0" borderId="217" xfId="0" applyFont="1" applyBorder="1" applyAlignment="1">
      <alignment horizontal="center" vertical="center"/>
    </xf>
    <xf numFmtId="166" fontId="11" fillId="0" borderId="218" xfId="2" applyNumberFormat="1" applyFont="1" applyBorder="1" applyProtection="1"/>
    <xf numFmtId="39" fontId="8" fillId="0" borderId="30" xfId="0" applyNumberFormat="1" applyFont="1" applyBorder="1" applyAlignment="1">
      <alignment horizontal="center"/>
    </xf>
    <xf numFmtId="2" fontId="16" fillId="0" borderId="238" xfId="0" applyNumberFormat="1" applyFont="1" applyBorder="1"/>
    <xf numFmtId="0" fontId="16" fillId="0" borderId="218" xfId="0" applyFont="1" applyBorder="1"/>
    <xf numFmtId="39" fontId="16" fillId="0" borderId="239" xfId="0" applyNumberFormat="1" applyFont="1" applyBorder="1"/>
    <xf numFmtId="1" fontId="8" fillId="0" borderId="0" xfId="0" applyNumberFormat="1" applyFont="1" applyAlignment="1">
      <alignment horizontal="left" indent="1"/>
    </xf>
    <xf numFmtId="39" fontId="16" fillId="0" borderId="218" xfId="0" applyNumberFormat="1" applyFont="1" applyBorder="1"/>
    <xf numFmtId="2" fontId="16" fillId="0" borderId="240" xfId="0" applyNumberFormat="1" applyFont="1" applyBorder="1"/>
    <xf numFmtId="166" fontId="2" fillId="0" borderId="28" xfId="2" applyNumberFormat="1" applyFont="1" applyBorder="1" applyAlignment="1">
      <alignment vertical="center"/>
    </xf>
    <xf numFmtId="166" fontId="11" fillId="0" borderId="47" xfId="2" applyNumberFormat="1" applyFont="1" applyBorder="1"/>
    <xf numFmtId="166" fontId="11" fillId="0" borderId="28" xfId="2" applyNumberFormat="1" applyFont="1" applyBorder="1" applyAlignment="1">
      <alignment vertical="center"/>
    </xf>
    <xf numFmtId="166" fontId="2" fillId="0" borderId="157" xfId="2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35" fillId="0" borderId="75" xfId="0" applyFont="1" applyBorder="1" applyAlignment="1">
      <alignment horizontal="center"/>
    </xf>
    <xf numFmtId="0" fontId="35" fillId="0" borderId="242" xfId="0" applyFont="1" applyBorder="1" applyAlignment="1">
      <alignment horizontal="left" indent="1"/>
    </xf>
    <xf numFmtId="0" fontId="35" fillId="0" borderId="242" xfId="0" applyFont="1" applyBorder="1" applyAlignment="1">
      <alignment horizontal="center"/>
    </xf>
    <xf numFmtId="0" fontId="35" fillId="0" borderId="213" xfId="0" applyFont="1" applyBorder="1" applyAlignment="1">
      <alignment horizontal="center"/>
    </xf>
    <xf numFmtId="0" fontId="35" fillId="0" borderId="0" xfId="0" applyFont="1"/>
    <xf numFmtId="0" fontId="36" fillId="0" borderId="75" xfId="0" applyFont="1" applyBorder="1" applyAlignment="1">
      <alignment horizontal="center" vertical="center"/>
    </xf>
    <xf numFmtId="0" fontId="36" fillId="0" borderId="172" xfId="0" applyFont="1" applyBorder="1" applyAlignment="1">
      <alignment horizontal="center"/>
    </xf>
    <xf numFmtId="0" fontId="36" fillId="0" borderId="243" xfId="0" applyFont="1" applyBorder="1" applyAlignment="1">
      <alignment horizontal="center"/>
    </xf>
    <xf numFmtId="0" fontId="35" fillId="0" borderId="244" xfId="0" applyFont="1" applyBorder="1" applyAlignment="1">
      <alignment horizontal="center"/>
    </xf>
    <xf numFmtId="0" fontId="36" fillId="0" borderId="245" xfId="0" applyFont="1" applyBorder="1" applyAlignment="1">
      <alignment horizontal="center"/>
    </xf>
    <xf numFmtId="0" fontId="35" fillId="0" borderId="245" xfId="0" applyFont="1" applyBorder="1" applyAlignment="1">
      <alignment horizontal="center"/>
    </xf>
    <xf numFmtId="0" fontId="35" fillId="0" borderId="246" xfId="0" applyFont="1" applyBorder="1" applyAlignment="1">
      <alignment horizontal="center"/>
    </xf>
    <xf numFmtId="0" fontId="36" fillId="0" borderId="75" xfId="0" applyFont="1" applyBorder="1" applyAlignment="1">
      <alignment horizontal="center"/>
    </xf>
    <xf numFmtId="165" fontId="35" fillId="0" borderId="0" xfId="1" applyFont="1"/>
    <xf numFmtId="0" fontId="35" fillId="0" borderId="0" xfId="0" applyFont="1" applyAlignment="1">
      <alignment horizontal="center"/>
    </xf>
    <xf numFmtId="0" fontId="36" fillId="0" borderId="247" xfId="0" applyFont="1" applyBorder="1"/>
    <xf numFmtId="0" fontId="36" fillId="0" borderId="248" xfId="0" applyFont="1" applyBorder="1"/>
    <xf numFmtId="0" fontId="36" fillId="0" borderId="249" xfId="0" applyFont="1" applyBorder="1"/>
    <xf numFmtId="0" fontId="36" fillId="0" borderId="250" xfId="0" applyFont="1" applyBorder="1"/>
    <xf numFmtId="0" fontId="35" fillId="0" borderId="251" xfId="0" applyFont="1" applyBorder="1"/>
    <xf numFmtId="0" fontId="35" fillId="0" borderId="252" xfId="0" applyFont="1" applyBorder="1"/>
    <xf numFmtId="0" fontId="36" fillId="0" borderId="253" xfId="0" applyFont="1" applyBorder="1" applyAlignment="1">
      <alignment horizontal="left" indent="1"/>
    </xf>
    <xf numFmtId="0" fontId="36" fillId="0" borderId="254" xfId="0" applyFont="1" applyBorder="1" applyAlignment="1">
      <alignment horizontal="left" indent="1"/>
    </xf>
    <xf numFmtId="0" fontId="35" fillId="0" borderId="253" xfId="0" applyFont="1" applyBorder="1" applyAlignment="1">
      <alignment horizontal="left" indent="1"/>
    </xf>
    <xf numFmtId="0" fontId="35" fillId="0" borderId="254" xfId="0" applyFont="1" applyBorder="1" applyAlignment="1">
      <alignment horizontal="left" indent="1"/>
    </xf>
    <xf numFmtId="0" fontId="35" fillId="0" borderId="255" xfId="0" applyFont="1" applyBorder="1" applyAlignment="1">
      <alignment horizontal="left" indent="1"/>
    </xf>
    <xf numFmtId="0" fontId="35" fillId="0" borderId="256" xfId="0" applyFont="1" applyBorder="1" applyAlignment="1">
      <alignment horizontal="left" indent="1"/>
    </xf>
    <xf numFmtId="0" fontId="36" fillId="0" borderId="241" xfId="0" applyFont="1" applyBorder="1" applyAlignment="1">
      <alignment horizontal="left" indent="1"/>
    </xf>
    <xf numFmtId="0" fontId="36" fillId="0" borderId="213" xfId="0" applyFont="1" applyBorder="1" applyAlignment="1">
      <alignment horizontal="left" indent="1"/>
    </xf>
    <xf numFmtId="0" fontId="35" fillId="0" borderId="251" xfId="0" applyFont="1" applyBorder="1" applyAlignment="1">
      <alignment horizontal="left" indent="1"/>
    </xf>
    <xf numFmtId="0" fontId="35" fillId="0" borderId="252" xfId="0" applyFont="1" applyBorder="1" applyAlignment="1">
      <alignment horizontal="left" indent="1"/>
    </xf>
    <xf numFmtId="0" fontId="36" fillId="0" borderId="249" xfId="0" applyFont="1" applyBorder="1" applyAlignment="1">
      <alignment horizontal="left" indent="1"/>
    </xf>
    <xf numFmtId="0" fontId="36" fillId="0" borderId="250" xfId="0" applyFont="1" applyBorder="1" applyAlignment="1">
      <alignment horizontal="left" indent="1"/>
    </xf>
    <xf numFmtId="0" fontId="35" fillId="0" borderId="254" xfId="0" applyFont="1" applyBorder="1" applyAlignment="1">
      <alignment horizontal="left"/>
    </xf>
    <xf numFmtId="166" fontId="35" fillId="0" borderId="245" xfId="2" applyNumberFormat="1" applyFont="1" applyBorder="1" applyAlignment="1">
      <alignment horizontal="center"/>
    </xf>
    <xf numFmtId="166" fontId="35" fillId="0" borderId="246" xfId="2" applyNumberFormat="1" applyFont="1" applyBorder="1" applyAlignment="1">
      <alignment horizontal="center"/>
    </xf>
    <xf numFmtId="166" fontId="36" fillId="0" borderId="75" xfId="2" applyNumberFormat="1" applyFont="1" applyBorder="1" applyAlignment="1">
      <alignment horizontal="center"/>
    </xf>
    <xf numFmtId="166" fontId="35" fillId="0" borderId="244" xfId="2" applyNumberFormat="1" applyFont="1" applyBorder="1" applyAlignment="1">
      <alignment horizontal="center"/>
    </xf>
    <xf numFmtId="166" fontId="36" fillId="0" borderId="245" xfId="2" applyNumberFormat="1" applyFont="1" applyBorder="1" applyAlignment="1">
      <alignment horizontal="center"/>
    </xf>
    <xf numFmtId="166" fontId="36" fillId="0" borderId="243" xfId="2" applyNumberFormat="1" applyFont="1" applyBorder="1" applyAlignment="1">
      <alignment horizontal="center"/>
    </xf>
    <xf numFmtId="165" fontId="38" fillId="9" borderId="0" xfId="14" applyNumberFormat="1" applyFont="1" applyFill="1" applyAlignment="1">
      <alignment horizontal="center" vertical="center"/>
    </xf>
    <xf numFmtId="165" fontId="38" fillId="9" borderId="0" xfId="14" applyNumberFormat="1" applyFont="1" applyFill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36" fillId="8" borderId="75" xfId="0" applyFont="1" applyFill="1" applyBorder="1" applyAlignment="1">
      <alignment horizontal="center" vertical="center"/>
    </xf>
    <xf numFmtId="0" fontId="36" fillId="8" borderId="75" xfId="0" applyFont="1" applyFill="1" applyBorder="1" applyAlignment="1">
      <alignment horizontal="center" vertical="center" wrapText="1"/>
    </xf>
    <xf numFmtId="0" fontId="36" fillId="8" borderId="241" xfId="0" applyFont="1" applyFill="1" applyBorder="1" applyAlignment="1">
      <alignment horizontal="center" vertical="center"/>
    </xf>
    <xf numFmtId="0" fontId="36" fillId="9" borderId="257" xfId="0" applyFont="1" applyFill="1" applyBorder="1" applyAlignment="1">
      <alignment horizontal="center" vertical="center"/>
    </xf>
    <xf numFmtId="0" fontId="36" fillId="8" borderId="213" xfId="0" applyFont="1" applyFill="1" applyBorder="1" applyAlignment="1">
      <alignment horizontal="center" vertical="center"/>
    </xf>
    <xf numFmtId="0" fontId="35" fillId="8" borderId="75" xfId="0" applyFont="1" applyFill="1" applyBorder="1" applyAlignment="1">
      <alignment horizontal="center" vertical="center"/>
    </xf>
    <xf numFmtId="0" fontId="35" fillId="8" borderId="241" xfId="0" applyFont="1" applyFill="1" applyBorder="1" applyAlignment="1">
      <alignment horizontal="center" vertical="center"/>
    </xf>
    <xf numFmtId="0" fontId="35" fillId="9" borderId="257" xfId="0" applyFont="1" applyFill="1" applyBorder="1" applyAlignment="1">
      <alignment horizontal="center" vertical="center"/>
    </xf>
    <xf numFmtId="0" fontId="35" fillId="8" borderId="213" xfId="0" applyFont="1" applyFill="1" applyBorder="1" applyAlignment="1">
      <alignment horizontal="center" vertical="center"/>
    </xf>
    <xf numFmtId="0" fontId="35" fillId="9" borderId="241" xfId="0" applyFont="1" applyFill="1" applyBorder="1" applyAlignment="1">
      <alignment horizontal="center" vertical="center"/>
    </xf>
    <xf numFmtId="0" fontId="35" fillId="9" borderId="242" xfId="0" applyFont="1" applyFill="1" applyBorder="1" applyAlignment="1">
      <alignment horizontal="center" vertical="center"/>
    </xf>
    <xf numFmtId="0" fontId="35" fillId="9" borderId="213" xfId="0" applyFont="1" applyFill="1" applyBorder="1" applyAlignment="1">
      <alignment horizontal="center" vertical="center"/>
    </xf>
    <xf numFmtId="0" fontId="35" fillId="8" borderId="242" xfId="0" applyFont="1" applyFill="1" applyBorder="1" applyAlignment="1">
      <alignment vertical="center"/>
    </xf>
    <xf numFmtId="0" fontId="35" fillId="9" borderId="257" xfId="0" applyFont="1" applyFill="1" applyBorder="1" applyAlignment="1">
      <alignment vertical="center"/>
    </xf>
    <xf numFmtId="0" fontId="35" fillId="8" borderId="213" xfId="0" applyFont="1" applyFill="1" applyBorder="1" applyAlignment="1">
      <alignment vertical="center"/>
    </xf>
    <xf numFmtId="0" fontId="35" fillId="0" borderId="257" xfId="0" applyFont="1" applyBorder="1" applyAlignment="1">
      <alignment vertical="center"/>
    </xf>
    <xf numFmtId="0" fontId="35" fillId="0" borderId="15" xfId="0" applyFont="1" applyBorder="1" applyAlignment="1">
      <alignment horizontal="center" vertical="center"/>
    </xf>
    <xf numFmtId="0" fontId="35" fillId="9" borderId="257" xfId="0" applyFont="1" applyFill="1" applyBorder="1" applyAlignment="1">
      <alignment horizontal="left" vertical="center" wrapText="1"/>
    </xf>
    <xf numFmtId="0" fontId="35" fillId="0" borderId="75" xfId="0" applyFont="1" applyBorder="1" applyAlignment="1">
      <alignment horizontal="center" vertical="center"/>
    </xf>
    <xf numFmtId="0" fontId="36" fillId="0" borderId="75" xfId="0" quotePrefix="1" applyFont="1" applyBorder="1" applyAlignment="1">
      <alignment horizontal="center" vertical="center"/>
    </xf>
    <xf numFmtId="0" fontId="35" fillId="0" borderId="75" xfId="0" applyFont="1" applyBorder="1" applyAlignment="1">
      <alignment vertical="center"/>
    </xf>
    <xf numFmtId="164" fontId="36" fillId="0" borderId="75" xfId="2" applyFont="1" applyBorder="1" applyAlignment="1">
      <alignment vertical="center"/>
    </xf>
    <xf numFmtId="0" fontId="35" fillId="0" borderId="241" xfId="0" applyFont="1" applyBorder="1" applyAlignment="1">
      <alignment vertical="center"/>
    </xf>
    <xf numFmtId="0" fontId="35" fillId="0" borderId="213" xfId="0" applyFont="1" applyBorder="1" applyAlignment="1">
      <alignment horizontal="center" vertical="center"/>
    </xf>
    <xf numFmtId="0" fontId="35" fillId="0" borderId="12" xfId="0" applyFont="1" applyBorder="1" applyAlignment="1">
      <alignment vertical="center"/>
    </xf>
    <xf numFmtId="0" fontId="36" fillId="0" borderId="241" xfId="0" quotePrefix="1" applyFont="1" applyBorder="1" applyAlignment="1">
      <alignment horizontal="center" vertical="center"/>
    </xf>
    <xf numFmtId="0" fontId="36" fillId="0" borderId="242" xfId="0" applyFont="1" applyBorder="1" applyAlignment="1">
      <alignment horizontal="left" vertical="center"/>
    </xf>
    <xf numFmtId="0" fontId="35" fillId="0" borderId="242" xfId="0" applyFont="1" applyBorder="1" applyAlignment="1">
      <alignment vertical="center"/>
    </xf>
    <xf numFmtId="164" fontId="35" fillId="0" borderId="242" xfId="2" applyFont="1" applyBorder="1" applyAlignment="1">
      <alignment vertical="center"/>
    </xf>
    <xf numFmtId="0" fontId="35" fillId="0" borderId="213" xfId="0" applyFont="1" applyBorder="1" applyAlignment="1">
      <alignment vertical="center"/>
    </xf>
    <xf numFmtId="0" fontId="35" fillId="8" borderId="242" xfId="0" applyFont="1" applyFill="1" applyBorder="1" applyAlignment="1">
      <alignment vertical="center" wrapText="1"/>
    </xf>
    <xf numFmtId="0" fontId="35" fillId="9" borderId="257" xfId="0" applyFont="1" applyFill="1" applyBorder="1" applyAlignment="1">
      <alignment vertical="center" wrapText="1"/>
    </xf>
    <xf numFmtId="0" fontId="35" fillId="8" borderId="213" xfId="0" applyFont="1" applyFill="1" applyBorder="1" applyAlignment="1">
      <alignment horizontal="center" vertical="center" wrapText="1"/>
    </xf>
    <xf numFmtId="0" fontId="35" fillId="8" borderId="213" xfId="0" applyFont="1" applyFill="1" applyBorder="1" applyAlignment="1">
      <alignment vertical="center" wrapText="1"/>
    </xf>
    <xf numFmtId="164" fontId="35" fillId="0" borderId="15" xfId="2" applyFont="1" applyBorder="1" applyAlignment="1">
      <alignment vertical="center"/>
    </xf>
    <xf numFmtId="0" fontId="35" fillId="0" borderId="12" xfId="0" applyFont="1" applyBorder="1" applyAlignment="1">
      <alignment vertical="center" wrapText="1"/>
    </xf>
    <xf numFmtId="10" fontId="35" fillId="0" borderId="213" xfId="12" applyNumberFormat="1" applyFont="1" applyBorder="1" applyAlignment="1">
      <alignment horizontal="center" vertical="center"/>
    </xf>
    <xf numFmtId="170" fontId="35" fillId="0" borderId="213" xfId="0" applyNumberFormat="1" applyFont="1" applyBorder="1" applyAlignment="1">
      <alignment vertical="center" wrapText="1"/>
    </xf>
    <xf numFmtId="0" fontId="35" fillId="0" borderId="241" xfId="0" applyFont="1" applyBorder="1" applyAlignment="1">
      <alignment vertical="center" wrapText="1"/>
    </xf>
    <xf numFmtId="0" fontId="40" fillId="0" borderId="75" xfId="0" applyFont="1" applyBorder="1" applyAlignment="1">
      <alignment horizontal="center" vertical="center"/>
    </xf>
    <xf numFmtId="164" fontId="35" fillId="0" borderId="75" xfId="2" applyFont="1" applyBorder="1" applyAlignment="1">
      <alignment horizontal="center" vertical="center"/>
    </xf>
    <xf numFmtId="0" fontId="35" fillId="0" borderId="241" xfId="0" applyFont="1" applyBorder="1" applyAlignment="1">
      <alignment horizontal="left" vertical="center"/>
    </xf>
    <xf numFmtId="0" fontId="35" fillId="9" borderId="257" xfId="0" applyFont="1" applyFill="1" applyBorder="1" applyAlignment="1">
      <alignment horizontal="left" vertical="center"/>
    </xf>
    <xf numFmtId="0" fontId="35" fillId="0" borderId="241" xfId="0" applyFont="1" applyBorder="1" applyAlignment="1">
      <alignment horizontal="left" vertical="center" wrapText="1"/>
    </xf>
    <xf numFmtId="164" fontId="36" fillId="0" borderId="75" xfId="2" applyFont="1" applyBorder="1" applyAlignment="1">
      <alignment horizontal="center" vertical="center"/>
    </xf>
    <xf numFmtId="0" fontId="35" fillId="0" borderId="213" xfId="0" applyFont="1" applyBorder="1" applyAlignment="1">
      <alignment horizontal="center" vertical="center" wrapText="1"/>
    </xf>
    <xf numFmtId="0" fontId="35" fillId="0" borderId="241" xfId="0" applyFont="1" applyBorder="1" applyAlignment="1">
      <alignment horizontal="center" vertical="center"/>
    </xf>
    <xf numFmtId="0" fontId="35" fillId="0" borderId="213" xfId="0" applyFont="1" applyBorder="1" applyAlignment="1">
      <alignment horizontal="left" vertical="center"/>
    </xf>
    <xf numFmtId="164" fontId="35" fillId="8" borderId="242" xfId="2" applyFont="1" applyFill="1" applyBorder="1" applyAlignment="1">
      <alignment vertical="center"/>
    </xf>
    <xf numFmtId="0" fontId="35" fillId="8" borderId="242" xfId="0" applyFont="1" applyFill="1" applyBorder="1" applyAlignment="1">
      <alignment horizontal="left" vertical="center"/>
    </xf>
    <xf numFmtId="0" fontId="35" fillId="8" borderId="213" xfId="0" applyFont="1" applyFill="1" applyBorder="1" applyAlignment="1">
      <alignment horizontal="left" vertical="center"/>
    </xf>
    <xf numFmtId="164" fontId="35" fillId="0" borderId="15" xfId="2" applyFont="1" applyBorder="1" applyAlignment="1">
      <alignment horizontal="center" vertical="center"/>
    </xf>
    <xf numFmtId="0" fontId="35" fillId="0" borderId="12" xfId="0" applyFont="1" applyBorder="1" applyAlignment="1">
      <alignment horizontal="left" vertical="center"/>
    </xf>
    <xf numFmtId="0" fontId="6" fillId="0" borderId="241" xfId="0" applyFont="1" applyBorder="1" applyAlignment="1">
      <alignment horizontal="center" vertical="center"/>
    </xf>
    <xf numFmtId="41" fontId="35" fillId="0" borderId="213" xfId="12" applyNumberFormat="1" applyFont="1" applyBorder="1" applyAlignment="1">
      <alignment horizontal="center" vertical="center"/>
    </xf>
    <xf numFmtId="10" fontId="35" fillId="0" borderId="213" xfId="12" applyNumberFormat="1" applyFont="1" applyBorder="1" applyAlignment="1">
      <alignment horizontal="center" vertical="center" wrapText="1"/>
    </xf>
    <xf numFmtId="0" fontId="37" fillId="0" borderId="0" xfId="13" applyAlignment="1">
      <alignment vertical="center"/>
    </xf>
    <xf numFmtId="170" fontId="35" fillId="0" borderId="213" xfId="0" applyNumberFormat="1" applyFont="1" applyBorder="1" applyAlignment="1">
      <alignment horizontal="left" vertical="center"/>
    </xf>
    <xf numFmtId="0" fontId="35" fillId="0" borderId="213" xfId="0" applyFont="1" applyBorder="1" applyAlignment="1">
      <alignment vertical="center" wrapText="1"/>
    </xf>
    <xf numFmtId="0" fontId="6" fillId="0" borderId="213" xfId="0" applyFont="1" applyBorder="1" applyAlignment="1">
      <alignment vertical="center"/>
    </xf>
    <xf numFmtId="170" fontId="35" fillId="0" borderId="213" xfId="0" applyNumberFormat="1" applyFont="1" applyBorder="1" applyAlignment="1">
      <alignment horizontal="left" vertical="center" wrapText="1"/>
    </xf>
    <xf numFmtId="0" fontId="35" fillId="0" borderId="15" xfId="0" applyFont="1" applyBorder="1" applyAlignment="1">
      <alignment vertical="center"/>
    </xf>
    <xf numFmtId="164" fontId="35" fillId="0" borderId="75" xfId="2" applyFont="1" applyBorder="1" applyAlignment="1">
      <alignment vertical="center"/>
    </xf>
    <xf numFmtId="0" fontId="35" fillId="0" borderId="242" xfId="0" applyFont="1" applyBorder="1" applyAlignment="1">
      <alignment horizontal="center" vertical="center"/>
    </xf>
    <xf numFmtId="0" fontId="35" fillId="8" borderId="242" xfId="0" applyFont="1" applyFill="1" applyBorder="1" applyAlignment="1">
      <alignment vertical="top" wrapText="1"/>
    </xf>
    <xf numFmtId="0" fontId="35" fillId="9" borderId="257" xfId="0" applyFont="1" applyFill="1" applyBorder="1" applyAlignment="1">
      <alignment vertical="top" wrapText="1"/>
    </xf>
    <xf numFmtId="0" fontId="35" fillId="8" borderId="213" xfId="0" applyFont="1" applyFill="1" applyBorder="1" applyAlignment="1">
      <alignment horizontal="center" vertical="top" wrapText="1"/>
    </xf>
    <xf numFmtId="0" fontId="35" fillId="8" borderId="213" xfId="0" applyFont="1" applyFill="1" applyBorder="1" applyAlignment="1">
      <alignment vertical="top" wrapText="1"/>
    </xf>
    <xf numFmtId="0" fontId="35" fillId="9" borderId="257" xfId="0" applyFont="1" applyFill="1" applyBorder="1" applyAlignment="1">
      <alignment horizontal="left" vertical="top" wrapText="1"/>
    </xf>
    <xf numFmtId="0" fontId="35" fillId="0" borderId="12" xfId="0" applyFont="1" applyBorder="1" applyAlignment="1">
      <alignment horizontal="left" vertical="center" wrapText="1"/>
    </xf>
    <xf numFmtId="10" fontId="35" fillId="0" borderId="213" xfId="0" applyNumberFormat="1" applyFont="1" applyBorder="1" applyAlignment="1">
      <alignment horizontal="center" vertical="center"/>
    </xf>
    <xf numFmtId="41" fontId="36" fillId="0" borderId="75" xfId="0" applyNumberFormat="1" applyFont="1" applyBorder="1" applyAlignment="1">
      <alignment vertical="center"/>
    </xf>
    <xf numFmtId="41" fontId="35" fillId="0" borderId="213" xfId="0" applyNumberFormat="1" applyFont="1" applyBorder="1" applyAlignment="1">
      <alignment vertical="center"/>
    </xf>
    <xf numFmtId="0" fontId="2" fillId="0" borderId="258" xfId="0" applyFont="1" applyBorder="1" applyAlignment="1">
      <alignment vertical="center"/>
    </xf>
    <xf numFmtId="0" fontId="11" fillId="0" borderId="258" xfId="0" applyFont="1" applyBorder="1" applyAlignment="1">
      <alignment horizontal="center"/>
    </xf>
    <xf numFmtId="166" fontId="11" fillId="0" borderId="258" xfId="2" applyNumberFormat="1" applyFont="1" applyBorder="1" applyAlignment="1" applyProtection="1">
      <alignment horizontal="right"/>
    </xf>
    <xf numFmtId="165" fontId="11" fillId="0" borderId="258" xfId="2" applyNumberFormat="1" applyFont="1" applyBorder="1" applyAlignment="1" applyProtection="1">
      <alignment horizontal="right"/>
    </xf>
    <xf numFmtId="164" fontId="21" fillId="0" borderId="0" xfId="2" applyFont="1"/>
    <xf numFmtId="166" fontId="2" fillId="0" borderId="259" xfId="2" applyNumberFormat="1" applyFont="1" applyBorder="1" applyAlignment="1" applyProtection="1">
      <alignment vertical="center"/>
    </xf>
    <xf numFmtId="166" fontId="0" fillId="0" borderId="259" xfId="2" applyNumberFormat="1" applyFont="1" applyBorder="1" applyAlignment="1" applyProtection="1">
      <alignment vertical="center"/>
    </xf>
    <xf numFmtId="0" fontId="35" fillId="0" borderId="243" xfId="0" applyFont="1" applyBorder="1" applyAlignment="1">
      <alignment horizontal="center"/>
    </xf>
    <xf numFmtId="166" fontId="35" fillId="0" borderId="243" xfId="2" applyNumberFormat="1" applyFont="1" applyBorder="1" applyAlignment="1">
      <alignment horizontal="center"/>
    </xf>
    <xf numFmtId="0" fontId="36" fillId="0" borderId="244" xfId="0" applyFont="1" applyBorder="1" applyAlignment="1">
      <alignment horizontal="center"/>
    </xf>
    <xf numFmtId="0" fontId="36" fillId="0" borderId="251" xfId="0" applyFont="1" applyBorder="1" applyAlignment="1">
      <alignment horizontal="left" indent="1"/>
    </xf>
    <xf numFmtId="0" fontId="36" fillId="0" borderId="252" xfId="0" applyFont="1" applyBorder="1" applyAlignment="1">
      <alignment horizontal="left" indent="1"/>
    </xf>
    <xf numFmtId="166" fontId="36" fillId="0" borderId="244" xfId="2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0" borderId="218" xfId="0" applyFont="1" applyBorder="1" applyAlignment="1">
      <alignment vertical="center"/>
    </xf>
    <xf numFmtId="166" fontId="11" fillId="0" borderId="218" xfId="2" applyNumberFormat="1" applyFont="1" applyBorder="1" applyAlignment="1" applyProtection="1">
      <alignment vertical="center"/>
    </xf>
    <xf numFmtId="165" fontId="11" fillId="0" borderId="218" xfId="2" applyNumberFormat="1" applyFont="1" applyBorder="1" applyAlignment="1" applyProtection="1">
      <alignment vertical="center"/>
    </xf>
    <xf numFmtId="0" fontId="11" fillId="0" borderId="218" xfId="0" applyFont="1" applyBorder="1" applyAlignment="1">
      <alignment horizontal="center" vertical="center"/>
    </xf>
    <xf numFmtId="0" fontId="35" fillId="0" borderId="260" xfId="0" applyFont="1" applyBorder="1" applyAlignment="1">
      <alignment horizontal="center"/>
    </xf>
    <xf numFmtId="165" fontId="23" fillId="0" borderId="30" xfId="2" applyNumberFormat="1" applyFont="1" applyBorder="1" applyAlignment="1" applyProtection="1">
      <alignment vertical="center"/>
    </xf>
    <xf numFmtId="166" fontId="23" fillId="0" borderId="27" xfId="2" quotePrefix="1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 indent="1"/>
    </xf>
    <xf numFmtId="1" fontId="35" fillId="3" borderId="254" xfId="0" applyNumberFormat="1" applyFont="1" applyFill="1" applyBorder="1" applyAlignment="1">
      <alignment horizontal="left"/>
    </xf>
    <xf numFmtId="0" fontId="35" fillId="3" borderId="260" xfId="0" applyFont="1" applyFill="1" applyBorder="1" applyAlignment="1">
      <alignment horizontal="center"/>
    </xf>
    <xf numFmtId="0" fontId="35" fillId="3" borderId="245" xfId="0" applyFont="1" applyFill="1" applyBorder="1" applyAlignment="1">
      <alignment horizontal="center"/>
    </xf>
    <xf numFmtId="166" fontId="0" fillId="3" borderId="259" xfId="2" applyNumberFormat="1" applyFont="1" applyFill="1" applyBorder="1" applyAlignment="1" applyProtection="1">
      <alignment vertical="center"/>
    </xf>
    <xf numFmtId="166" fontId="35" fillId="3" borderId="260" xfId="2" applyNumberFormat="1" applyFont="1" applyFill="1" applyBorder="1" applyAlignment="1">
      <alignment horizontal="center"/>
    </xf>
    <xf numFmtId="166" fontId="35" fillId="3" borderId="245" xfId="2" applyNumberFormat="1" applyFont="1" applyFill="1" applyBorder="1" applyAlignment="1">
      <alignment horizontal="center"/>
    </xf>
    <xf numFmtId="0" fontId="11" fillId="0" borderId="258" xfId="0" applyFont="1" applyBorder="1" applyAlignment="1">
      <alignment horizontal="left" vertical="center" wrapText="1" indent="1"/>
    </xf>
    <xf numFmtId="0" fontId="2" fillId="0" borderId="217" xfId="0" applyFont="1" applyBorder="1" applyAlignment="1">
      <alignment vertical="center"/>
    </xf>
    <xf numFmtId="165" fontId="11" fillId="0" borderId="258" xfId="2" applyNumberFormat="1" applyFont="1" applyBorder="1" applyAlignment="1" applyProtection="1">
      <alignment vertical="center"/>
    </xf>
    <xf numFmtId="1" fontId="0" fillId="0" borderId="26" xfId="0" quotePrefix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22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Continuous" vertical="center"/>
    </xf>
    <xf numFmtId="0" fontId="2" fillId="0" borderId="0" xfId="0" applyFont="1" applyBorder="1"/>
    <xf numFmtId="0" fontId="2" fillId="0" borderId="0" xfId="0" applyFont="1" applyBorder="1" applyAlignment="1">
      <alignment horizontal="centerContinuous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2" fillId="0" borderId="261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166" fontId="2" fillId="0" borderId="53" xfId="2" applyNumberFormat="1" applyFont="1" applyFill="1" applyBorder="1" applyAlignment="1"/>
    <xf numFmtId="0" fontId="2" fillId="2" borderId="53" xfId="0" applyFont="1" applyFill="1" applyBorder="1" applyAlignment="1">
      <alignment vertical="center"/>
    </xf>
    <xf numFmtId="166" fontId="2" fillId="2" borderId="263" xfId="2" applyNumberFormat="1" applyFont="1" applyFill="1" applyBorder="1" applyAlignment="1">
      <alignment vertical="center"/>
    </xf>
    <xf numFmtId="0" fontId="2" fillId="2" borderId="264" xfId="0" applyFont="1" applyFill="1" applyBorder="1" applyAlignment="1">
      <alignment vertical="center"/>
    </xf>
    <xf numFmtId="0" fontId="2" fillId="2" borderId="265" xfId="0" applyFont="1" applyFill="1" applyBorder="1" applyAlignment="1">
      <alignment horizontal="center" vertical="center"/>
    </xf>
    <xf numFmtId="166" fontId="2" fillId="2" borderId="266" xfId="2" applyNumberFormat="1" applyFont="1" applyFill="1" applyBorder="1" applyAlignment="1">
      <alignment vertical="center"/>
    </xf>
    <xf numFmtId="0" fontId="2" fillId="2" borderId="53" xfId="0" applyFont="1" applyFill="1" applyBorder="1" applyAlignment="1">
      <alignment horizontal="center" vertical="center"/>
    </xf>
    <xf numFmtId="166" fontId="2" fillId="2" borderId="262" xfId="2" applyNumberFormat="1" applyFont="1" applyFill="1" applyBorder="1" applyAlignment="1">
      <alignment vertical="center"/>
    </xf>
    <xf numFmtId="166" fontId="2" fillId="2" borderId="267" xfId="2" applyNumberFormat="1" applyFont="1" applyFill="1" applyBorder="1" applyAlignment="1">
      <alignment vertical="center"/>
    </xf>
    <xf numFmtId="0" fontId="0" fillId="0" borderId="53" xfId="0" applyBorder="1" applyAlignment="1">
      <alignment horizontal="left" vertical="center" indent="1"/>
    </xf>
    <xf numFmtId="0" fontId="2" fillId="0" borderId="268" xfId="0" applyFont="1" applyBorder="1" applyAlignment="1">
      <alignment horizontal="centerContinuous" vertical="center"/>
    </xf>
    <xf numFmtId="0" fontId="2" fillId="0" borderId="269" xfId="0" applyFont="1" applyBorder="1" applyAlignment="1">
      <alignment horizontal="left" vertical="center" indent="1"/>
    </xf>
    <xf numFmtId="0" fontId="22" fillId="0" borderId="270" xfId="0" applyFont="1" applyBorder="1" applyAlignment="1">
      <alignment horizontal="left" vertical="center" indent="1"/>
    </xf>
    <xf numFmtId="0" fontId="0" fillId="0" borderId="60" xfId="0" applyBorder="1" applyAlignment="1">
      <alignment horizontal="left" indent="1"/>
    </xf>
    <xf numFmtId="0" fontId="11" fillId="0" borderId="270" xfId="0" applyFont="1" applyBorder="1" applyAlignment="1">
      <alignment horizontal="left" vertical="center" indent="1"/>
    </xf>
    <xf numFmtId="0" fontId="2" fillId="0" borderId="270" xfId="0" applyFont="1" applyBorder="1" applyAlignment="1">
      <alignment horizontal="left" vertical="center" indent="1"/>
    </xf>
    <xf numFmtId="0" fontId="2" fillId="0" borderId="270" xfId="0" applyFont="1" applyBorder="1" applyAlignment="1">
      <alignment horizontal="left" indent="1"/>
    </xf>
    <xf numFmtId="0" fontId="0" fillId="0" borderId="270" xfId="0" applyBorder="1" applyAlignment="1">
      <alignment horizontal="left" indent="1"/>
    </xf>
    <xf numFmtId="0" fontId="0" fillId="2" borderId="270" xfId="0" applyFill="1" applyBorder="1" applyAlignment="1">
      <alignment horizontal="left" vertical="center" indent="1"/>
    </xf>
    <xf numFmtId="0" fontId="2" fillId="2" borderId="270" xfId="0" applyFont="1" applyFill="1" applyBorder="1" applyAlignment="1">
      <alignment horizontal="left" vertical="center" indent="1"/>
    </xf>
    <xf numFmtId="0" fontId="2" fillId="0" borderId="271" xfId="0" applyFont="1" applyBorder="1" applyAlignment="1">
      <alignment horizontal="left" vertical="center" indent="1"/>
    </xf>
    <xf numFmtId="0" fontId="0" fillId="0" borderId="63" xfId="0" applyBorder="1" applyAlignment="1">
      <alignment horizontal="left" indent="1"/>
    </xf>
    <xf numFmtId="0" fontId="0" fillId="0" borderId="53" xfId="0" quotePrefix="1" applyBorder="1" applyAlignment="1">
      <alignment horizontal="left" vertical="center"/>
    </xf>
    <xf numFmtId="0" fontId="2" fillId="0" borderId="53" xfId="0" quotePrefix="1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 indent="2"/>
    </xf>
    <xf numFmtId="0" fontId="2" fillId="0" borderId="53" xfId="0" quotePrefix="1" applyFont="1" applyBorder="1" applyAlignment="1">
      <alignment horizontal="left" vertical="center" indent="2"/>
    </xf>
    <xf numFmtId="0" fontId="0" fillId="0" borderId="53" xfId="0" quotePrefix="1" applyBorder="1" applyAlignment="1">
      <alignment horizontal="left" vertical="center" indent="2"/>
    </xf>
    <xf numFmtId="1" fontId="2" fillId="0" borderId="53" xfId="0" applyNumberFormat="1" applyFont="1" applyBorder="1" applyAlignment="1">
      <alignment horizontal="left" vertical="center" indent="2"/>
    </xf>
    <xf numFmtId="1" fontId="0" fillId="0" borderId="53" xfId="0" applyNumberFormat="1" applyBorder="1" applyAlignment="1">
      <alignment horizontal="left" vertical="center" indent="2"/>
    </xf>
    <xf numFmtId="1" fontId="23" fillId="0" borderId="53" xfId="0" applyNumberFormat="1" applyFont="1" applyBorder="1" applyAlignment="1">
      <alignment horizontal="left" vertical="center" indent="2"/>
    </xf>
    <xf numFmtId="0" fontId="0" fillId="0" borderId="53" xfId="0" applyBorder="1" applyAlignment="1">
      <alignment horizontal="left" vertical="center" indent="2"/>
    </xf>
    <xf numFmtId="0" fontId="0" fillId="0" borderId="53" xfId="0" quotePrefix="1" applyFont="1" applyBorder="1" applyAlignment="1">
      <alignment horizontal="left" vertical="center"/>
    </xf>
    <xf numFmtId="0" fontId="0" fillId="0" borderId="272" xfId="0" applyBorder="1" applyAlignment="1">
      <alignment horizontal="center" vertical="center"/>
    </xf>
    <xf numFmtId="0" fontId="0" fillId="0" borderId="273" xfId="0" quotePrefix="1" applyBorder="1" applyAlignment="1">
      <alignment horizontal="left" vertical="center" indent="1"/>
    </xf>
    <xf numFmtId="0" fontId="0" fillId="0" borderId="273" xfId="0" applyBorder="1" applyAlignment="1">
      <alignment vertical="center"/>
    </xf>
    <xf numFmtId="0" fontId="0" fillId="0" borderId="273" xfId="0" applyBorder="1" applyAlignment="1">
      <alignment horizontal="left" vertical="center"/>
    </xf>
    <xf numFmtId="0" fontId="0" fillId="0" borderId="274" xfId="0" applyBorder="1" applyAlignment="1">
      <alignment horizontal="left" vertical="center"/>
    </xf>
    <xf numFmtId="0" fontId="0" fillId="0" borderId="275" xfId="0" applyBorder="1" applyAlignment="1">
      <alignment horizontal="centerContinuous" vertical="center"/>
    </xf>
    <xf numFmtId="166" fontId="0" fillId="0" borderId="276" xfId="2" applyNumberFormat="1" applyFont="1" applyFill="1" applyBorder="1" applyAlignment="1" applyProtection="1">
      <alignment horizontal="centerContinuous" vertical="center"/>
    </xf>
    <xf numFmtId="0" fontId="0" fillId="0" borderId="56" xfId="0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53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54" xfId="0" applyBorder="1" applyAlignment="1">
      <alignment horizontal="centerContinuous" vertical="center"/>
    </xf>
    <xf numFmtId="166" fontId="0" fillId="0" borderId="55" xfId="2" applyNumberFormat="1" applyFont="1" applyFill="1" applyBorder="1" applyAlignment="1" applyProtection="1">
      <alignment horizontal="centerContinuous" vertical="center"/>
    </xf>
    <xf numFmtId="0" fontId="0" fillId="0" borderId="277" xfId="0" applyBorder="1" applyAlignment="1">
      <alignment horizontal="center" vertical="center"/>
    </xf>
    <xf numFmtId="0" fontId="0" fillId="0" borderId="278" xfId="0" applyBorder="1" applyAlignment="1">
      <alignment horizontal="right" vertical="center"/>
    </xf>
    <xf numFmtId="0" fontId="0" fillId="0" borderId="278" xfId="0" quotePrefix="1" applyBorder="1" applyAlignment="1">
      <alignment horizontal="left" vertical="center"/>
    </xf>
    <xf numFmtId="0" fontId="0" fillId="0" borderId="278" xfId="0" applyBorder="1" applyAlignment="1">
      <alignment horizontal="left" vertical="center"/>
    </xf>
    <xf numFmtId="0" fontId="0" fillId="0" borderId="279" xfId="0" applyBorder="1" applyAlignment="1">
      <alignment horizontal="left" vertical="center"/>
    </xf>
    <xf numFmtId="0" fontId="0" fillId="0" borderId="280" xfId="0" applyBorder="1" applyAlignment="1">
      <alignment horizontal="centerContinuous" vertical="center"/>
    </xf>
    <xf numFmtId="166" fontId="0" fillId="0" borderId="281" xfId="2" applyNumberFormat="1" applyFont="1" applyFill="1" applyBorder="1" applyAlignment="1" applyProtection="1">
      <alignment horizontal="centerContinuous" vertical="center"/>
    </xf>
    <xf numFmtId="0" fontId="10" fillId="0" borderId="0" xfId="0" applyFont="1" applyAlignment="1">
      <alignment horizontal="left" vertical="center"/>
    </xf>
    <xf numFmtId="165" fontId="6" fillId="0" borderId="218" xfId="1" applyFont="1" applyBorder="1" applyAlignment="1" applyProtection="1">
      <alignment horizontal="left" vertical="center" indent="1"/>
    </xf>
    <xf numFmtId="165" fontId="2" fillId="0" borderId="218" xfId="1" applyFont="1" applyBorder="1" applyAlignment="1" applyProtection="1">
      <alignment horizontal="left" vertical="center" indent="1"/>
    </xf>
    <xf numFmtId="165" fontId="2" fillId="0" borderId="258" xfId="1" applyFont="1" applyBorder="1" applyAlignment="1" applyProtection="1">
      <alignment horizontal="left" vertical="center" indent="1"/>
    </xf>
    <xf numFmtId="165" fontId="11" fillId="0" borderId="218" xfId="1" applyFont="1" applyBorder="1" applyAlignment="1" applyProtection="1">
      <alignment horizontal="left" vertical="center" indent="1"/>
    </xf>
    <xf numFmtId="39" fontId="2" fillId="0" borderId="44" xfId="0" applyNumberFormat="1" applyFont="1" applyBorder="1" applyAlignment="1">
      <alignment horizontal="left" vertical="center" indent="1"/>
    </xf>
    <xf numFmtId="0" fontId="2" fillId="10" borderId="89" xfId="0" applyFont="1" applyFill="1" applyBorder="1" applyAlignment="1">
      <alignment vertical="center"/>
    </xf>
    <xf numFmtId="39" fontId="2" fillId="10" borderId="90" xfId="0" applyNumberFormat="1" applyFont="1" applyFill="1" applyBorder="1" applyAlignment="1">
      <alignment vertical="center"/>
    </xf>
    <xf numFmtId="39" fontId="2" fillId="10" borderId="27" xfId="0" applyNumberFormat="1" applyFont="1" applyFill="1" applyBorder="1" applyAlignment="1">
      <alignment vertical="center"/>
    </xf>
    <xf numFmtId="39" fontId="2" fillId="10" borderId="0" xfId="0" applyNumberFormat="1" applyFont="1" applyFill="1" applyAlignment="1">
      <alignment vertical="center"/>
    </xf>
    <xf numFmtId="39" fontId="2" fillId="10" borderId="28" xfId="0" applyNumberFormat="1" applyFont="1" applyFill="1" applyBorder="1" applyAlignment="1">
      <alignment vertical="center"/>
    </xf>
    <xf numFmtId="39" fontId="2" fillId="10" borderId="27" xfId="0" quotePrefix="1" applyNumberFormat="1" applyFont="1" applyFill="1" applyBorder="1" applyAlignment="1">
      <alignment horizontal="center" vertical="center"/>
    </xf>
    <xf numFmtId="39" fontId="2" fillId="10" borderId="93" xfId="0" applyNumberFormat="1" applyFont="1" applyFill="1" applyBorder="1" applyAlignment="1">
      <alignment vertical="center"/>
    </xf>
    <xf numFmtId="39" fontId="2" fillId="10" borderId="94" xfId="0" applyNumberFormat="1" applyFont="1" applyFill="1" applyBorder="1" applyAlignment="1">
      <alignment vertical="center"/>
    </xf>
    <xf numFmtId="39" fontId="2" fillId="10" borderId="95" xfId="0" applyNumberFormat="1" applyFont="1" applyFill="1" applyBorder="1" applyAlignment="1">
      <alignment vertical="center"/>
    </xf>
    <xf numFmtId="39" fontId="2" fillId="10" borderId="46" xfId="0" applyNumberFormat="1" applyFont="1" applyFill="1" applyBorder="1" applyAlignment="1">
      <alignment horizontal="left" vertical="center" indent="1"/>
    </xf>
    <xf numFmtId="39" fontId="2" fillId="10" borderId="44" xfId="0" applyNumberFormat="1" applyFont="1" applyFill="1" applyBorder="1" applyAlignment="1">
      <alignment horizontal="left" vertical="center"/>
    </xf>
    <xf numFmtId="0" fontId="2" fillId="10" borderId="44" xfId="0" applyFont="1" applyFill="1" applyBorder="1"/>
    <xf numFmtId="39" fontId="2" fillId="10" borderId="46" xfId="0" applyNumberFormat="1" applyFont="1" applyFill="1" applyBorder="1" applyAlignment="1">
      <alignment vertical="center"/>
    </xf>
    <xf numFmtId="39" fontId="2" fillId="10" borderId="47" xfId="0" applyNumberFormat="1" applyFont="1" applyFill="1" applyBorder="1" applyAlignment="1">
      <alignment vertical="center"/>
    </xf>
    <xf numFmtId="39" fontId="2" fillId="10" borderId="96" xfId="0" applyNumberFormat="1" applyFont="1" applyFill="1" applyBorder="1" applyAlignment="1">
      <alignment vertical="center"/>
    </xf>
    <xf numFmtId="0" fontId="2" fillId="11" borderId="88" xfId="0" applyFont="1" applyFill="1" applyBorder="1" applyAlignment="1">
      <alignment horizontal="center" vertical="center"/>
    </xf>
    <xf numFmtId="0" fontId="0" fillId="11" borderId="89" xfId="0" applyFill="1" applyBorder="1" applyAlignment="1">
      <alignment vertical="center"/>
    </xf>
    <xf numFmtId="0" fontId="2" fillId="11" borderId="89" xfId="0" applyFont="1" applyFill="1" applyBorder="1" applyAlignment="1">
      <alignment vertical="center"/>
    </xf>
    <xf numFmtId="39" fontId="2" fillId="11" borderId="89" xfId="0" applyNumberFormat="1" applyFont="1" applyFill="1" applyBorder="1" applyAlignment="1">
      <alignment vertical="center"/>
    </xf>
    <xf numFmtId="39" fontId="2" fillId="11" borderId="90" xfId="0" applyNumberFormat="1" applyFont="1" applyFill="1" applyBorder="1" applyAlignment="1">
      <alignment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0" xfId="0" applyFont="1" applyFill="1"/>
    <xf numFmtId="0" fontId="2" fillId="11" borderId="0" xfId="0" applyFont="1" applyFill="1" applyAlignment="1">
      <alignment vertical="center"/>
    </xf>
    <xf numFmtId="0" fontId="2" fillId="11" borderId="91" xfId="0" applyFont="1" applyFill="1" applyBorder="1" applyAlignment="1">
      <alignment horizontal="center" vertical="center"/>
    </xf>
    <xf numFmtId="39" fontId="2" fillId="11" borderId="27" xfId="0" applyNumberFormat="1" applyFont="1" applyFill="1" applyBorder="1" applyAlignment="1">
      <alignment vertical="center"/>
    </xf>
    <xf numFmtId="39" fontId="2" fillId="11" borderId="0" xfId="0" applyNumberFormat="1" applyFont="1" applyFill="1" applyAlignment="1">
      <alignment vertical="center"/>
    </xf>
    <xf numFmtId="39" fontId="2" fillId="11" borderId="28" xfId="0" applyNumberFormat="1" applyFont="1" applyFill="1" applyBorder="1" applyAlignment="1">
      <alignment vertical="center"/>
    </xf>
    <xf numFmtId="0" fontId="2" fillId="11" borderId="0" xfId="0" applyFont="1" applyFill="1" applyAlignment="1">
      <alignment horizontal="center"/>
    </xf>
    <xf numFmtId="0" fontId="2" fillId="11" borderId="92" xfId="0" applyFont="1" applyFill="1" applyBorder="1" applyAlignment="1">
      <alignment horizontal="center" vertical="center"/>
    </xf>
    <xf numFmtId="39" fontId="2" fillId="11" borderId="27" xfId="0" quotePrefix="1" applyNumberFormat="1" applyFont="1" applyFill="1" applyBorder="1" applyAlignment="1">
      <alignment horizontal="center" vertical="center"/>
    </xf>
    <xf numFmtId="0" fontId="2" fillId="11" borderId="0" xfId="0" quotePrefix="1" applyFont="1" applyFill="1" applyAlignment="1">
      <alignment vertical="center"/>
    </xf>
    <xf numFmtId="0" fontId="2" fillId="11" borderId="0" xfId="0" applyFont="1" applyFill="1" applyAlignment="1">
      <alignment horizontal="center" vertical="center"/>
    </xf>
    <xf numFmtId="0" fontId="2" fillId="11" borderId="30" xfId="0" applyFont="1" applyFill="1" applyBorder="1" applyAlignment="1">
      <alignment vertical="center"/>
    </xf>
    <xf numFmtId="39" fontId="2" fillId="11" borderId="93" xfId="0" applyNumberFormat="1" applyFont="1" applyFill="1" applyBorder="1" applyAlignment="1">
      <alignment vertical="center"/>
    </xf>
    <xf numFmtId="39" fontId="2" fillId="11" borderId="94" xfId="0" applyNumberFormat="1" applyFont="1" applyFill="1" applyBorder="1" applyAlignment="1">
      <alignment vertical="center"/>
    </xf>
    <xf numFmtId="39" fontId="2" fillId="11" borderId="94" xfId="0" quotePrefix="1" applyNumberFormat="1" applyFont="1" applyFill="1" applyBorder="1" applyAlignment="1">
      <alignment horizontal="center" vertical="center"/>
    </xf>
    <xf numFmtId="39" fontId="2" fillId="11" borderId="95" xfId="0" applyNumberFormat="1" applyFont="1" applyFill="1" applyBorder="1" applyAlignment="1">
      <alignment vertical="center"/>
    </xf>
    <xf numFmtId="39" fontId="0" fillId="11" borderId="30" xfId="0" applyNumberFormat="1" applyFill="1" applyBorder="1" applyAlignment="1">
      <alignment horizontal="left" vertical="center" indent="1"/>
    </xf>
    <xf numFmtId="39" fontId="2" fillId="11" borderId="0" xfId="0" applyNumberFormat="1" applyFont="1" applyFill="1" applyAlignment="1">
      <alignment horizontal="left" vertical="center"/>
    </xf>
    <xf numFmtId="39" fontId="2" fillId="11" borderId="46" xfId="0" applyNumberFormat="1" applyFont="1" applyFill="1" applyBorder="1" applyAlignment="1">
      <alignment horizontal="left" vertical="center" indent="1"/>
    </xf>
    <xf numFmtId="39" fontId="2" fillId="11" borderId="44" xfId="0" applyNumberFormat="1" applyFont="1" applyFill="1" applyBorder="1" applyAlignment="1">
      <alignment horizontal="left" vertical="center"/>
    </xf>
    <xf numFmtId="0" fontId="2" fillId="11" borderId="44" xfId="0" applyFont="1" applyFill="1" applyBorder="1"/>
    <xf numFmtId="39" fontId="2" fillId="11" borderId="46" xfId="0" applyNumberFormat="1" applyFont="1" applyFill="1" applyBorder="1" applyAlignment="1">
      <alignment vertical="center"/>
    </xf>
    <xf numFmtId="39" fontId="2" fillId="11" borderId="47" xfId="0" applyNumberFormat="1" applyFont="1" applyFill="1" applyBorder="1" applyAlignment="1">
      <alignment vertical="center"/>
    </xf>
    <xf numFmtId="39" fontId="2" fillId="11" borderId="96" xfId="0" applyNumberFormat="1" applyFont="1" applyFill="1" applyBorder="1" applyAlignment="1">
      <alignment vertical="center"/>
    </xf>
    <xf numFmtId="39" fontId="2" fillId="0" borderId="0" xfId="0" applyNumberFormat="1" applyFont="1" applyBorder="1" applyAlignment="1">
      <alignment vertical="center"/>
    </xf>
    <xf numFmtId="0" fontId="14" fillId="10" borderId="174" xfId="0" applyFont="1" applyFill="1" applyBorder="1" applyAlignment="1">
      <alignment horizontal="center" vertical="center"/>
    </xf>
    <xf numFmtId="0" fontId="14" fillId="10" borderId="178" xfId="0" applyFont="1" applyFill="1" applyBorder="1" applyAlignment="1">
      <alignment horizontal="left" vertical="center" indent="1"/>
    </xf>
    <xf numFmtId="0" fontId="0" fillId="10" borderId="175" xfId="0" applyFill="1" applyBorder="1" applyAlignment="1">
      <alignment vertical="center"/>
    </xf>
    <xf numFmtId="0" fontId="0" fillId="10" borderId="179" xfId="0" applyFill="1" applyBorder="1" applyAlignment="1">
      <alignment vertical="center"/>
    </xf>
    <xf numFmtId="0" fontId="8" fillId="10" borderId="180" xfId="0" applyFont="1" applyFill="1" applyBorder="1" applyAlignment="1">
      <alignment horizontal="center" vertical="center"/>
    </xf>
    <xf numFmtId="39" fontId="8" fillId="10" borderId="181" xfId="0" applyNumberFormat="1" applyFont="1" applyFill="1" applyBorder="1" applyAlignment="1">
      <alignment vertical="center"/>
    </xf>
    <xf numFmtId="0" fontId="0" fillId="10" borderId="174" xfId="0" applyFill="1" applyBorder="1" applyAlignment="1">
      <alignment horizontal="center" vertical="center"/>
    </xf>
    <xf numFmtId="0" fontId="0" fillId="10" borderId="178" xfId="0" applyFill="1" applyBorder="1" applyAlignment="1">
      <alignment horizontal="left" vertical="center" indent="1"/>
    </xf>
    <xf numFmtId="0" fontId="14" fillId="11" borderId="174" xfId="0" applyFont="1" applyFill="1" applyBorder="1" applyAlignment="1">
      <alignment horizontal="center" vertical="center"/>
    </xf>
    <xf numFmtId="0" fontId="14" fillId="11" borderId="178" xfId="0" applyFont="1" applyFill="1" applyBorder="1" applyAlignment="1">
      <alignment horizontal="left" vertical="center" indent="1"/>
    </xf>
    <xf numFmtId="0" fontId="0" fillId="11" borderId="175" xfId="0" applyFill="1" applyBorder="1" applyAlignment="1">
      <alignment vertical="center"/>
    </xf>
    <xf numFmtId="0" fontId="0" fillId="11" borderId="179" xfId="0" applyFill="1" applyBorder="1" applyAlignment="1">
      <alignment vertical="center"/>
    </xf>
    <xf numFmtId="0" fontId="8" fillId="11" borderId="180" xfId="0" applyFont="1" applyFill="1" applyBorder="1" applyAlignment="1">
      <alignment horizontal="center" vertical="center"/>
    </xf>
    <xf numFmtId="39" fontId="8" fillId="11" borderId="181" xfId="0" applyNumberFormat="1" applyFont="1" applyFill="1" applyBorder="1" applyAlignment="1">
      <alignment vertical="center"/>
    </xf>
    <xf numFmtId="0" fontId="0" fillId="11" borderId="174" xfId="0" applyFill="1" applyBorder="1" applyAlignment="1">
      <alignment horizontal="center" vertical="center"/>
    </xf>
    <xf numFmtId="0" fontId="0" fillId="11" borderId="178" xfId="0" applyFill="1" applyBorder="1" applyAlignment="1">
      <alignment horizontal="left" vertical="center" indent="1"/>
    </xf>
    <xf numFmtId="0" fontId="14" fillId="12" borderId="174" xfId="0" applyFont="1" applyFill="1" applyBorder="1" applyAlignment="1">
      <alignment horizontal="center" vertical="center"/>
    </xf>
    <xf numFmtId="0" fontId="14" fillId="12" borderId="178" xfId="0" applyFont="1" applyFill="1" applyBorder="1" applyAlignment="1">
      <alignment horizontal="left" vertical="center" indent="1"/>
    </xf>
    <xf numFmtId="0" fontId="0" fillId="12" borderId="175" xfId="0" applyFill="1" applyBorder="1" applyAlignment="1">
      <alignment vertical="center"/>
    </xf>
    <xf numFmtId="0" fontId="0" fillId="12" borderId="179" xfId="0" applyFill="1" applyBorder="1" applyAlignment="1">
      <alignment vertical="center"/>
    </xf>
    <xf numFmtId="0" fontId="8" fillId="12" borderId="180" xfId="0" applyFont="1" applyFill="1" applyBorder="1" applyAlignment="1">
      <alignment horizontal="center" vertical="center"/>
    </xf>
    <xf numFmtId="39" fontId="8" fillId="12" borderId="181" xfId="0" applyNumberFormat="1" applyFont="1" applyFill="1" applyBorder="1" applyAlignment="1">
      <alignment vertical="center"/>
    </xf>
    <xf numFmtId="0" fontId="0" fillId="12" borderId="174" xfId="0" applyFill="1" applyBorder="1" applyAlignment="1">
      <alignment horizontal="center" vertical="center"/>
    </xf>
    <xf numFmtId="0" fontId="0" fillId="12" borderId="178" xfId="0" applyFill="1" applyBorder="1" applyAlignment="1">
      <alignment horizontal="left" vertical="center" indent="1"/>
    </xf>
    <xf numFmtId="0" fontId="2" fillId="0" borderId="217" xfId="0" applyFont="1" applyBorder="1" applyAlignment="1">
      <alignment horizontal="left" vertical="center" indent="1"/>
    </xf>
    <xf numFmtId="0" fontId="11" fillId="0" borderId="258" xfId="0" applyFont="1" applyBorder="1" applyAlignment="1">
      <alignment horizontal="center" vertical="center"/>
    </xf>
    <xf numFmtId="0" fontId="2" fillId="0" borderId="258" xfId="0" applyFont="1" applyBorder="1" applyAlignment="1">
      <alignment horizontal="center" vertical="center"/>
    </xf>
    <xf numFmtId="166" fontId="2" fillId="0" borderId="218" xfId="2" applyNumberFormat="1" applyFont="1" applyBorder="1" applyAlignment="1" applyProtection="1">
      <alignment horizontal="right" vertical="center"/>
    </xf>
    <xf numFmtId="165" fontId="2" fillId="0" borderId="258" xfId="2" applyNumberFormat="1" applyFont="1" applyBorder="1" applyAlignment="1" applyProtection="1">
      <alignment horizontal="right" vertical="center"/>
    </xf>
    <xf numFmtId="0" fontId="14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vertical="center"/>
    </xf>
    <xf numFmtId="0" fontId="0" fillId="0" borderId="282" xfId="0" applyBorder="1" applyAlignment="1">
      <alignment vertical="center"/>
    </xf>
    <xf numFmtId="0" fontId="0" fillId="0" borderId="115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96" xfId="0" applyBorder="1" applyAlignment="1">
      <alignment vertical="center"/>
    </xf>
    <xf numFmtId="166" fontId="0" fillId="0" borderId="94" xfId="2" applyNumberFormat="1" applyFont="1" applyBorder="1" applyAlignment="1" applyProtection="1">
      <alignment vertical="center"/>
    </xf>
    <xf numFmtId="165" fontId="0" fillId="0" borderId="96" xfId="2" applyNumberFormat="1" applyFont="1" applyBorder="1" applyAlignment="1" applyProtection="1">
      <alignment vertical="center"/>
    </xf>
    <xf numFmtId="166" fontId="0" fillId="0" borderId="95" xfId="2" applyNumberFormat="1" applyFont="1" applyBorder="1" applyAlignment="1" applyProtection="1">
      <alignment vertical="center"/>
    </xf>
    <xf numFmtId="0" fontId="0" fillId="0" borderId="258" xfId="0" applyBorder="1" applyAlignment="1">
      <alignment vertical="center"/>
    </xf>
    <xf numFmtId="0" fontId="0" fillId="0" borderId="218" xfId="0" applyBorder="1" applyAlignment="1">
      <alignment vertical="center"/>
    </xf>
    <xf numFmtId="166" fontId="0" fillId="0" borderId="218" xfId="2" applyNumberFormat="1" applyFont="1" applyBorder="1" applyAlignment="1" applyProtection="1">
      <alignment vertical="center"/>
    </xf>
    <xf numFmtId="165" fontId="0" fillId="0" borderId="258" xfId="2" applyNumberFormat="1" applyFont="1" applyBorder="1" applyAlignment="1" applyProtection="1">
      <alignment vertical="center"/>
    </xf>
    <xf numFmtId="0" fontId="0" fillId="0" borderId="25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14" fillId="0" borderId="89" xfId="0" applyFont="1" applyBorder="1" applyAlignment="1">
      <alignment horizontal="left" vertical="center" indent="1"/>
    </xf>
    <xf numFmtId="0" fontId="0" fillId="0" borderId="154" xfId="0" applyBorder="1" applyAlignment="1">
      <alignment vertical="center"/>
    </xf>
    <xf numFmtId="0" fontId="0" fillId="0" borderId="155" xfId="0" applyBorder="1" applyAlignment="1">
      <alignment vertical="center"/>
    </xf>
    <xf numFmtId="166" fontId="0" fillId="0" borderId="155" xfId="2" applyNumberFormat="1" applyFont="1" applyBorder="1" applyAlignment="1" applyProtection="1">
      <alignment vertical="center"/>
    </xf>
    <xf numFmtId="165" fontId="0" fillId="0" borderId="155" xfId="2" applyNumberFormat="1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284" xfId="0" applyFont="1" applyBorder="1" applyAlignment="1">
      <alignment horizontal="center" vertical="center"/>
    </xf>
    <xf numFmtId="0" fontId="2" fillId="0" borderId="285" xfId="0" applyFont="1" applyBorder="1" applyAlignment="1">
      <alignment horizontal="left" vertical="center"/>
    </xf>
    <xf numFmtId="0" fontId="2" fillId="2" borderId="286" xfId="0" applyFont="1" applyFill="1" applyBorder="1" applyAlignment="1">
      <alignment horizontal="center" vertical="center"/>
    </xf>
    <xf numFmtId="166" fontId="2" fillId="2" borderId="287" xfId="2" applyNumberFormat="1" applyFont="1" applyFill="1" applyBorder="1" applyAlignment="1">
      <alignment vertical="center"/>
    </xf>
    <xf numFmtId="39" fontId="2" fillId="0" borderId="288" xfId="0" applyNumberFormat="1" applyFont="1" applyBorder="1" applyAlignment="1">
      <alignment horizontal="center" vertical="center"/>
    </xf>
    <xf numFmtId="0" fontId="0" fillId="0" borderId="289" xfId="0" applyBorder="1" applyAlignment="1">
      <alignment horizontal="center" vertical="center"/>
    </xf>
    <xf numFmtId="39" fontId="2" fillId="0" borderId="258" xfId="0" applyNumberFormat="1" applyFont="1" applyBorder="1" applyAlignment="1">
      <alignment vertical="center"/>
    </xf>
    <xf numFmtId="166" fontId="2" fillId="0" borderId="218" xfId="2" applyNumberFormat="1" applyFont="1" applyBorder="1" applyAlignment="1">
      <alignment vertical="center"/>
    </xf>
    <xf numFmtId="39" fontId="2" fillId="0" borderId="218" xfId="0" applyNumberFormat="1" applyFont="1" applyBorder="1" applyAlignment="1">
      <alignment vertical="center"/>
    </xf>
    <xf numFmtId="165" fontId="0" fillId="0" borderId="258" xfId="1" applyFont="1" applyBorder="1" applyAlignment="1" applyProtection="1">
      <alignment horizontal="right" vertical="center"/>
    </xf>
    <xf numFmtId="165" fontId="11" fillId="0" borderId="258" xfId="1" applyFont="1" applyBorder="1" applyAlignment="1" applyProtection="1">
      <alignment horizontal="right"/>
    </xf>
    <xf numFmtId="165" fontId="11" fillId="0" borderId="258" xfId="1" applyFont="1" applyBorder="1" applyProtection="1"/>
    <xf numFmtId="39" fontId="11" fillId="0" borderId="258" xfId="0" applyNumberFormat="1" applyFont="1" applyBorder="1"/>
    <xf numFmtId="39" fontId="0" fillId="0" borderId="258" xfId="0" applyNumberFormat="1" applyBorder="1" applyAlignment="1">
      <alignment vertical="center"/>
    </xf>
    <xf numFmtId="166" fontId="0" fillId="0" borderId="258" xfId="2" applyNumberFormat="1" applyFont="1" applyBorder="1" applyAlignment="1" applyProtection="1">
      <alignment vertical="center"/>
    </xf>
    <xf numFmtId="0" fontId="0" fillId="0" borderId="289" xfId="0" applyBorder="1" applyAlignment="1">
      <alignment horizontal="left" vertical="center" indent="1"/>
    </xf>
    <xf numFmtId="0" fontId="0" fillId="0" borderId="289" xfId="0" applyBorder="1" applyAlignment="1">
      <alignment vertical="center"/>
    </xf>
    <xf numFmtId="0" fontId="0" fillId="0" borderId="290" xfId="0" applyBorder="1" applyAlignment="1">
      <alignment horizontal="center" vertical="center"/>
    </xf>
    <xf numFmtId="39" fontId="0" fillId="0" borderId="291" xfId="0" applyNumberFormat="1" applyBorder="1" applyAlignment="1">
      <alignment vertical="center"/>
    </xf>
    <xf numFmtId="39" fontId="2" fillId="0" borderId="0" xfId="0" applyNumberFormat="1" applyFont="1" applyBorder="1" applyAlignment="1">
      <alignment horizontal="right" vertical="center"/>
    </xf>
    <xf numFmtId="39" fontId="2" fillId="0" borderId="0" xfId="0" applyNumberFormat="1" applyFont="1" applyBorder="1" applyAlignment="1">
      <alignment horizontal="center" vertical="center"/>
    </xf>
    <xf numFmtId="0" fontId="8" fillId="0" borderId="161" xfId="0" applyFont="1" applyBorder="1" applyAlignment="1">
      <alignment horizontal="center"/>
    </xf>
    <xf numFmtId="0" fontId="0" fillId="0" borderId="162" xfId="0" applyBorder="1" applyAlignment="1">
      <alignment horizontal="center" vertical="center"/>
    </xf>
    <xf numFmtId="0" fontId="0" fillId="0" borderId="163" xfId="0" applyBorder="1" applyAlignment="1">
      <alignment horizontal="left" vertical="center"/>
    </xf>
    <xf numFmtId="0" fontId="14" fillId="0" borderId="163" xfId="0" applyFont="1" applyBorder="1" applyAlignment="1">
      <alignment horizontal="left" vertical="center"/>
    </xf>
    <xf numFmtId="0" fontId="0" fillId="0" borderId="163" xfId="0" applyBorder="1" applyAlignment="1">
      <alignment vertical="center"/>
    </xf>
    <xf numFmtId="0" fontId="0" fillId="0" borderId="164" xfId="0" applyBorder="1" applyAlignment="1">
      <alignment vertical="center"/>
    </xf>
    <xf numFmtId="0" fontId="0" fillId="0" borderId="161" xfId="0" applyBorder="1" applyAlignment="1">
      <alignment horizontal="center" vertical="center"/>
    </xf>
    <xf numFmtId="173" fontId="0" fillId="0" borderId="161" xfId="1" applyNumberFormat="1" applyFont="1" applyBorder="1" applyAlignment="1">
      <alignment vertical="center"/>
    </xf>
    <xf numFmtId="165" fontId="0" fillId="0" borderId="161" xfId="1" applyFont="1" applyBorder="1" applyAlignment="1">
      <alignment vertical="center"/>
    </xf>
    <xf numFmtId="165" fontId="0" fillId="0" borderId="161" xfId="1" applyFont="1" applyBorder="1" applyAlignment="1" applyProtection="1">
      <alignment vertical="center"/>
    </xf>
    <xf numFmtId="39" fontId="0" fillId="0" borderId="161" xfId="0" applyNumberFormat="1" applyBorder="1" applyAlignment="1">
      <alignment horizontal="center" vertical="center"/>
    </xf>
    <xf numFmtId="39" fontId="0" fillId="0" borderId="161" xfId="0" applyNumberFormat="1" applyBorder="1" applyAlignment="1">
      <alignment vertical="center"/>
    </xf>
    <xf numFmtId="0" fontId="27" fillId="0" borderId="165" xfId="0" applyFont="1" applyBorder="1" applyAlignment="1">
      <alignment horizontal="center" vertical="center"/>
    </xf>
    <xf numFmtId="0" fontId="0" fillId="0" borderId="166" xfId="0" applyBorder="1"/>
    <xf numFmtId="0" fontId="0" fillId="0" borderId="167" xfId="0" applyBorder="1" applyAlignment="1">
      <alignment horizontal="left" vertical="center"/>
    </xf>
    <xf numFmtId="0" fontId="14" fillId="0" borderId="167" xfId="0" applyFont="1" applyBorder="1" applyAlignment="1">
      <alignment horizontal="left" vertical="center"/>
    </xf>
    <xf numFmtId="0" fontId="0" fillId="0" borderId="167" xfId="0" applyBorder="1" applyAlignment="1">
      <alignment vertical="center"/>
    </xf>
    <xf numFmtId="0" fontId="0" fillId="0" borderId="168" xfId="0" applyBorder="1" applyAlignment="1">
      <alignment vertical="center"/>
    </xf>
    <xf numFmtId="0" fontId="0" fillId="0" borderId="165" xfId="0" applyBorder="1" applyAlignment="1">
      <alignment horizontal="center" vertical="center"/>
    </xf>
    <xf numFmtId="173" fontId="0" fillId="0" borderId="165" xfId="1" applyNumberFormat="1" applyFont="1" applyBorder="1" applyAlignment="1">
      <alignment vertical="center"/>
    </xf>
    <xf numFmtId="165" fontId="0" fillId="0" borderId="165" xfId="1" applyFont="1" applyBorder="1" applyAlignment="1">
      <alignment vertical="center"/>
    </xf>
    <xf numFmtId="165" fontId="0" fillId="0" borderId="165" xfId="1" applyFont="1" applyBorder="1" applyAlignment="1" applyProtection="1">
      <alignment vertical="center"/>
    </xf>
    <xf numFmtId="39" fontId="0" fillId="0" borderId="165" xfId="0" applyNumberFormat="1" applyBorder="1" applyAlignment="1">
      <alignment horizontal="center" vertical="center"/>
    </xf>
    <xf numFmtId="39" fontId="0" fillId="0" borderId="165" xfId="0" applyNumberFormat="1" applyBorder="1" applyAlignment="1">
      <alignment vertical="center"/>
    </xf>
    <xf numFmtId="0" fontId="27" fillId="0" borderId="162" xfId="0" applyFont="1" applyBorder="1" applyAlignment="1">
      <alignment horizontal="center" vertical="center"/>
    </xf>
    <xf numFmtId="0" fontId="0" fillId="0" borderId="162" xfId="0" applyBorder="1" applyAlignment="1">
      <alignment horizontal="center"/>
    </xf>
    <xf numFmtId="39" fontId="0" fillId="0" borderId="292" xfId="0" applyNumberFormat="1" applyBorder="1" applyAlignment="1">
      <alignment vertical="center"/>
    </xf>
    <xf numFmtId="0" fontId="27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73" fontId="0" fillId="0" borderId="23" xfId="1" applyNumberFormat="1" applyFont="1" applyBorder="1" applyAlignment="1">
      <alignment vertical="center"/>
    </xf>
    <xf numFmtId="165" fontId="0" fillId="0" borderId="23" xfId="1" applyFont="1" applyBorder="1" applyAlignment="1">
      <alignment vertical="center"/>
    </xf>
    <xf numFmtId="165" fontId="0" fillId="0" borderId="23" xfId="1" applyFont="1" applyBorder="1" applyAlignment="1" applyProtection="1">
      <alignment vertical="center"/>
    </xf>
    <xf numFmtId="39" fontId="0" fillId="0" borderId="23" xfId="0" applyNumberFormat="1" applyBorder="1" applyAlignment="1">
      <alignment horizontal="center" vertical="center"/>
    </xf>
    <xf numFmtId="39" fontId="0" fillId="0" borderId="293" xfId="0" applyNumberFormat="1" applyBorder="1" applyAlignment="1">
      <alignment vertical="center"/>
    </xf>
    <xf numFmtId="173" fontId="0" fillId="0" borderId="23" xfId="1" applyNumberFormat="1" applyFont="1" applyBorder="1" applyAlignment="1" applyProtection="1">
      <alignment vertical="center"/>
    </xf>
    <xf numFmtId="0" fontId="27" fillId="0" borderId="166" xfId="0" applyFont="1" applyBorder="1" applyAlignment="1">
      <alignment horizontal="center" vertical="center"/>
    </xf>
    <xf numFmtId="0" fontId="0" fillId="0" borderId="166" xfId="0" applyBorder="1" applyAlignment="1">
      <alignment horizontal="center"/>
    </xf>
    <xf numFmtId="173" fontId="0" fillId="0" borderId="165" xfId="1" applyNumberFormat="1" applyFont="1" applyBorder="1" applyAlignment="1" applyProtection="1">
      <alignment vertical="center"/>
    </xf>
    <xf numFmtId="39" fontId="0" fillId="0" borderId="294" xfId="0" applyNumberFormat="1" applyBorder="1" applyAlignment="1">
      <alignment vertical="center"/>
    </xf>
    <xf numFmtId="0" fontId="8" fillId="0" borderId="162" xfId="0" applyFont="1" applyBorder="1" applyAlignment="1">
      <alignment horizontal="center" vertical="center"/>
    </xf>
    <xf numFmtId="0" fontId="14" fillId="0" borderId="162" xfId="0" applyFont="1" applyBorder="1" applyAlignment="1">
      <alignment horizontal="left" vertical="center"/>
    </xf>
    <xf numFmtId="0" fontId="0" fillId="0" borderId="163" xfId="0" applyBorder="1" applyAlignment="1">
      <alignment horizontal="centerContinuous" vertical="center"/>
    </xf>
    <xf numFmtId="0" fontId="0" fillId="0" borderId="164" xfId="0" applyBorder="1" applyAlignment="1">
      <alignment horizontal="centerContinuous" vertical="center"/>
    </xf>
    <xf numFmtId="39" fontId="0" fillId="0" borderId="162" xfId="0" applyNumberFormat="1" applyBorder="1" applyAlignment="1">
      <alignment vertical="center"/>
    </xf>
    <xf numFmtId="39" fontId="0" fillId="0" borderId="163" xfId="0" applyNumberFormat="1" applyBorder="1" applyAlignment="1">
      <alignment vertical="center"/>
    </xf>
    <xf numFmtId="0" fontId="0" fillId="0" borderId="164" xfId="0" applyBorder="1" applyAlignment="1">
      <alignment horizontal="right" vertical="center"/>
    </xf>
    <xf numFmtId="0" fontId="8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0" fillId="0" borderId="22" xfId="0" applyBorder="1" applyAlignment="1">
      <alignment horizontal="centerContinuous"/>
    </xf>
    <xf numFmtId="39" fontId="0" fillId="0" borderId="21" xfId="0" applyNumberFormat="1" applyBorder="1" applyAlignment="1">
      <alignment vertical="center"/>
    </xf>
    <xf numFmtId="39" fontId="0" fillId="0" borderId="22" xfId="0" applyNumberFormat="1" applyBorder="1" applyAlignment="1">
      <alignment horizontal="right" vertical="center"/>
    </xf>
    <xf numFmtId="39" fontId="0" fillId="0" borderId="23" xfId="0" applyNumberFormat="1" applyBorder="1" applyAlignment="1">
      <alignment vertical="center"/>
    </xf>
    <xf numFmtId="0" fontId="8" fillId="0" borderId="166" xfId="0" applyFont="1" applyBorder="1" applyAlignment="1">
      <alignment horizontal="center" vertical="center"/>
    </xf>
    <xf numFmtId="0" fontId="0" fillId="0" borderId="166" xfId="0" applyBorder="1" applyAlignment="1">
      <alignment horizontal="left"/>
    </xf>
    <xf numFmtId="0" fontId="0" fillId="0" borderId="167" xfId="0" applyBorder="1" applyAlignment="1">
      <alignment horizontal="left"/>
    </xf>
    <xf numFmtId="0" fontId="0" fillId="0" borderId="167" xfId="0" applyBorder="1" applyAlignment="1">
      <alignment horizontal="centerContinuous"/>
    </xf>
    <xf numFmtId="0" fontId="0" fillId="0" borderId="168" xfId="0" applyBorder="1" applyAlignment="1">
      <alignment horizontal="centerContinuous"/>
    </xf>
    <xf numFmtId="39" fontId="0" fillId="0" borderId="166" xfId="0" applyNumberFormat="1" applyBorder="1" applyAlignment="1">
      <alignment vertical="center"/>
    </xf>
    <xf numFmtId="39" fontId="0" fillId="0" borderId="167" xfId="0" applyNumberFormat="1" applyBorder="1" applyAlignment="1">
      <alignment vertical="center"/>
    </xf>
    <xf numFmtId="39" fontId="0" fillId="0" borderId="168" xfId="0" applyNumberFormat="1" applyBorder="1" applyAlignment="1">
      <alignment horizontal="right" vertical="center"/>
    </xf>
    <xf numFmtId="0" fontId="2" fillId="0" borderId="285" xfId="0" applyFont="1" applyBorder="1" applyAlignment="1">
      <alignment horizontal="centerContinuous" vertical="center"/>
    </xf>
    <xf numFmtId="0" fontId="11" fillId="0" borderId="295" xfId="0" applyFont="1" applyBorder="1" applyAlignment="1">
      <alignment horizontal="centerContinuous" vertical="center"/>
    </xf>
    <xf numFmtId="166" fontId="11" fillId="0" borderId="296" xfId="2" applyNumberFormat="1" applyFont="1" applyFill="1" applyBorder="1" applyAlignment="1" applyProtection="1">
      <alignment vertical="center"/>
    </xf>
    <xf numFmtId="39" fontId="11" fillId="3" borderId="296" xfId="0" applyNumberFormat="1" applyFont="1" applyFill="1" applyBorder="1" applyAlignment="1">
      <alignment horizontal="right" vertical="center"/>
    </xf>
    <xf numFmtId="0" fontId="11" fillId="0" borderId="285" xfId="0" applyFont="1" applyBorder="1" applyAlignment="1">
      <alignment horizontal="left" vertical="center" indent="1"/>
    </xf>
    <xf numFmtId="39" fontId="2" fillId="0" borderId="285" xfId="0" applyNumberFormat="1" applyFont="1" applyBorder="1" applyAlignment="1">
      <alignment horizontal="centerContinuous" vertical="center"/>
    </xf>
    <xf numFmtId="0" fontId="11" fillId="0" borderId="297" xfId="0" applyFont="1" applyBorder="1" applyAlignment="1">
      <alignment horizontal="center" vertical="center"/>
    </xf>
    <xf numFmtId="174" fontId="6" fillId="0" borderId="0" xfId="2" applyNumberFormat="1" applyFont="1" applyAlignment="1" applyProtection="1">
      <alignment horizontal="centerContinuous" vertical="center"/>
    </xf>
    <xf numFmtId="39" fontId="2" fillId="0" borderId="0" xfId="0" applyNumberFormat="1" applyFont="1" applyAlignment="1">
      <alignment horizontal="left" indent="1"/>
    </xf>
    <xf numFmtId="1" fontId="2" fillId="0" borderId="258" xfId="0" applyNumberFormat="1" applyFont="1" applyBorder="1" applyAlignment="1">
      <alignment horizontal="left" vertical="center" indent="1"/>
    </xf>
    <xf numFmtId="165" fontId="2" fillId="0" borderId="258" xfId="2" applyNumberFormat="1" applyFont="1" applyBorder="1" applyAlignment="1" applyProtection="1">
      <alignment vertical="center"/>
    </xf>
    <xf numFmtId="166" fontId="14" fillId="0" borderId="218" xfId="2" applyNumberFormat="1" applyFont="1" applyBorder="1" applyAlignment="1">
      <alignment vertical="center"/>
    </xf>
    <xf numFmtId="0" fontId="0" fillId="0" borderId="298" xfId="0" applyBorder="1"/>
    <xf numFmtId="0" fontId="0" fillId="0" borderId="260" xfId="0" applyBorder="1" applyAlignment="1">
      <alignment horizontal="left" indent="3"/>
    </xf>
    <xf numFmtId="0" fontId="0" fillId="0" borderId="260" xfId="0" applyBorder="1" applyAlignment="1">
      <alignment horizontal="left" indent="4"/>
    </xf>
    <xf numFmtId="0" fontId="0" fillId="0" borderId="260" xfId="0" applyBorder="1" applyAlignment="1">
      <alignment horizontal="center"/>
    </xf>
    <xf numFmtId="0" fontId="0" fillId="0" borderId="260" xfId="0" applyBorder="1"/>
    <xf numFmtId="0" fontId="0" fillId="0" borderId="243" xfId="0" applyBorder="1"/>
    <xf numFmtId="0" fontId="0" fillId="0" borderId="26" xfId="0" applyFont="1" applyBorder="1" applyAlignment="1">
      <alignment horizontal="left" vertical="center" indent="1"/>
    </xf>
    <xf numFmtId="0" fontId="2" fillId="0" borderId="299" xfId="0" applyFont="1" applyBorder="1" applyAlignment="1">
      <alignment horizontal="left" vertical="center" indent="1"/>
    </xf>
    <xf numFmtId="0" fontId="2" fillId="0" borderId="285" xfId="0" applyFont="1" applyBorder="1" applyAlignment="1">
      <alignment horizontal="left" vertical="center" indent="2"/>
    </xf>
    <xf numFmtId="0" fontId="2" fillId="0" borderId="285" xfId="0" applyFont="1" applyBorder="1" applyAlignment="1">
      <alignment horizontal="left" vertical="center" indent="1"/>
    </xf>
    <xf numFmtId="0" fontId="2" fillId="0" borderId="295" xfId="0" applyFont="1" applyBorder="1" applyAlignment="1">
      <alignment vertical="center"/>
    </xf>
    <xf numFmtId="0" fontId="2" fillId="0" borderId="300" xfId="0" applyFont="1" applyBorder="1" applyAlignment="1">
      <alignment horizontal="center" vertical="center"/>
    </xf>
    <xf numFmtId="166" fontId="2" fillId="0" borderId="301" xfId="2" applyNumberFormat="1" applyFont="1" applyBorder="1" applyAlignment="1">
      <alignment vertical="center"/>
    </xf>
    <xf numFmtId="165" fontId="2" fillId="0" borderId="301" xfId="1" applyFont="1" applyBorder="1" applyAlignment="1">
      <alignment vertical="center"/>
    </xf>
    <xf numFmtId="165" fontId="6" fillId="0" borderId="218" xfId="1" applyFont="1" applyBorder="1" applyAlignment="1" applyProtection="1">
      <alignment horizontal="left" vertical="center" indent="1"/>
    </xf>
    <xf numFmtId="166" fontId="23" fillId="0" borderId="302" xfId="2" applyNumberFormat="1" applyFont="1" applyBorder="1"/>
    <xf numFmtId="1" fontId="2" fillId="0" borderId="258" xfId="0" applyNumberFormat="1" applyFont="1" applyBorder="1" applyAlignment="1">
      <alignment vertical="center"/>
    </xf>
    <xf numFmtId="166" fontId="22" fillId="0" borderId="283" xfId="2" applyNumberFormat="1" applyFont="1" applyBorder="1" applyAlignment="1" applyProtection="1">
      <alignment vertical="center"/>
    </xf>
    <xf numFmtId="0" fontId="2" fillId="13" borderId="88" xfId="0" applyFont="1" applyFill="1" applyBorder="1" applyAlignment="1">
      <alignment horizontal="center" vertical="center"/>
    </xf>
    <xf numFmtId="0" fontId="0" fillId="13" borderId="89" xfId="0" applyFill="1" applyBorder="1" applyAlignment="1">
      <alignment vertical="center"/>
    </xf>
    <xf numFmtId="0" fontId="2" fillId="13" borderId="89" xfId="0" applyFont="1" applyFill="1" applyBorder="1" applyAlignment="1">
      <alignment vertical="center"/>
    </xf>
    <xf numFmtId="39" fontId="2" fillId="13" borderId="89" xfId="0" applyNumberFormat="1" applyFont="1" applyFill="1" applyBorder="1" applyAlignment="1">
      <alignment vertical="center"/>
    </xf>
    <xf numFmtId="39" fontId="2" fillId="13" borderId="90" xfId="0" applyNumberFormat="1" applyFont="1" applyFill="1" applyBorder="1" applyAlignment="1">
      <alignment vertical="center"/>
    </xf>
    <xf numFmtId="0" fontId="2" fillId="13" borderId="29" xfId="0" applyFont="1" applyFill="1" applyBorder="1" applyAlignment="1">
      <alignment horizontal="center" vertical="center"/>
    </xf>
    <xf numFmtId="0" fontId="2" fillId="13" borderId="0" xfId="0" applyFont="1" applyFill="1"/>
    <xf numFmtId="0" fontId="2" fillId="13" borderId="0" xfId="0" applyFont="1" applyFill="1" applyAlignment="1">
      <alignment vertical="center"/>
    </xf>
    <xf numFmtId="0" fontId="2" fillId="13" borderId="91" xfId="0" applyFont="1" applyFill="1" applyBorder="1" applyAlignment="1">
      <alignment horizontal="center" vertical="center"/>
    </xf>
    <xf numFmtId="39" fontId="2" fillId="13" borderId="27" xfId="0" applyNumberFormat="1" applyFont="1" applyFill="1" applyBorder="1" applyAlignment="1">
      <alignment vertical="center"/>
    </xf>
    <xf numFmtId="39" fontId="2" fillId="13" borderId="0" xfId="0" applyNumberFormat="1" applyFont="1" applyFill="1" applyAlignment="1">
      <alignment vertical="center"/>
    </xf>
    <xf numFmtId="39" fontId="2" fillId="13" borderId="28" xfId="0" applyNumberFormat="1" applyFont="1" applyFill="1" applyBorder="1" applyAlignment="1">
      <alignment vertical="center"/>
    </xf>
    <xf numFmtId="0" fontId="2" fillId="13" borderId="0" xfId="0" applyFont="1" applyFill="1" applyAlignment="1">
      <alignment horizontal="center"/>
    </xf>
    <xf numFmtId="0" fontId="2" fillId="13" borderId="92" xfId="0" applyFont="1" applyFill="1" applyBorder="1" applyAlignment="1">
      <alignment horizontal="center" vertical="center"/>
    </xf>
    <xf numFmtId="39" fontId="2" fillId="13" borderId="27" xfId="0" quotePrefix="1" applyNumberFormat="1" applyFont="1" applyFill="1" applyBorder="1" applyAlignment="1">
      <alignment horizontal="center" vertical="center"/>
    </xf>
    <xf numFmtId="0" fontId="2" fillId="13" borderId="0" xfId="0" quotePrefix="1" applyFont="1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2" fillId="13" borderId="30" xfId="0" applyFont="1" applyFill="1" applyBorder="1" applyAlignment="1">
      <alignment vertical="center"/>
    </xf>
    <xf numFmtId="39" fontId="2" fillId="13" borderId="93" xfId="0" applyNumberFormat="1" applyFont="1" applyFill="1" applyBorder="1" applyAlignment="1">
      <alignment vertical="center"/>
    </xf>
    <xf numFmtId="39" fontId="2" fillId="13" borderId="94" xfId="0" applyNumberFormat="1" applyFont="1" applyFill="1" applyBorder="1" applyAlignment="1">
      <alignment vertical="center"/>
    </xf>
    <xf numFmtId="39" fontId="2" fillId="13" borderId="94" xfId="0" quotePrefix="1" applyNumberFormat="1" applyFont="1" applyFill="1" applyBorder="1" applyAlignment="1">
      <alignment horizontal="center" vertical="center"/>
    </xf>
    <xf numFmtId="39" fontId="2" fillId="13" borderId="95" xfId="0" applyNumberFormat="1" applyFont="1" applyFill="1" applyBorder="1" applyAlignment="1">
      <alignment vertical="center"/>
    </xf>
    <xf numFmtId="39" fontId="0" fillId="13" borderId="30" xfId="0" applyNumberFormat="1" applyFill="1" applyBorder="1" applyAlignment="1">
      <alignment horizontal="left" vertical="center" indent="1"/>
    </xf>
    <xf numFmtId="39" fontId="2" fillId="13" borderId="0" xfId="0" applyNumberFormat="1" applyFont="1" applyFill="1" applyAlignment="1">
      <alignment horizontal="left" vertical="center"/>
    </xf>
    <xf numFmtId="39" fontId="2" fillId="13" borderId="46" xfId="0" applyNumberFormat="1" applyFont="1" applyFill="1" applyBorder="1" applyAlignment="1">
      <alignment horizontal="left" vertical="center" indent="1"/>
    </xf>
    <xf numFmtId="39" fontId="2" fillId="13" borderId="44" xfId="0" applyNumberFormat="1" applyFont="1" applyFill="1" applyBorder="1" applyAlignment="1">
      <alignment horizontal="left" vertical="center"/>
    </xf>
    <xf numFmtId="0" fontId="2" fillId="13" borderId="44" xfId="0" applyFont="1" applyFill="1" applyBorder="1"/>
    <xf numFmtId="39" fontId="2" fillId="13" borderId="46" xfId="0" applyNumberFormat="1" applyFont="1" applyFill="1" applyBorder="1" applyAlignment="1">
      <alignment vertical="center"/>
    </xf>
    <xf numFmtId="39" fontId="2" fillId="13" borderId="47" xfId="0" applyNumberFormat="1" applyFont="1" applyFill="1" applyBorder="1" applyAlignment="1">
      <alignment vertical="center"/>
    </xf>
    <xf numFmtId="39" fontId="2" fillId="13" borderId="96" xfId="0" applyNumberFormat="1" applyFont="1" applyFill="1" applyBorder="1" applyAlignment="1">
      <alignment vertical="center"/>
    </xf>
    <xf numFmtId="39" fontId="0" fillId="13" borderId="218" xfId="0" applyNumberFormat="1" applyFill="1" applyBorder="1" applyAlignment="1">
      <alignment vertical="center"/>
    </xf>
    <xf numFmtId="39" fontId="2" fillId="13" borderId="0" xfId="0" quotePrefix="1" applyNumberFormat="1" applyFont="1" applyFill="1" applyAlignment="1">
      <alignment horizontal="center" vertical="center"/>
    </xf>
    <xf numFmtId="39" fontId="2" fillId="13" borderId="30" xfId="0" applyNumberFormat="1" applyFont="1" applyFill="1" applyBorder="1" applyAlignment="1">
      <alignment horizontal="left" vertical="center" indent="1"/>
    </xf>
    <xf numFmtId="0" fontId="2" fillId="13" borderId="31" xfId="0" applyFont="1" applyFill="1" applyBorder="1" applyAlignment="1">
      <alignment horizontal="center" vertical="center"/>
    </xf>
    <xf numFmtId="0" fontId="2" fillId="13" borderId="32" xfId="0" applyFont="1" applyFill="1" applyBorder="1" applyAlignment="1">
      <alignment vertical="center"/>
    </xf>
    <xf numFmtId="0" fontId="2" fillId="13" borderId="33" xfId="0" applyFont="1" applyFill="1" applyBorder="1" applyAlignment="1">
      <alignment vertical="center"/>
    </xf>
    <xf numFmtId="39" fontId="2" fillId="13" borderId="34" xfId="0" applyNumberFormat="1" applyFont="1" applyFill="1" applyBorder="1" applyAlignment="1">
      <alignment vertical="center"/>
    </xf>
    <xf numFmtId="39" fontId="2" fillId="13" borderId="32" xfId="0" applyNumberFormat="1" applyFont="1" applyFill="1" applyBorder="1" applyAlignment="1">
      <alignment vertical="center"/>
    </xf>
    <xf numFmtId="39" fontId="2" fillId="13" borderId="97" xfId="0" applyNumberFormat="1" applyFont="1" applyFill="1" applyBorder="1" applyAlignment="1">
      <alignment vertical="center"/>
    </xf>
    <xf numFmtId="0" fontId="2" fillId="14" borderId="88" xfId="0" applyFont="1" applyFill="1" applyBorder="1" applyAlignment="1">
      <alignment horizontal="center" vertical="center"/>
    </xf>
    <xf numFmtId="0" fontId="0" fillId="14" borderId="89" xfId="0" applyFill="1" applyBorder="1" applyAlignment="1">
      <alignment vertical="center"/>
    </xf>
    <xf numFmtId="0" fontId="2" fillId="14" borderId="89" xfId="0" applyFont="1" applyFill="1" applyBorder="1" applyAlignment="1">
      <alignment vertical="center"/>
    </xf>
    <xf numFmtId="39" fontId="2" fillId="14" borderId="89" xfId="0" applyNumberFormat="1" applyFont="1" applyFill="1" applyBorder="1" applyAlignment="1">
      <alignment vertical="center"/>
    </xf>
    <xf numFmtId="39" fontId="2" fillId="14" borderId="90" xfId="0" applyNumberFormat="1" applyFont="1" applyFill="1" applyBorder="1" applyAlignment="1">
      <alignment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0" xfId="0" applyFont="1" applyFill="1"/>
    <xf numFmtId="0" fontId="2" fillId="14" borderId="0" xfId="0" applyFont="1" applyFill="1" applyAlignment="1">
      <alignment vertical="center"/>
    </xf>
    <xf numFmtId="0" fontId="2" fillId="14" borderId="91" xfId="0" applyFont="1" applyFill="1" applyBorder="1" applyAlignment="1">
      <alignment horizontal="center" vertical="center"/>
    </xf>
    <xf numFmtId="39" fontId="2" fillId="14" borderId="27" xfId="0" applyNumberFormat="1" applyFont="1" applyFill="1" applyBorder="1" applyAlignment="1">
      <alignment vertical="center"/>
    </xf>
    <xf numFmtId="39" fontId="2" fillId="14" borderId="0" xfId="0" applyNumberFormat="1" applyFont="1" applyFill="1" applyAlignment="1">
      <alignment vertical="center"/>
    </xf>
    <xf numFmtId="39" fontId="2" fillId="14" borderId="28" xfId="0" applyNumberFormat="1" applyFont="1" applyFill="1" applyBorder="1" applyAlignment="1">
      <alignment vertical="center"/>
    </xf>
    <xf numFmtId="0" fontId="2" fillId="14" borderId="0" xfId="0" applyFont="1" applyFill="1" applyAlignment="1">
      <alignment horizontal="center"/>
    </xf>
    <xf numFmtId="0" fontId="2" fillId="14" borderId="92" xfId="0" applyFont="1" applyFill="1" applyBorder="1" applyAlignment="1">
      <alignment horizontal="center" vertical="center"/>
    </xf>
    <xf numFmtId="39" fontId="2" fillId="14" borderId="27" xfId="0" quotePrefix="1" applyNumberFormat="1" applyFont="1" applyFill="1" applyBorder="1" applyAlignment="1">
      <alignment horizontal="center" vertical="center"/>
    </xf>
    <xf numFmtId="0" fontId="2" fillId="14" borderId="0" xfId="0" quotePrefix="1" applyFont="1" applyFill="1" applyAlignment="1">
      <alignment vertical="center"/>
    </xf>
    <xf numFmtId="0" fontId="2" fillId="14" borderId="0" xfId="0" applyFont="1" applyFill="1" applyAlignment="1">
      <alignment horizontal="center" vertical="center"/>
    </xf>
    <xf numFmtId="0" fontId="2" fillId="14" borderId="30" xfId="0" applyFont="1" applyFill="1" applyBorder="1" applyAlignment="1">
      <alignment vertical="center"/>
    </xf>
    <xf numFmtId="39" fontId="2" fillId="14" borderId="93" xfId="0" applyNumberFormat="1" applyFont="1" applyFill="1" applyBorder="1" applyAlignment="1">
      <alignment vertical="center"/>
    </xf>
    <xf numFmtId="39" fontId="2" fillId="14" borderId="94" xfId="0" applyNumberFormat="1" applyFont="1" applyFill="1" applyBorder="1" applyAlignment="1">
      <alignment vertical="center"/>
    </xf>
    <xf numFmtId="39" fontId="2" fillId="14" borderId="94" xfId="0" quotePrefix="1" applyNumberFormat="1" applyFont="1" applyFill="1" applyBorder="1" applyAlignment="1">
      <alignment horizontal="center" vertical="center"/>
    </xf>
    <xf numFmtId="39" fontId="2" fillId="14" borderId="95" xfId="0" applyNumberFormat="1" applyFont="1" applyFill="1" applyBorder="1" applyAlignment="1">
      <alignment vertical="center"/>
    </xf>
    <xf numFmtId="39" fontId="0" fillId="14" borderId="30" xfId="0" applyNumberFormat="1" applyFill="1" applyBorder="1" applyAlignment="1">
      <alignment horizontal="left" vertical="center" indent="1"/>
    </xf>
    <xf numFmtId="39" fontId="2" fillId="14" borderId="0" xfId="0" applyNumberFormat="1" applyFont="1" applyFill="1" applyAlignment="1">
      <alignment horizontal="left" vertical="center"/>
    </xf>
    <xf numFmtId="39" fontId="2" fillId="14" borderId="46" xfId="0" applyNumberFormat="1" applyFont="1" applyFill="1" applyBorder="1" applyAlignment="1">
      <alignment horizontal="left" vertical="center" indent="1"/>
    </xf>
    <xf numFmtId="39" fontId="2" fillId="14" borderId="44" xfId="0" applyNumberFormat="1" applyFont="1" applyFill="1" applyBorder="1" applyAlignment="1">
      <alignment horizontal="left" vertical="center"/>
    </xf>
    <xf numFmtId="0" fontId="2" fillId="14" borderId="44" xfId="0" applyFont="1" applyFill="1" applyBorder="1"/>
    <xf numFmtId="39" fontId="2" fillId="14" borderId="46" xfId="0" applyNumberFormat="1" applyFont="1" applyFill="1" applyBorder="1" applyAlignment="1">
      <alignment vertical="center"/>
    </xf>
    <xf numFmtId="39" fontId="2" fillId="14" borderId="47" xfId="0" applyNumberFormat="1" applyFont="1" applyFill="1" applyBorder="1" applyAlignment="1">
      <alignment vertical="center"/>
    </xf>
    <xf numFmtId="39" fontId="2" fillId="14" borderId="96" xfId="0" applyNumberFormat="1" applyFont="1" applyFill="1" applyBorder="1" applyAlignment="1">
      <alignment vertical="center"/>
    </xf>
    <xf numFmtId="39" fontId="2" fillId="14" borderId="0" xfId="0" quotePrefix="1" applyNumberFormat="1" applyFont="1" applyFill="1" applyAlignment="1">
      <alignment horizontal="center" vertical="center"/>
    </xf>
    <xf numFmtId="39" fontId="2" fillId="14" borderId="30" xfId="0" applyNumberFormat="1" applyFont="1" applyFill="1" applyBorder="1" applyAlignment="1">
      <alignment horizontal="left" vertical="center" indent="1"/>
    </xf>
    <xf numFmtId="39" fontId="2" fillId="11" borderId="0" xfId="0" quotePrefix="1" applyNumberFormat="1" applyFont="1" applyFill="1" applyAlignment="1">
      <alignment horizontal="center" vertical="center"/>
    </xf>
    <xf numFmtId="39" fontId="2" fillId="11" borderId="30" xfId="0" applyNumberFormat="1" applyFont="1" applyFill="1" applyBorder="1" applyAlignment="1">
      <alignment horizontal="left" vertical="center" indent="1"/>
    </xf>
    <xf numFmtId="0" fontId="2" fillId="11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vertical="center"/>
    </xf>
    <xf numFmtId="39" fontId="2" fillId="11" borderId="0" xfId="0" applyNumberFormat="1" applyFont="1" applyFill="1" applyBorder="1" applyAlignment="1">
      <alignment horizontal="left" vertical="center"/>
    </xf>
    <xf numFmtId="0" fontId="2" fillId="11" borderId="0" xfId="0" applyFont="1" applyFill="1" applyBorder="1"/>
    <xf numFmtId="39" fontId="2" fillId="11" borderId="0" xfId="0" applyNumberFormat="1" applyFont="1" applyFill="1" applyBorder="1" applyAlignment="1">
      <alignment vertical="center"/>
    </xf>
    <xf numFmtId="0" fontId="2" fillId="16" borderId="89" xfId="0" applyFont="1" applyFill="1" applyBorder="1" applyAlignment="1">
      <alignment vertical="center"/>
    </xf>
    <xf numFmtId="39" fontId="2" fillId="16" borderId="90" xfId="0" applyNumberFormat="1" applyFont="1" applyFill="1" applyBorder="1" applyAlignment="1">
      <alignment vertical="center"/>
    </xf>
    <xf numFmtId="39" fontId="2" fillId="16" borderId="27" xfId="0" applyNumberFormat="1" applyFont="1" applyFill="1" applyBorder="1" applyAlignment="1">
      <alignment vertical="center"/>
    </xf>
    <xf numFmtId="39" fontId="2" fillId="16" borderId="0" xfId="0" applyNumberFormat="1" applyFont="1" applyFill="1" applyAlignment="1">
      <alignment vertical="center"/>
    </xf>
    <xf numFmtId="39" fontId="2" fillId="16" borderId="28" xfId="0" applyNumberFormat="1" applyFont="1" applyFill="1" applyBorder="1" applyAlignment="1">
      <alignment vertical="center"/>
    </xf>
    <xf numFmtId="39" fontId="2" fillId="16" borderId="27" xfId="0" quotePrefix="1" applyNumberFormat="1" applyFont="1" applyFill="1" applyBorder="1" applyAlignment="1">
      <alignment horizontal="center" vertical="center"/>
    </xf>
    <xf numFmtId="39" fontId="2" fillId="16" borderId="93" xfId="0" applyNumberFormat="1" applyFont="1" applyFill="1" applyBorder="1" applyAlignment="1">
      <alignment vertical="center"/>
    </xf>
    <xf numFmtId="39" fontId="2" fillId="16" borderId="94" xfId="0" applyNumberFormat="1" applyFont="1" applyFill="1" applyBorder="1" applyAlignment="1">
      <alignment vertical="center"/>
    </xf>
    <xf numFmtId="39" fontId="2" fillId="16" borderId="95" xfId="0" applyNumberFormat="1" applyFont="1" applyFill="1" applyBorder="1" applyAlignment="1">
      <alignment vertical="center"/>
    </xf>
    <xf numFmtId="39" fontId="2" fillId="16" borderId="46" xfId="0" applyNumberFormat="1" applyFont="1" applyFill="1" applyBorder="1" applyAlignment="1">
      <alignment horizontal="left" vertical="center" indent="1"/>
    </xf>
    <xf numFmtId="39" fontId="2" fillId="16" borderId="44" xfId="0" applyNumberFormat="1" applyFont="1" applyFill="1" applyBorder="1" applyAlignment="1">
      <alignment horizontal="left" vertical="center"/>
    </xf>
    <xf numFmtId="0" fontId="2" fillId="16" borderId="44" xfId="0" applyFont="1" applyFill="1" applyBorder="1"/>
    <xf numFmtId="39" fontId="2" fillId="16" borderId="46" xfId="0" applyNumberFormat="1" applyFont="1" applyFill="1" applyBorder="1" applyAlignment="1">
      <alignment vertical="center"/>
    </xf>
    <xf numFmtId="39" fontId="2" fillId="16" borderId="47" xfId="0" applyNumberFormat="1" applyFont="1" applyFill="1" applyBorder="1" applyAlignment="1">
      <alignment vertical="center"/>
    </xf>
    <xf numFmtId="39" fontId="2" fillId="16" borderId="96" xfId="0" applyNumberFormat="1" applyFont="1" applyFill="1" applyBorder="1" applyAlignment="1">
      <alignment vertical="center"/>
    </xf>
    <xf numFmtId="39" fontId="2" fillId="16" borderId="0" xfId="0" quotePrefix="1" applyNumberFormat="1" applyFont="1" applyFill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vertical="center"/>
    </xf>
    <xf numFmtId="39" fontId="2" fillId="16" borderId="0" xfId="0" applyNumberFormat="1" applyFont="1" applyFill="1" applyBorder="1" applyAlignment="1">
      <alignment horizontal="left" vertical="center"/>
    </xf>
    <xf numFmtId="0" fontId="2" fillId="16" borderId="0" xfId="0" applyFont="1" applyFill="1" applyBorder="1"/>
    <xf numFmtId="39" fontId="2" fillId="16" borderId="0" xfId="0" applyNumberFormat="1" applyFont="1" applyFill="1" applyBorder="1" applyAlignment="1">
      <alignment vertical="center"/>
    </xf>
    <xf numFmtId="0" fontId="2" fillId="7" borderId="88" xfId="0" applyFont="1" applyFill="1" applyBorder="1" applyAlignment="1">
      <alignment horizontal="center" vertical="center"/>
    </xf>
    <xf numFmtId="0" fontId="0" fillId="7" borderId="89" xfId="0" applyFill="1" applyBorder="1" applyAlignment="1">
      <alignment vertical="center"/>
    </xf>
    <xf numFmtId="0" fontId="2" fillId="7" borderId="89" xfId="0" applyFont="1" applyFill="1" applyBorder="1" applyAlignment="1">
      <alignment vertical="center"/>
    </xf>
    <xf numFmtId="39" fontId="2" fillId="7" borderId="89" xfId="0" applyNumberFormat="1" applyFont="1" applyFill="1" applyBorder="1" applyAlignment="1">
      <alignment vertical="center"/>
    </xf>
    <xf numFmtId="39" fontId="2" fillId="7" borderId="90" xfId="0" applyNumberFormat="1" applyFont="1" applyFill="1" applyBorder="1" applyAlignment="1">
      <alignment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0" xfId="0" applyFont="1" applyFill="1"/>
    <xf numFmtId="0" fontId="2" fillId="7" borderId="0" xfId="0" applyFont="1" applyFill="1" applyAlignment="1">
      <alignment vertical="center"/>
    </xf>
    <xf numFmtId="0" fontId="2" fillId="7" borderId="91" xfId="0" applyFont="1" applyFill="1" applyBorder="1" applyAlignment="1">
      <alignment horizontal="center" vertical="center"/>
    </xf>
    <xf numFmtId="39" fontId="2" fillId="7" borderId="27" xfId="0" applyNumberFormat="1" applyFont="1" applyFill="1" applyBorder="1" applyAlignment="1">
      <alignment vertical="center"/>
    </xf>
    <xf numFmtId="39" fontId="2" fillId="7" borderId="0" xfId="0" applyNumberFormat="1" applyFont="1" applyFill="1" applyAlignment="1">
      <alignment vertical="center"/>
    </xf>
    <xf numFmtId="39" fontId="2" fillId="7" borderId="28" xfId="0" applyNumberFormat="1" applyFont="1" applyFill="1" applyBorder="1" applyAlignment="1">
      <alignment vertical="center"/>
    </xf>
    <xf numFmtId="0" fontId="2" fillId="7" borderId="0" xfId="0" applyFont="1" applyFill="1" applyAlignment="1">
      <alignment horizontal="center"/>
    </xf>
    <xf numFmtId="0" fontId="2" fillId="7" borderId="92" xfId="0" applyFont="1" applyFill="1" applyBorder="1" applyAlignment="1">
      <alignment horizontal="center" vertical="center"/>
    </xf>
    <xf numFmtId="39" fontId="2" fillId="7" borderId="27" xfId="0" quotePrefix="1" applyNumberFormat="1" applyFont="1" applyFill="1" applyBorder="1" applyAlignment="1">
      <alignment horizontal="center" vertical="center"/>
    </xf>
    <xf numFmtId="0" fontId="2" fillId="7" borderId="0" xfId="0" quotePrefix="1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30" xfId="0" applyFont="1" applyFill="1" applyBorder="1" applyAlignment="1">
      <alignment vertical="center"/>
    </xf>
    <xf numFmtId="39" fontId="2" fillId="7" borderId="93" xfId="0" applyNumberFormat="1" applyFont="1" applyFill="1" applyBorder="1" applyAlignment="1">
      <alignment vertical="center"/>
    </xf>
    <xf numFmtId="39" fontId="2" fillId="7" borderId="94" xfId="0" applyNumberFormat="1" applyFont="1" applyFill="1" applyBorder="1" applyAlignment="1">
      <alignment vertical="center"/>
    </xf>
    <xf numFmtId="39" fontId="2" fillId="7" borderId="94" xfId="0" quotePrefix="1" applyNumberFormat="1" applyFont="1" applyFill="1" applyBorder="1" applyAlignment="1">
      <alignment horizontal="center" vertical="center"/>
    </xf>
    <xf numFmtId="39" fontId="2" fillId="7" borderId="95" xfId="0" applyNumberFormat="1" applyFont="1" applyFill="1" applyBorder="1" applyAlignment="1">
      <alignment vertical="center"/>
    </xf>
    <xf numFmtId="39" fontId="0" fillId="7" borderId="30" xfId="0" applyNumberFormat="1" applyFill="1" applyBorder="1" applyAlignment="1">
      <alignment horizontal="left" vertical="center" indent="1"/>
    </xf>
    <xf numFmtId="39" fontId="2" fillId="7" borderId="0" xfId="0" applyNumberFormat="1" applyFont="1" applyFill="1" applyAlignment="1">
      <alignment horizontal="left" vertical="center"/>
    </xf>
    <xf numFmtId="39" fontId="2" fillId="7" borderId="46" xfId="0" applyNumberFormat="1" applyFont="1" applyFill="1" applyBorder="1" applyAlignment="1">
      <alignment horizontal="left" vertical="center" indent="1"/>
    </xf>
    <xf numFmtId="39" fontId="2" fillId="7" borderId="44" xfId="0" applyNumberFormat="1" applyFont="1" applyFill="1" applyBorder="1" applyAlignment="1">
      <alignment horizontal="left" vertical="center"/>
    </xf>
    <xf numFmtId="0" fontId="2" fillId="7" borderId="44" xfId="0" applyFont="1" applyFill="1" applyBorder="1"/>
    <xf numFmtId="39" fontId="2" fillId="7" borderId="46" xfId="0" applyNumberFormat="1" applyFont="1" applyFill="1" applyBorder="1" applyAlignment="1">
      <alignment vertical="center"/>
    </xf>
    <xf numFmtId="39" fontId="2" fillId="7" borderId="47" xfId="0" applyNumberFormat="1" applyFont="1" applyFill="1" applyBorder="1" applyAlignment="1">
      <alignment vertical="center"/>
    </xf>
    <xf numFmtId="39" fontId="2" fillId="7" borderId="96" xfId="0" applyNumberFormat="1" applyFont="1" applyFill="1" applyBorder="1" applyAlignment="1">
      <alignment vertical="center"/>
    </xf>
    <xf numFmtId="39" fontId="2" fillId="7" borderId="0" xfId="0" quotePrefix="1" applyNumberFormat="1" applyFont="1" applyFill="1" applyAlignment="1">
      <alignment horizontal="center" vertical="center"/>
    </xf>
    <xf numFmtId="39" fontId="2" fillId="7" borderId="30" xfId="0" applyNumberFormat="1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vertical="center"/>
    </xf>
    <xf numFmtId="39" fontId="2" fillId="7" borderId="0" xfId="0" applyNumberFormat="1" applyFont="1" applyFill="1" applyBorder="1" applyAlignment="1">
      <alignment horizontal="left" vertical="center" indent="1"/>
    </xf>
    <xf numFmtId="39" fontId="2" fillId="7" borderId="0" xfId="0" applyNumberFormat="1" applyFont="1" applyFill="1" applyBorder="1" applyAlignment="1">
      <alignment horizontal="left" vertical="center"/>
    </xf>
    <xf numFmtId="0" fontId="2" fillId="7" borderId="0" xfId="0" applyFont="1" applyFill="1" applyBorder="1"/>
    <xf numFmtId="39" fontId="2" fillId="7" borderId="0" xfId="0" applyNumberFormat="1" applyFont="1" applyFill="1" applyBorder="1" applyAlignment="1">
      <alignment vertical="center"/>
    </xf>
    <xf numFmtId="37" fontId="2" fillId="7" borderId="88" xfId="0" applyNumberFormat="1" applyFont="1" applyFill="1" applyBorder="1" applyAlignment="1">
      <alignment horizontal="center" vertical="center"/>
    </xf>
    <xf numFmtId="0" fontId="0" fillId="7" borderId="89" xfId="0" applyFont="1" applyFill="1" applyBorder="1" applyAlignment="1">
      <alignment vertical="center"/>
    </xf>
    <xf numFmtId="0" fontId="2" fillId="7" borderId="44" xfId="0" applyFont="1" applyFill="1" applyBorder="1" applyAlignment="1">
      <alignment horizontal="center" vertical="center"/>
    </xf>
    <xf numFmtId="37" fontId="2" fillId="7" borderId="29" xfId="0" applyNumberFormat="1" applyFont="1" applyFill="1" applyBorder="1" applyAlignment="1">
      <alignment horizontal="center" vertical="center"/>
    </xf>
    <xf numFmtId="37" fontId="2" fillId="7" borderId="29" xfId="0" applyNumberFormat="1" applyFont="1" applyFill="1" applyBorder="1" applyAlignment="1">
      <alignment horizontal="left" vertical="center"/>
    </xf>
    <xf numFmtId="37" fontId="2" fillId="7" borderId="42" xfId="0" applyNumberFormat="1" applyFont="1" applyFill="1" applyBorder="1" applyAlignment="1">
      <alignment horizontal="left" vertical="center"/>
    </xf>
    <xf numFmtId="0" fontId="2" fillId="7" borderId="44" xfId="0" applyFont="1" applyFill="1" applyBorder="1" applyAlignment="1">
      <alignment vertical="center"/>
    </xf>
    <xf numFmtId="0" fontId="2" fillId="7" borderId="45" xfId="0" applyFont="1" applyFill="1" applyBorder="1" applyAlignment="1">
      <alignment vertical="center"/>
    </xf>
    <xf numFmtId="39" fontId="2" fillId="7" borderId="155" xfId="0" applyNumberFormat="1" applyFont="1" applyFill="1" applyBorder="1" applyAlignment="1">
      <alignment vertical="center"/>
    </xf>
    <xf numFmtId="39" fontId="2" fillId="7" borderId="155" xfId="0" applyNumberFormat="1" applyFont="1" applyFill="1" applyBorder="1" applyAlignment="1">
      <alignment horizontal="right" vertical="center"/>
    </xf>
    <xf numFmtId="39" fontId="2" fillId="7" borderId="46" xfId="0" quotePrefix="1" applyNumberFormat="1" applyFont="1" applyFill="1" applyBorder="1" applyAlignment="1">
      <alignment horizontal="center" vertical="center"/>
    </xf>
    <xf numFmtId="37" fontId="2" fillId="11" borderId="88" xfId="0" applyNumberFormat="1" applyFont="1" applyFill="1" applyBorder="1" applyAlignment="1">
      <alignment horizontal="center" vertical="center"/>
    </xf>
    <xf numFmtId="0" fontId="0" fillId="11" borderId="89" xfId="0" applyFont="1" applyFill="1" applyBorder="1" applyAlignment="1">
      <alignment vertical="center"/>
    </xf>
    <xf numFmtId="0" fontId="2" fillId="11" borderId="89" xfId="0" applyFont="1" applyFill="1" applyBorder="1" applyAlignment="1">
      <alignment horizontal="center" vertical="center"/>
    </xf>
    <xf numFmtId="37" fontId="2" fillId="11" borderId="29" xfId="0" applyNumberFormat="1" applyFont="1" applyFill="1" applyBorder="1" applyAlignment="1">
      <alignment horizontal="center" vertical="center"/>
    </xf>
    <xf numFmtId="0" fontId="2" fillId="11" borderId="258" xfId="0" applyFont="1" applyFill="1" applyBorder="1" applyAlignment="1">
      <alignment vertical="center"/>
    </xf>
    <xf numFmtId="39" fontId="2" fillId="11" borderId="218" xfId="0" applyNumberFormat="1" applyFont="1" applyFill="1" applyBorder="1" applyAlignment="1">
      <alignment vertical="center"/>
    </xf>
    <xf numFmtId="0" fontId="2" fillId="11" borderId="0" xfId="0" applyFont="1" applyFill="1" applyBorder="1" applyAlignment="1">
      <alignment horizontal="center"/>
    </xf>
    <xf numFmtId="0" fontId="2" fillId="11" borderId="0" xfId="0" quotePrefix="1" applyFont="1" applyFill="1" applyBorder="1" applyAlignment="1">
      <alignment vertical="center"/>
    </xf>
    <xf numFmtId="37" fontId="2" fillId="11" borderId="29" xfId="0" applyNumberFormat="1" applyFont="1" applyFill="1" applyBorder="1" applyAlignment="1">
      <alignment horizontal="left" vertical="center"/>
    </xf>
    <xf numFmtId="39" fontId="0" fillId="11" borderId="258" xfId="0" applyNumberFormat="1" applyFill="1" applyBorder="1" applyAlignment="1">
      <alignment horizontal="left" vertical="center" indent="1"/>
    </xf>
    <xf numFmtId="37" fontId="2" fillId="11" borderId="42" xfId="0" applyNumberFormat="1" applyFont="1" applyFill="1" applyBorder="1" applyAlignment="1">
      <alignment horizontal="left" vertical="center"/>
    </xf>
    <xf numFmtId="0" fontId="2" fillId="11" borderId="44" xfId="0" applyFont="1" applyFill="1" applyBorder="1" applyAlignment="1">
      <alignment vertical="center"/>
    </xf>
    <xf numFmtId="0" fontId="2" fillId="11" borderId="45" xfId="0" applyFont="1" applyFill="1" applyBorder="1" applyAlignment="1">
      <alignment vertical="center"/>
    </xf>
    <xf numFmtId="39" fontId="2" fillId="11" borderId="155" xfId="0" applyNumberFormat="1" applyFont="1" applyFill="1" applyBorder="1" applyAlignment="1">
      <alignment vertical="center"/>
    </xf>
    <xf numFmtId="39" fontId="2" fillId="11" borderId="155" xfId="0" applyNumberFormat="1" applyFont="1" applyFill="1" applyBorder="1" applyAlignment="1">
      <alignment horizontal="right" vertical="center"/>
    </xf>
    <xf numFmtId="39" fontId="2" fillId="11" borderId="46" xfId="0" quotePrefix="1" applyNumberFormat="1" applyFont="1" applyFill="1" applyBorder="1" applyAlignment="1">
      <alignment horizontal="center" vertical="center"/>
    </xf>
    <xf numFmtId="39" fontId="32" fillId="15" borderId="89" xfId="0" applyNumberFormat="1" applyFont="1" applyFill="1" applyBorder="1" applyAlignment="1">
      <alignment vertical="center"/>
    </xf>
    <xf numFmtId="37" fontId="2" fillId="10" borderId="88" xfId="0" applyNumberFormat="1" applyFont="1" applyFill="1" applyBorder="1" applyAlignment="1">
      <alignment horizontal="center" vertical="center"/>
    </xf>
    <xf numFmtId="0" fontId="0" fillId="10" borderId="89" xfId="0" applyFont="1" applyFill="1" applyBorder="1" applyAlignment="1">
      <alignment vertical="center"/>
    </xf>
    <xf numFmtId="0" fontId="2" fillId="10" borderId="89" xfId="0" applyFont="1" applyFill="1" applyBorder="1" applyAlignment="1">
      <alignment horizontal="center" vertical="center"/>
    </xf>
    <xf numFmtId="39" fontId="32" fillId="10" borderId="89" xfId="0" applyNumberFormat="1" applyFont="1" applyFill="1" applyBorder="1" applyAlignment="1">
      <alignment vertical="center"/>
    </xf>
    <xf numFmtId="37" fontId="2" fillId="10" borderId="29" xfId="0" applyNumberFormat="1" applyFont="1" applyFill="1" applyBorder="1" applyAlignment="1">
      <alignment horizontal="center" vertical="center"/>
    </xf>
    <xf numFmtId="0" fontId="2" fillId="10" borderId="0" xfId="0" applyFont="1" applyFill="1" applyBorder="1"/>
    <xf numFmtId="0" fontId="2" fillId="10" borderId="0" xfId="0" applyFont="1" applyFill="1" applyBorder="1" applyAlignment="1">
      <alignment vertical="center"/>
    </xf>
    <xf numFmtId="39" fontId="2" fillId="10" borderId="0" xfId="0" applyNumberFormat="1" applyFont="1" applyFill="1" applyBorder="1" applyAlignment="1">
      <alignment vertical="center"/>
    </xf>
    <xf numFmtId="0" fontId="2" fillId="10" borderId="258" xfId="0" applyFont="1" applyFill="1" applyBorder="1" applyAlignment="1">
      <alignment vertical="center"/>
    </xf>
    <xf numFmtId="0" fontId="2" fillId="10" borderId="0" xfId="0" applyFont="1" applyFill="1" applyBorder="1" applyAlignment="1">
      <alignment horizontal="center" vertical="center"/>
    </xf>
    <xf numFmtId="39" fontId="2" fillId="10" borderId="218" xfId="0" applyNumberFormat="1" applyFont="1" applyFill="1" applyBorder="1" applyAlignment="1">
      <alignment vertical="center"/>
    </xf>
    <xf numFmtId="0" fontId="2" fillId="10" borderId="0" xfId="0" applyFont="1" applyFill="1" applyBorder="1" applyAlignment="1">
      <alignment horizontal="center"/>
    </xf>
    <xf numFmtId="39" fontId="2" fillId="10" borderId="0" xfId="0" quotePrefix="1" applyNumberFormat="1" applyFont="1" applyFill="1" applyAlignment="1">
      <alignment horizontal="center" vertical="center"/>
    </xf>
    <xf numFmtId="0" fontId="2" fillId="10" borderId="0" xfId="0" quotePrefix="1" applyFont="1" applyFill="1" applyBorder="1" applyAlignment="1">
      <alignment vertical="center"/>
    </xf>
    <xf numFmtId="37" fontId="2" fillId="10" borderId="29" xfId="0" applyNumberFormat="1" applyFont="1" applyFill="1" applyBorder="1" applyAlignment="1">
      <alignment horizontal="left" vertical="center"/>
    </xf>
    <xf numFmtId="39" fontId="0" fillId="10" borderId="258" xfId="0" applyNumberFormat="1" applyFill="1" applyBorder="1" applyAlignment="1">
      <alignment horizontal="left" vertical="center" indent="1"/>
    </xf>
    <xf numFmtId="39" fontId="2" fillId="10" borderId="0" xfId="0" applyNumberFormat="1" applyFont="1" applyFill="1" applyBorder="1" applyAlignment="1">
      <alignment horizontal="left" vertical="center"/>
    </xf>
    <xf numFmtId="37" fontId="2" fillId="10" borderId="42" xfId="0" applyNumberFormat="1" applyFont="1" applyFill="1" applyBorder="1" applyAlignment="1">
      <alignment horizontal="left" vertical="center"/>
    </xf>
    <xf numFmtId="0" fontId="2" fillId="10" borderId="44" xfId="0" applyFont="1" applyFill="1" applyBorder="1" applyAlignment="1">
      <alignment vertical="center"/>
    </xf>
    <xf numFmtId="0" fontId="2" fillId="10" borderId="45" xfId="0" applyFont="1" applyFill="1" applyBorder="1" applyAlignment="1">
      <alignment vertical="center"/>
    </xf>
    <xf numFmtId="39" fontId="2" fillId="10" borderId="155" xfId="0" applyNumberFormat="1" applyFont="1" applyFill="1" applyBorder="1" applyAlignment="1">
      <alignment vertical="center"/>
    </xf>
    <xf numFmtId="39" fontId="2" fillId="10" borderId="155" xfId="0" applyNumberFormat="1" applyFont="1" applyFill="1" applyBorder="1" applyAlignment="1">
      <alignment horizontal="right" vertical="center"/>
    </xf>
    <xf numFmtId="39" fontId="2" fillId="10" borderId="46" xfId="0" quotePrefix="1" applyNumberFormat="1" applyFont="1" applyFill="1" applyBorder="1" applyAlignment="1">
      <alignment horizontal="center" vertical="center"/>
    </xf>
    <xf numFmtId="37" fontId="2" fillId="16" borderId="88" xfId="0" applyNumberFormat="1" applyFont="1" applyFill="1" applyBorder="1" applyAlignment="1">
      <alignment horizontal="center" vertical="center"/>
    </xf>
    <xf numFmtId="0" fontId="0" fillId="16" borderId="89" xfId="0" applyFont="1" applyFill="1" applyBorder="1" applyAlignment="1">
      <alignment vertical="center"/>
    </xf>
    <xf numFmtId="0" fontId="2" fillId="16" borderId="89" xfId="0" applyFont="1" applyFill="1" applyBorder="1" applyAlignment="1">
      <alignment horizontal="center" vertical="center"/>
    </xf>
    <xf numFmtId="39" fontId="32" fillId="16" borderId="89" xfId="0" applyNumberFormat="1" applyFont="1" applyFill="1" applyBorder="1" applyAlignment="1">
      <alignment vertical="center"/>
    </xf>
    <xf numFmtId="37" fontId="2" fillId="16" borderId="29" xfId="0" applyNumberFormat="1" applyFont="1" applyFill="1" applyBorder="1" applyAlignment="1">
      <alignment horizontal="center" vertical="center"/>
    </xf>
    <xf numFmtId="0" fontId="2" fillId="16" borderId="258" xfId="0" applyFont="1" applyFill="1" applyBorder="1" applyAlignment="1">
      <alignment vertical="center"/>
    </xf>
    <xf numFmtId="39" fontId="2" fillId="16" borderId="218" xfId="0" applyNumberFormat="1" applyFont="1" applyFill="1" applyBorder="1" applyAlignment="1">
      <alignment vertical="center"/>
    </xf>
    <xf numFmtId="0" fontId="2" fillId="16" borderId="0" xfId="0" applyFont="1" applyFill="1" applyBorder="1" applyAlignment="1">
      <alignment horizontal="center"/>
    </xf>
    <xf numFmtId="0" fontId="2" fillId="16" borderId="0" xfId="0" quotePrefix="1" applyFont="1" applyFill="1" applyBorder="1" applyAlignment="1">
      <alignment vertical="center"/>
    </xf>
    <xf numFmtId="37" fontId="2" fillId="16" borderId="29" xfId="0" applyNumberFormat="1" applyFont="1" applyFill="1" applyBorder="1" applyAlignment="1">
      <alignment horizontal="left" vertical="center"/>
    </xf>
    <xf numFmtId="39" fontId="0" fillId="16" borderId="258" xfId="0" applyNumberFormat="1" applyFill="1" applyBorder="1" applyAlignment="1">
      <alignment horizontal="left" vertical="center" indent="1"/>
    </xf>
    <xf numFmtId="37" fontId="2" fillId="16" borderId="42" xfId="0" applyNumberFormat="1" applyFont="1" applyFill="1" applyBorder="1" applyAlignment="1">
      <alignment horizontal="left" vertical="center"/>
    </xf>
    <xf numFmtId="0" fontId="2" fillId="16" borderId="44" xfId="0" applyFont="1" applyFill="1" applyBorder="1" applyAlignment="1">
      <alignment vertical="center"/>
    </xf>
    <xf numFmtId="0" fontId="2" fillId="16" borderId="45" xfId="0" applyFont="1" applyFill="1" applyBorder="1" applyAlignment="1">
      <alignment vertical="center"/>
    </xf>
    <xf numFmtId="39" fontId="2" fillId="16" borderId="155" xfId="0" applyNumberFormat="1" applyFont="1" applyFill="1" applyBorder="1" applyAlignment="1">
      <alignment vertical="center"/>
    </xf>
    <xf numFmtId="39" fontId="2" fillId="16" borderId="155" xfId="0" applyNumberFormat="1" applyFont="1" applyFill="1" applyBorder="1" applyAlignment="1">
      <alignment horizontal="right" vertical="center"/>
    </xf>
    <xf numFmtId="39" fontId="2" fillId="16" borderId="46" xfId="0" quotePrefix="1" applyNumberFormat="1" applyFont="1" applyFill="1" applyBorder="1" applyAlignment="1">
      <alignment horizontal="center" vertical="center"/>
    </xf>
    <xf numFmtId="0" fontId="0" fillId="12" borderId="289" xfId="0" applyFill="1" applyBorder="1" applyAlignment="1">
      <alignment vertical="center"/>
    </xf>
    <xf numFmtId="0" fontId="0" fillId="12" borderId="303" xfId="0" applyFill="1" applyBorder="1" applyAlignment="1">
      <alignment vertical="center"/>
    </xf>
    <xf numFmtId="0" fontId="2" fillId="16" borderId="89" xfId="0" applyFont="1" applyFill="1" applyBorder="1"/>
    <xf numFmtId="39" fontId="32" fillId="11" borderId="89" xfId="0" applyNumberFormat="1" applyFont="1" applyFill="1" applyBorder="1" applyAlignment="1">
      <alignment vertical="center"/>
    </xf>
    <xf numFmtId="39" fontId="32" fillId="7" borderId="89" xfId="0" applyNumberFormat="1" applyFont="1" applyFill="1" applyBorder="1" applyAlignment="1">
      <alignment vertical="center"/>
    </xf>
    <xf numFmtId="0" fontId="0" fillId="10" borderId="289" xfId="0" applyFill="1" applyBorder="1" applyAlignment="1">
      <alignment vertical="center"/>
    </xf>
    <xf numFmtId="0" fontId="0" fillId="10" borderId="303" xfId="0" applyFill="1" applyBorder="1" applyAlignment="1">
      <alignment vertical="center"/>
    </xf>
    <xf numFmtId="0" fontId="0" fillId="11" borderId="289" xfId="0" applyFill="1" applyBorder="1" applyAlignment="1">
      <alignment vertical="center"/>
    </xf>
    <xf numFmtId="0" fontId="0" fillId="11" borderId="303" xfId="0" applyFill="1" applyBorder="1" applyAlignment="1">
      <alignment vertical="center"/>
    </xf>
    <xf numFmtId="0" fontId="0" fillId="7" borderId="174" xfId="0" applyFill="1" applyBorder="1" applyAlignment="1">
      <alignment horizontal="center" vertical="center"/>
    </xf>
    <xf numFmtId="0" fontId="14" fillId="7" borderId="178" xfId="0" applyFont="1" applyFill="1" applyBorder="1" applyAlignment="1">
      <alignment horizontal="left" vertical="center" indent="1"/>
    </xf>
    <xf numFmtId="0" fontId="0" fillId="7" borderId="289" xfId="0" applyFill="1" applyBorder="1" applyAlignment="1">
      <alignment vertical="center"/>
    </xf>
    <xf numFmtId="0" fontId="0" fillId="7" borderId="303" xfId="0" applyFill="1" applyBorder="1" applyAlignment="1">
      <alignment vertical="center"/>
    </xf>
    <xf numFmtId="0" fontId="8" fillId="7" borderId="180" xfId="0" applyFont="1" applyFill="1" applyBorder="1" applyAlignment="1">
      <alignment horizontal="center" vertical="center"/>
    </xf>
    <xf numFmtId="39" fontId="8" fillId="7" borderId="181" xfId="0" applyNumberFormat="1" applyFont="1" applyFill="1" applyBorder="1" applyAlignment="1">
      <alignment vertical="center"/>
    </xf>
    <xf numFmtId="0" fontId="0" fillId="7" borderId="178" xfId="0" applyFill="1" applyBorder="1" applyAlignment="1">
      <alignment horizontal="left" vertical="center" indent="1"/>
    </xf>
    <xf numFmtId="39" fontId="27" fillId="7" borderId="181" xfId="0" applyNumberFormat="1" applyFont="1" applyFill="1" applyBorder="1" applyAlignment="1">
      <alignment vertical="center"/>
    </xf>
    <xf numFmtId="39" fontId="27" fillId="11" borderId="181" xfId="0" applyNumberFormat="1" applyFont="1" applyFill="1" applyBorder="1" applyAlignment="1">
      <alignment vertical="center"/>
    </xf>
    <xf numFmtId="39" fontId="27" fillId="10" borderId="181" xfId="0" applyNumberFormat="1" applyFont="1" applyFill="1" applyBorder="1" applyAlignment="1">
      <alignment vertical="center"/>
    </xf>
    <xf numFmtId="39" fontId="27" fillId="12" borderId="181" xfId="0" applyNumberFormat="1" applyFont="1" applyFill="1" applyBorder="1" applyAlignment="1">
      <alignment vertical="center"/>
    </xf>
    <xf numFmtId="0" fontId="2" fillId="7" borderId="42" xfId="0" applyFont="1" applyFill="1" applyBorder="1" applyAlignment="1">
      <alignment horizontal="center" vertical="center"/>
    </xf>
    <xf numFmtId="0" fontId="2" fillId="0" borderId="295" xfId="0" applyFont="1" applyBorder="1" applyAlignment="1">
      <alignment horizontal="left" vertical="center"/>
    </xf>
    <xf numFmtId="0" fontId="2" fillId="0" borderId="300" xfId="0" applyFont="1" applyBorder="1" applyAlignment="1">
      <alignment horizontal="centerContinuous" vertical="center"/>
    </xf>
    <xf numFmtId="166" fontId="2" fillId="2" borderId="301" xfId="2" applyNumberFormat="1" applyFont="1" applyFill="1" applyBorder="1" applyAlignment="1" applyProtection="1">
      <alignment vertical="center"/>
    </xf>
    <xf numFmtId="166" fontId="2" fillId="2" borderId="301" xfId="2" applyNumberFormat="1" applyFont="1" applyFill="1" applyBorder="1" applyAlignment="1" applyProtection="1">
      <alignment horizontal="right" vertical="center"/>
    </xf>
    <xf numFmtId="0" fontId="0" fillId="0" borderId="299" xfId="0" applyFont="1" applyBorder="1" applyAlignment="1">
      <alignment horizontal="left" vertical="center" indent="1"/>
    </xf>
    <xf numFmtId="0" fontId="35" fillId="0" borderId="15" xfId="0" applyFont="1" applyBorder="1" applyAlignment="1">
      <alignment horizontal="center" vertical="center"/>
    </xf>
    <xf numFmtId="164" fontId="35" fillId="0" borderId="15" xfId="2" applyFont="1" applyBorder="1" applyAlignment="1">
      <alignment horizontal="center" vertical="center"/>
    </xf>
    <xf numFmtId="1" fontId="11" fillId="0" borderId="258" xfId="0" applyNumberFormat="1" applyFont="1" applyBorder="1" applyAlignment="1">
      <alignment horizontal="center" vertical="center"/>
    </xf>
    <xf numFmtId="166" fontId="23" fillId="0" borderId="218" xfId="2" quotePrefix="1" applyNumberFormat="1" applyFont="1" applyBorder="1" applyAlignment="1">
      <alignment horizontal="right" vertical="center"/>
    </xf>
    <xf numFmtId="0" fontId="35" fillId="0" borderId="304" xfId="0" applyFont="1" applyBorder="1" applyAlignment="1">
      <alignment vertical="center"/>
    </xf>
    <xf numFmtId="0" fontId="35" fillId="0" borderId="304" xfId="0" applyFont="1" applyBorder="1" applyAlignment="1">
      <alignment horizontal="center" vertical="center"/>
    </xf>
    <xf numFmtId="164" fontId="35" fillId="0" borderId="304" xfId="2" applyFont="1" applyBorder="1" applyAlignment="1">
      <alignment horizontal="center" vertical="center"/>
    </xf>
    <xf numFmtId="164" fontId="35" fillId="0" borderId="304" xfId="2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39" fontId="14" fillId="7" borderId="35" xfId="0" applyNumberFormat="1" applyFont="1" applyFill="1" applyBorder="1" applyAlignment="1">
      <alignment horizontal="center" vertical="center" wrapText="1"/>
    </xf>
    <xf numFmtId="39" fontId="14" fillId="7" borderId="29" xfId="0" applyNumberFormat="1" applyFont="1" applyFill="1" applyBorder="1" applyAlignment="1">
      <alignment horizontal="center" vertical="center" wrapText="1"/>
    </xf>
    <xf numFmtId="39" fontId="14" fillId="7" borderId="195" xfId="0" applyNumberFormat="1" applyFont="1" applyFill="1" applyBorder="1" applyAlignment="1">
      <alignment horizontal="center" vertical="center" wrapText="1"/>
    </xf>
    <xf numFmtId="39" fontId="22" fillId="7" borderId="36" xfId="0" applyNumberFormat="1" applyFont="1" applyFill="1" applyBorder="1" applyAlignment="1">
      <alignment horizontal="center" vertical="center" wrapText="1"/>
    </xf>
    <xf numFmtId="39" fontId="22" fillId="7" borderId="143" xfId="0" applyNumberFormat="1" applyFont="1" applyFill="1" applyBorder="1" applyAlignment="1">
      <alignment horizontal="center" vertical="center" wrapText="1"/>
    </xf>
    <xf numFmtId="39" fontId="22" fillId="7" borderId="26" xfId="0" applyNumberFormat="1" applyFont="1" applyFill="1" applyBorder="1" applyAlignment="1">
      <alignment horizontal="center" vertical="center" wrapText="1"/>
    </xf>
    <xf numFmtId="39" fontId="22" fillId="7" borderId="28" xfId="0" applyNumberFormat="1" applyFont="1" applyFill="1" applyBorder="1" applyAlignment="1">
      <alignment horizontal="center" vertical="center" wrapText="1"/>
    </xf>
    <xf numFmtId="39" fontId="22" fillId="7" borderId="216" xfId="0" applyNumberFormat="1" applyFont="1" applyFill="1" applyBorder="1" applyAlignment="1">
      <alignment horizontal="center" vertical="center" wrapText="1"/>
    </xf>
    <xf numFmtId="39" fontId="22" fillId="7" borderId="199" xfId="0" applyNumberFormat="1" applyFont="1" applyFill="1" applyBorder="1" applyAlignment="1">
      <alignment horizontal="center" vertical="center" wrapText="1"/>
    </xf>
    <xf numFmtId="0" fontId="2" fillId="0" borderId="217" xfId="0" applyFont="1" applyBorder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39" fontId="14" fillId="7" borderId="36" xfId="0" applyNumberFormat="1" applyFont="1" applyFill="1" applyBorder="1" applyAlignment="1">
      <alignment horizontal="center" vertical="center" wrapText="1"/>
    </xf>
    <xf numFmtId="39" fontId="14" fillId="7" borderId="37" xfId="0" applyNumberFormat="1" applyFont="1" applyFill="1" applyBorder="1" applyAlignment="1">
      <alignment horizontal="center" vertical="center" wrapText="1"/>
    </xf>
    <xf numFmtId="39" fontId="14" fillId="7" borderId="217" xfId="0" applyNumberFormat="1" applyFont="1" applyFill="1" applyBorder="1" applyAlignment="1">
      <alignment horizontal="center" vertical="center" wrapText="1"/>
    </xf>
    <xf numFmtId="39" fontId="14" fillId="7" borderId="0" xfId="0" applyNumberFormat="1" applyFont="1" applyFill="1" applyAlignment="1">
      <alignment horizontal="center" vertical="center" wrapText="1"/>
    </xf>
    <xf numFmtId="39" fontId="14" fillId="7" borderId="216" xfId="0" applyNumberFormat="1" applyFont="1" applyFill="1" applyBorder="1" applyAlignment="1">
      <alignment horizontal="center" vertical="center" wrapText="1"/>
    </xf>
    <xf numFmtId="39" fontId="14" fillId="7" borderId="19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58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39" fontId="2" fillId="0" borderId="35" xfId="0" applyNumberFormat="1" applyFont="1" applyBorder="1" applyAlignment="1">
      <alignment horizontal="center" vertical="center" wrapText="1"/>
    </xf>
    <xf numFmtId="39" fontId="2" fillId="0" borderId="29" xfId="0" applyNumberFormat="1" applyFont="1" applyBorder="1" applyAlignment="1">
      <alignment horizontal="center" vertical="center" wrapText="1"/>
    </xf>
    <xf numFmtId="39" fontId="2" fillId="0" borderId="42" xfId="0" applyNumberFormat="1" applyFont="1" applyBorder="1" applyAlignment="1">
      <alignment horizontal="center" vertical="center" wrapText="1"/>
    </xf>
    <xf numFmtId="39" fontId="2" fillId="0" borderId="37" xfId="0" applyNumberFormat="1" applyFont="1" applyBorder="1" applyAlignment="1">
      <alignment horizontal="center" vertical="center" wrapText="1"/>
    </xf>
    <xf numFmtId="39" fontId="2" fillId="0" borderId="38" xfId="0" applyNumberFormat="1" applyFont="1" applyBorder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39" fontId="2" fillId="0" borderId="30" xfId="0" applyNumberFormat="1" applyFont="1" applyBorder="1" applyAlignment="1">
      <alignment horizontal="center" vertical="center" wrapText="1"/>
    </xf>
    <xf numFmtId="39" fontId="2" fillId="0" borderId="44" xfId="0" applyNumberFormat="1" applyFont="1" applyBorder="1" applyAlignment="1">
      <alignment horizontal="center" vertical="center" wrapText="1"/>
    </xf>
    <xf numFmtId="39" fontId="2" fillId="0" borderId="45" xfId="0" applyNumberFormat="1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166" fontId="11" fillId="0" borderId="39" xfId="2" applyNumberFormat="1" applyFont="1" applyBorder="1" applyAlignment="1" applyProtection="1">
      <alignment horizontal="center" vertical="center" wrapText="1"/>
    </xf>
    <xf numFmtId="166" fontId="11" fillId="0" borderId="27" xfId="2" applyNumberFormat="1" applyFont="1" applyBorder="1" applyAlignment="1" applyProtection="1">
      <alignment horizontal="center" vertical="center" wrapText="1"/>
    </xf>
    <xf numFmtId="166" fontId="11" fillId="0" borderId="46" xfId="2" applyNumberFormat="1" applyFont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7" borderId="35" xfId="0" applyFont="1" applyFill="1" applyBorder="1" applyAlignment="1">
      <alignment horizontal="center" vertical="center" wrapText="1"/>
    </xf>
    <xf numFmtId="0" fontId="14" fillId="7" borderId="29" xfId="0" applyFont="1" applyFill="1" applyBorder="1" applyAlignment="1">
      <alignment horizontal="center" vertical="center" wrapText="1"/>
    </xf>
    <xf numFmtId="0" fontId="14" fillId="7" borderId="195" xfId="0" applyFont="1" applyFill="1" applyBorder="1" applyAlignment="1">
      <alignment horizontal="center" vertical="center" wrapText="1"/>
    </xf>
    <xf numFmtId="0" fontId="14" fillId="7" borderId="37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30" xfId="0" applyFont="1" applyFill="1" applyBorder="1" applyAlignment="1">
      <alignment horizontal="center" vertical="center" wrapText="1"/>
    </xf>
    <xf numFmtId="0" fontId="14" fillId="7" borderId="196" xfId="0" applyFont="1" applyFill="1" applyBorder="1" applyAlignment="1">
      <alignment horizontal="center" vertical="center" wrapText="1"/>
    </xf>
    <xf numFmtId="0" fontId="14" fillId="7" borderId="197" xfId="0" applyFont="1" applyFill="1" applyBorder="1" applyAlignment="1">
      <alignment horizontal="center" vertical="center" wrapText="1"/>
    </xf>
    <xf numFmtId="0" fontId="14" fillId="7" borderId="39" xfId="0" applyFont="1" applyFill="1" applyBorder="1" applyAlignment="1">
      <alignment horizontal="center" vertical="center" wrapText="1"/>
    </xf>
    <xf numFmtId="0" fontId="14" fillId="7" borderId="27" xfId="0" applyFont="1" applyFill="1" applyBorder="1" applyAlignment="1">
      <alignment horizontal="center" vertical="center" wrapText="1"/>
    </xf>
    <xf numFmtId="0" fontId="14" fillId="7" borderId="198" xfId="0" applyFont="1" applyFill="1" applyBorder="1" applyAlignment="1">
      <alignment horizontal="center" vertical="center" wrapText="1"/>
    </xf>
    <xf numFmtId="166" fontId="22" fillId="7" borderId="39" xfId="2" applyNumberFormat="1" applyFont="1" applyFill="1" applyBorder="1" applyAlignment="1" applyProtection="1">
      <alignment horizontal="center" vertical="center" wrapText="1"/>
    </xf>
    <xf numFmtId="166" fontId="22" fillId="7" borderId="27" xfId="2" applyNumberFormat="1" applyFont="1" applyFill="1" applyBorder="1" applyAlignment="1" applyProtection="1">
      <alignment horizontal="center" vertical="center" wrapText="1"/>
    </xf>
    <xf numFmtId="166" fontId="22" fillId="7" borderId="198" xfId="2" applyNumberFormat="1" applyFont="1" applyFill="1" applyBorder="1" applyAlignment="1" applyProtection="1">
      <alignment horizontal="center" vertical="center" wrapText="1"/>
    </xf>
    <xf numFmtId="1" fontId="11" fillId="0" borderId="26" xfId="0" applyNumberFormat="1" applyFont="1" applyBorder="1" applyAlignment="1">
      <alignment horizontal="left" vertical="center" wrapText="1" indent="1"/>
    </xf>
    <xf numFmtId="1" fontId="11" fillId="0" borderId="0" xfId="0" applyNumberFormat="1" applyFont="1" applyAlignment="1">
      <alignment horizontal="left" vertical="center" wrapText="1" indent="1"/>
    </xf>
    <xf numFmtId="1" fontId="11" fillId="0" borderId="30" xfId="0" applyNumberFormat="1" applyFont="1" applyBorder="1" applyAlignment="1">
      <alignment horizontal="left" vertical="center" wrapText="1" indent="1"/>
    </xf>
    <xf numFmtId="0" fontId="11" fillId="0" borderId="26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30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13" fillId="0" borderId="80" xfId="3" applyFont="1" applyBorder="1" applyAlignment="1">
      <alignment horizontal="center" vertical="center"/>
    </xf>
    <xf numFmtId="0" fontId="13" fillId="0" borderId="83" xfId="3" applyFont="1" applyBorder="1" applyAlignment="1">
      <alignment horizontal="center" vertical="center"/>
    </xf>
    <xf numFmtId="0" fontId="13" fillId="0" borderId="80" xfId="3" applyFont="1" applyBorder="1" applyAlignment="1">
      <alignment horizontal="center" vertical="center" wrapText="1"/>
    </xf>
    <xf numFmtId="0" fontId="13" fillId="0" borderId="80" xfId="0" applyFont="1" applyBorder="1" applyAlignment="1">
      <alignment horizontal="center" vertical="center" wrapText="1"/>
    </xf>
    <xf numFmtId="0" fontId="13" fillId="0" borderId="79" xfId="3" applyFont="1" applyBorder="1" applyAlignment="1">
      <alignment horizontal="center" vertical="center"/>
    </xf>
    <xf numFmtId="0" fontId="13" fillId="0" borderId="82" xfId="3" applyFont="1" applyBorder="1" applyAlignment="1">
      <alignment horizontal="center" vertical="center"/>
    </xf>
    <xf numFmtId="0" fontId="2" fillId="0" borderId="2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46" xfId="0" applyFont="1" applyBorder="1" applyAlignment="1">
      <alignment horizontal="center" vertical="center" wrapText="1"/>
    </xf>
    <xf numFmtId="166" fontId="2" fillId="0" borderId="40" xfId="2" applyNumberFormat="1" applyFont="1" applyBorder="1" applyAlignment="1" applyProtection="1">
      <alignment horizontal="center" vertical="center" wrapText="1"/>
    </xf>
    <xf numFmtId="166" fontId="2" fillId="0" borderId="41" xfId="2" applyNumberFormat="1" applyFont="1" applyBorder="1" applyAlignment="1" applyProtection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58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169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30" xfId="0" applyFont="1" applyBorder="1" applyAlignment="1">
      <alignment horizontal="center"/>
    </xf>
    <xf numFmtId="0" fontId="28" fillId="0" borderId="44" xfId="0" applyFont="1" applyBorder="1" applyAlignment="1">
      <alignment horizontal="center"/>
    </xf>
    <xf numFmtId="0" fontId="28" fillId="0" borderId="45" xfId="0" applyFont="1" applyBorder="1" applyAlignment="1">
      <alignment horizontal="center"/>
    </xf>
    <xf numFmtId="0" fontId="36" fillId="0" borderId="241" xfId="0" applyFont="1" applyBorder="1" applyAlignment="1">
      <alignment horizontal="center" vertical="center"/>
    </xf>
    <xf numFmtId="0" fontId="36" fillId="0" borderId="213" xfId="0" applyFont="1" applyBorder="1" applyAlignment="1">
      <alignment horizontal="center" vertical="center"/>
    </xf>
    <xf numFmtId="165" fontId="38" fillId="9" borderId="0" xfId="14" applyNumberFormat="1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36" fillId="8" borderId="241" xfId="0" applyFont="1" applyFill="1" applyBorder="1" applyAlignment="1">
      <alignment horizontal="center" vertical="center"/>
    </xf>
    <xf numFmtId="0" fontId="36" fillId="8" borderId="242" xfId="0" applyFont="1" applyFill="1" applyBorder="1" applyAlignment="1">
      <alignment horizontal="center" vertical="center"/>
    </xf>
    <xf numFmtId="0" fontId="36" fillId="8" borderId="213" xfId="0" applyFont="1" applyFill="1" applyBorder="1" applyAlignment="1">
      <alignment horizontal="center" vertical="center"/>
    </xf>
    <xf numFmtId="0" fontId="35" fillId="8" borderId="241" xfId="0" applyFont="1" applyFill="1" applyBorder="1" applyAlignment="1">
      <alignment horizontal="center" vertical="center"/>
    </xf>
    <xf numFmtId="0" fontId="35" fillId="8" borderId="242" xfId="0" applyFont="1" applyFill="1" applyBorder="1" applyAlignment="1">
      <alignment horizontal="center" vertical="center"/>
    </xf>
    <xf numFmtId="0" fontId="35" fillId="8" borderId="213" xfId="0" applyFont="1" applyFill="1" applyBorder="1" applyAlignment="1">
      <alignment horizontal="center" vertical="center"/>
    </xf>
    <xf numFmtId="0" fontId="36" fillId="8" borderId="242" xfId="0" applyFont="1" applyFill="1" applyBorder="1" applyAlignment="1">
      <alignment horizontal="left" vertical="center"/>
    </xf>
    <xf numFmtId="0" fontId="35" fillId="0" borderId="12" xfId="0" applyFont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35" fillId="0" borderId="241" xfId="0" applyFont="1" applyBorder="1" applyAlignment="1">
      <alignment horizontal="left" vertical="center"/>
    </xf>
    <xf numFmtId="0" fontId="35" fillId="0" borderId="213" xfId="0" applyFont="1" applyBorder="1" applyAlignment="1">
      <alignment horizontal="left" vertical="center"/>
    </xf>
    <xf numFmtId="9" fontId="35" fillId="0" borderId="18" xfId="0" applyNumberFormat="1" applyFont="1" applyBorder="1" applyAlignment="1">
      <alignment horizontal="center" vertical="center" wrapText="1"/>
    </xf>
    <xf numFmtId="0" fontId="35" fillId="0" borderId="257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170" fontId="35" fillId="0" borderId="18" xfId="0" applyNumberFormat="1" applyFont="1" applyBorder="1" applyAlignment="1">
      <alignment horizontal="center" vertical="center" wrapText="1"/>
    </xf>
    <xf numFmtId="170" fontId="35" fillId="0" borderId="257" xfId="0" applyNumberFormat="1" applyFont="1" applyBorder="1" applyAlignment="1">
      <alignment horizontal="center" vertical="center" wrapText="1"/>
    </xf>
    <xf numFmtId="170" fontId="35" fillId="0" borderId="15" xfId="0" applyNumberFormat="1" applyFont="1" applyBorder="1" applyAlignment="1">
      <alignment horizontal="center" vertical="center" wrapText="1"/>
    </xf>
    <xf numFmtId="0" fontId="36" fillId="0" borderId="241" xfId="0" applyFont="1" applyBorder="1" applyAlignment="1">
      <alignment horizontal="left" vertical="center"/>
    </xf>
    <xf numFmtId="0" fontId="36" fillId="0" borderId="213" xfId="0" applyFont="1" applyBorder="1" applyAlignment="1">
      <alignment horizontal="left" vertical="center"/>
    </xf>
    <xf numFmtId="0" fontId="35" fillId="0" borderId="15" xfId="0" applyFont="1" applyBorder="1" applyAlignment="1">
      <alignment horizontal="center" vertical="center"/>
    </xf>
    <xf numFmtId="0" fontId="35" fillId="0" borderId="304" xfId="0" applyFont="1" applyBorder="1" applyAlignment="1">
      <alignment horizontal="center" vertical="center"/>
    </xf>
    <xf numFmtId="164" fontId="35" fillId="0" borderId="15" xfId="2" applyFont="1" applyBorder="1" applyAlignment="1">
      <alignment horizontal="center" vertical="center"/>
    </xf>
    <xf numFmtId="164" fontId="35" fillId="0" borderId="304" xfId="2" applyFont="1" applyBorder="1" applyAlignment="1">
      <alignment horizontal="center" vertical="center"/>
    </xf>
    <xf numFmtId="41" fontId="35" fillId="0" borderId="15" xfId="0" applyNumberFormat="1" applyFont="1" applyBorder="1" applyAlignment="1">
      <alignment horizontal="center" vertical="center"/>
    </xf>
    <xf numFmtId="0" fontId="35" fillId="0" borderId="75" xfId="0" applyFont="1" applyBorder="1" applyAlignment="1">
      <alignment horizontal="center" vertical="center"/>
    </xf>
    <xf numFmtId="0" fontId="35" fillId="0" borderId="219" xfId="0" applyFont="1" applyBorder="1" applyAlignment="1">
      <alignment horizontal="left" vertical="center" wrapText="1"/>
    </xf>
    <xf numFmtId="0" fontId="36" fillId="0" borderId="241" xfId="0" applyFont="1" applyBorder="1" applyAlignment="1">
      <alignment horizontal="left" vertical="center" wrapText="1"/>
    </xf>
    <xf numFmtId="0" fontId="36" fillId="0" borderId="213" xfId="0" applyFont="1" applyBorder="1" applyAlignment="1">
      <alignment horizontal="left" vertical="center" wrapText="1"/>
    </xf>
    <xf numFmtId="0" fontId="35" fillId="0" borderId="241" xfId="0" applyFont="1" applyBorder="1" applyAlignment="1">
      <alignment horizontal="left" vertical="center" wrapText="1"/>
    </xf>
    <xf numFmtId="0" fontId="35" fillId="0" borderId="213" xfId="0" applyFont="1" applyBorder="1" applyAlignment="1">
      <alignment horizontal="left" vertical="center" wrapText="1"/>
    </xf>
    <xf numFmtId="0" fontId="35" fillId="0" borderId="219" xfId="0" applyFont="1" applyBorder="1" applyAlignment="1">
      <alignment horizontal="left" vertical="top" wrapText="1"/>
    </xf>
    <xf numFmtId="0" fontId="35" fillId="0" borderId="12" xfId="0" applyFont="1" applyBorder="1" applyAlignment="1">
      <alignment horizontal="left" vertical="top" wrapText="1"/>
    </xf>
    <xf numFmtId="0" fontId="36" fillId="0" borderId="242" xfId="0" applyFont="1" applyBorder="1" applyAlignment="1">
      <alignment horizontal="center" vertical="center"/>
    </xf>
    <xf numFmtId="0" fontId="40" fillId="0" borderId="241" xfId="0" applyFont="1" applyBorder="1" applyAlignment="1">
      <alignment horizontal="left" vertical="center" wrapText="1"/>
    </xf>
    <xf numFmtId="0" fontId="40" fillId="0" borderId="213" xfId="0" applyFont="1" applyBorder="1" applyAlignment="1">
      <alignment horizontal="left" vertical="center" wrapText="1"/>
    </xf>
    <xf numFmtId="0" fontId="0" fillId="0" borderId="260" xfId="0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29" xfId="0" applyFont="1" applyBorder="1" applyAlignment="1">
      <alignment horizontal="center" vertical="center"/>
    </xf>
    <xf numFmtId="0" fontId="6" fillId="0" borderId="12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5" xfId="0" applyFont="1" applyBorder="1" applyAlignment="1">
      <alignment horizontal="center" vertical="center"/>
    </xf>
    <xf numFmtId="0" fontId="6" fillId="0" borderId="21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165" fontId="6" fillId="0" borderId="126" xfId="1" applyFont="1" applyBorder="1" applyAlignment="1" applyProtection="1">
      <alignment horizontal="left" vertical="center" indent="1"/>
    </xf>
    <xf numFmtId="165" fontId="6" fillId="0" borderId="218" xfId="1" applyFont="1" applyBorder="1" applyAlignment="1" applyProtection="1">
      <alignment horizontal="left" vertical="center" indent="1"/>
    </xf>
    <xf numFmtId="0" fontId="6" fillId="0" borderId="127" xfId="0" applyFont="1" applyBorder="1" applyAlignment="1">
      <alignment horizontal="center" vertical="center"/>
    </xf>
    <xf numFmtId="0" fontId="6" fillId="0" borderId="128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5">
    <cellStyle name="Accent1 2" xfId="6" xr:uid="{6B4FB582-6A51-4129-8EF2-84BBE126FE56}"/>
    <cellStyle name="Calculation 2" xfId="8" xr:uid="{514300AE-035D-49F2-A32E-B6AD88599C8C}"/>
    <cellStyle name="Comma" xfId="1" builtinId="3"/>
    <cellStyle name="Comma [0]" xfId="2" builtinId="6"/>
    <cellStyle name="Comma [0] 10 2" xfId="11" xr:uid="{42A9704D-C797-4227-9264-C116F95DB9E3}"/>
    <cellStyle name="Comma 3" xfId="4" xr:uid="{BDC5A085-4701-4907-8061-3E0248981C39}"/>
    <cellStyle name="Hyperlink" xfId="13" builtinId="8"/>
    <cellStyle name="Normal" xfId="0" builtinId="0"/>
    <cellStyle name="Normal 2" xfId="3" xr:uid="{00000000-0005-0000-0000-000003000000}"/>
    <cellStyle name="Normal 2 10" xfId="14" xr:uid="{CF5DBEAB-3F65-4596-818B-8455F086247C}"/>
    <cellStyle name="Normal 2 2 2" xfId="9" xr:uid="{72C404CD-1519-4082-A0EF-C17DDF2F4791}"/>
    <cellStyle name="Normal 4" xfId="5" xr:uid="{2E8FE300-DCFE-4F89-A6E1-CDAF668103C4}"/>
    <cellStyle name="Normal 7" xfId="10" xr:uid="{3ECB9346-C173-42CB-A4DF-9C87D4B0EDEC}"/>
    <cellStyle name="Percent" xfId="12" builtinId="5"/>
    <cellStyle name="Warning Text 2" xfId="7" xr:uid="{42A79F06-7EB8-4133-8EF5-548341E2E60B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298711741358101E-3"/>
          <c:y val="0.1012212850185205"/>
          <c:w val="0.982908627323833"/>
          <c:h val="0.85847955171346613"/>
        </c:manualLayout>
      </c:layout>
      <c:lineChart>
        <c:grouping val="stacked"/>
        <c:varyColors val="0"/>
        <c:ser>
          <c:idx val="0"/>
          <c:order val="0"/>
          <c:spPr>
            <a:ln w="19050">
              <a:solidFill>
                <a:schemeClr val="tx1"/>
              </a:solidFill>
              <a:prstDash val="sysDash"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val>
            <c:numRef>
              <c:f>[35]JADWAL!$K$27:$AB$27</c:f>
              <c:numCache>
                <c:formatCode>General</c:formatCode>
                <c:ptCount val="18"/>
                <c:pt idx="0">
                  <c:v>0.43761289323760183</c:v>
                </c:pt>
                <c:pt idx="1">
                  <c:v>5.3761808899686852</c:v>
                </c:pt>
                <c:pt idx="2">
                  <c:v>10.314748886699768</c:v>
                </c:pt>
                <c:pt idx="3">
                  <c:v>15.253316883430852</c:v>
                </c:pt>
                <c:pt idx="4">
                  <c:v>20.191884880161936</c:v>
                </c:pt>
                <c:pt idx="5">
                  <c:v>25.13045287689302</c:v>
                </c:pt>
                <c:pt idx="6">
                  <c:v>30.069020873624105</c:v>
                </c:pt>
                <c:pt idx="7">
                  <c:v>35.007588870355185</c:v>
                </c:pt>
                <c:pt idx="8">
                  <c:v>39.946156867086266</c:v>
                </c:pt>
                <c:pt idx="9">
                  <c:v>44.884724863817347</c:v>
                </c:pt>
                <c:pt idx="10">
                  <c:v>50.772059901363356</c:v>
                </c:pt>
                <c:pt idx="11">
                  <c:v>56.659394938909365</c:v>
                </c:pt>
                <c:pt idx="12">
                  <c:v>67.040375413877371</c:v>
                </c:pt>
                <c:pt idx="13">
                  <c:v>77.421355888845369</c:v>
                </c:pt>
                <c:pt idx="14">
                  <c:v>87.802336363813367</c:v>
                </c:pt>
                <c:pt idx="15">
                  <c:v>93.682361735287884</c:v>
                </c:pt>
                <c:pt idx="16">
                  <c:v>99.562387106762401</c:v>
                </c:pt>
                <c:pt idx="1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80-4223-8004-01B12C44E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438015"/>
        <c:axId val="1"/>
      </c:lineChart>
      <c:catAx>
        <c:axId val="124243801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424380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674052</xdr:colOff>
      <xdr:row>54</xdr:row>
      <xdr:rowOff>42862</xdr:rowOff>
    </xdr:from>
    <xdr:to>
      <xdr:col>15</xdr:col>
      <xdr:colOff>406082</xdr:colOff>
      <xdr:row>61</xdr:row>
      <xdr:rowOff>144462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FD24C7C3-5AAE-4AF4-B88F-C448F4D7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7772" y="9141142"/>
          <a:ext cx="1393190" cy="1328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233080</xdr:colOff>
      <xdr:row>14</xdr:row>
      <xdr:rowOff>152398</xdr:rowOff>
    </xdr:from>
    <xdr:to>
      <xdr:col>28</xdr:col>
      <xdr:colOff>295834</xdr:colOff>
      <xdr:row>23</xdr:row>
      <xdr:rowOff>185812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E249175-FF9E-4ECE-A0C0-BB3F81882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INKES%202009\RAB%20KESEHATAN\1.%20RAB%20%20POSDES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Gin%20gin\BTP\BTP%209%20X%2015%20240408\2004\F.S%20Jalan%20Sukabumi\EE%20Sukabumi\Metod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BT%202022/RAB+GAMBAR%20(PERUBAHAN)/3)%20MCK%202P/116-RAB%20MCK%20SAGANTEN-SINDANGBARA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6\d\RAB%20BP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2\d\REHAB%20KKKS%20maret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4\d\PERTANIAN%202011\SUMUR\sumur\RAB%20SUMUR%20DANGK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Master%20Analisa%20Proyek\DEPHAN\Juni2006-Bdg%20AnalisaBu%20Dani%20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DATA%20PERENCANAAN\oen\Perencanaan%202006\Analis\ANALIS%20BM%2020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rive%20d\dhe_oen\Perencanaan%202006\Analis\ANALIS%20BM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\PUS%20MUKA\RAB%20CIIKALONGKUL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Fauzan\My%20Documents\RAB%20vaksi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Documents%20and%20Settings\user\My%20Documents\cipta%20karya%2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ANALISA%20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ocuments%20and%20Settings\User\Desktop\dokumen%20perencanaan_kwarcabfix\RAB\RAB\02%20ANALISA_2003_JABAR%20orig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@hmad\PROYEK%20_2008\PASAR%20INDUK%20CIANJUR\3_RAB\RAB%20PASAR%20INDUK%2028Mei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DATA%20PROYEK\Pasar%20Induk%20Cianjur\RAB\RAB%20Pasar%20Indu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2\datadony\RAB%20PRIAGU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%20heri\WILAYAH%202\Bina%20Marga\ANALISA%20K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data\PROYEK\Ancol\Opnam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kaza01\e\DATA%20BARU%202018\PUPR\DED%20KECAMATAN%20PACET%20DAN%20CIBEBER\PENGAWASAN%20KESDES\CIBEBER%20-%20PSR%20MUNDING%202007%20REVISITIMES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DATA%20Penting\Kom%20Dani\x2\Data%20Penting\RAB%20final\RAB-DTP-mekarsari%20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upah%202005\Slamet%20ok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%20PARK%20BANJAR\analis%20bina%20marga%2020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BAHAN%20PONED\PONED\PENAWARAN\My%20Documents\dsn\HPS%20DAK\Lembar%20Kerja%20Cipari%20-%20Cibitung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5-pc\d\2022_reviewdesignwparkbanjar_code-c\RAB%20WATERPARK%20OKE%20PISAN!!!\analis%20bina%20marga%2020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02\Comp02%20(D)\maman\Analisa%20Harga\ANALISA%20TERBARU%20RZ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2\DATA\CEP'DAT\ACEP\laporan\Laporan%20Harian%20Pagar\TA.%202004\Jembatan%20Cibodas\Laporan%20Harian%20Ciboda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rkim1\d\Pindahan%20Tarkim2\dhe_oen\2006\GSG\RAB%20GSG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3\d\Lap%20mekarsari%20ok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terbilang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AK%20TA.2022/19.RAB%20SPAM%20DAK%20CIMACAN-CIPANA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D%20SPAM%20DAK%202025\I.PEMBANGUNAN%20JP\1.PEMBANGUNAN%20SPAM%20DAK%202025\2.PEMB.SPAM%20DAK%20MEKARMUKTI-CIBINONG\2.RAB%20PEMB.SPAM%20DAK%20MEKARMUKTI-CIBINONG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P-2020\SPAM%20REHAB\2.RAB.BOR%20SINDANGRAJA-SUKALUYU%20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cuments\LAP.SPAM%20DAK%20PL\DAK%20PL%209%20UNIT\2.RAB%20SPAM%20DAK%20KEMIS%20CIHEA-HAURWANGI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A%202017\New%20folder%20(2)\RAB%20DAK%20TA%202021\TEMATIK%20PENURUNAN%20ANGKA%20KEMATIAN%20IBU%20DAN%20STANTING\1.RAB%20DAK%20BALEGEDE-NARINGGU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inkPad\Downloads\RAB%20SMKK%20SPAM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RAB%20TA%202021/RAB.ABT%202021/SPAM/7.RAB%20PEMB.%20SPAM%20BOR%20KP.CIPEUYEUM,KERTASARI-HAURWAN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AB gudang"/>
      <sheetName val="Sheet2"/>
      <sheetName val="KUBIKASI"/>
      <sheetName val="ANALISA PRIN"/>
      <sheetName val="SATUAN"/>
      <sheetName val="HIT. TULANGAN"/>
      <sheetName val="ANALISA"/>
      <sheetName val="BAHAN"/>
      <sheetName val="UPAH"/>
      <sheetName val="RAB bpp"/>
      <sheetName val="REKAPITUL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78">
          <cell r="E78">
            <v>13500</v>
          </cell>
        </row>
        <row r="116">
          <cell r="E116">
            <v>30000</v>
          </cell>
        </row>
        <row r="125">
          <cell r="E125">
            <v>15500</v>
          </cell>
        </row>
        <row r="131">
          <cell r="E131">
            <v>185000</v>
          </cell>
        </row>
        <row r="187">
          <cell r="E187">
            <v>17000</v>
          </cell>
        </row>
        <row r="188">
          <cell r="E188">
            <v>17000</v>
          </cell>
        </row>
        <row r="189">
          <cell r="E189">
            <v>16000</v>
          </cell>
        </row>
        <row r="192">
          <cell r="E192">
            <v>55000</v>
          </cell>
        </row>
        <row r="193">
          <cell r="E193">
            <v>70000</v>
          </cell>
        </row>
        <row r="245">
          <cell r="E245">
            <v>5000</v>
          </cell>
        </row>
      </sheetData>
      <sheetData sheetId="9">
        <row r="20">
          <cell r="E20">
            <v>31500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BILANG"/>
      <sheetName val="BAHAN"/>
      <sheetName val="UPAH"/>
      <sheetName val="ANALISA"/>
      <sheetName val="SATUAN"/>
      <sheetName val="RAB MCK"/>
      <sheetName val="REKAP"/>
      <sheetName val="JADWAL"/>
    </sheetNames>
    <sheetDataSet>
      <sheetData sheetId="0" refreshError="1"/>
      <sheetData sheetId="1" refreshError="1">
        <row r="10">
          <cell r="G10">
            <v>150000</v>
          </cell>
        </row>
        <row r="11">
          <cell r="G11">
            <v>150000</v>
          </cell>
        </row>
        <row r="12">
          <cell r="G12">
            <v>200000</v>
          </cell>
        </row>
        <row r="13">
          <cell r="G13">
            <v>350000</v>
          </cell>
        </row>
        <row r="14">
          <cell r="G14">
            <v>350000</v>
          </cell>
        </row>
        <row r="15">
          <cell r="G15">
            <v>260000</v>
          </cell>
        </row>
        <row r="16">
          <cell r="G16">
            <v>900</v>
          </cell>
        </row>
        <row r="18">
          <cell r="G18">
            <v>1250</v>
          </cell>
        </row>
        <row r="19">
          <cell r="G19">
            <v>2500</v>
          </cell>
        </row>
        <row r="21">
          <cell r="G21">
            <v>1400</v>
          </cell>
        </row>
        <row r="22">
          <cell r="G22">
            <v>1500</v>
          </cell>
        </row>
        <row r="24">
          <cell r="G24">
            <v>250</v>
          </cell>
        </row>
        <row r="28">
          <cell r="G28">
            <v>20000</v>
          </cell>
        </row>
        <row r="30">
          <cell r="G30">
            <v>45000</v>
          </cell>
        </row>
        <row r="32">
          <cell r="G32">
            <v>13500</v>
          </cell>
        </row>
        <row r="33">
          <cell r="G33">
            <v>25000</v>
          </cell>
        </row>
        <row r="34">
          <cell r="G34">
            <v>21000</v>
          </cell>
        </row>
        <row r="35">
          <cell r="G35">
            <v>22500</v>
          </cell>
        </row>
        <row r="38">
          <cell r="G38">
            <v>8500</v>
          </cell>
        </row>
        <row r="40">
          <cell r="G40">
            <v>18450</v>
          </cell>
        </row>
        <row r="47">
          <cell r="G47">
            <v>13940</v>
          </cell>
        </row>
        <row r="49">
          <cell r="G49">
            <v>65600</v>
          </cell>
        </row>
        <row r="50">
          <cell r="G50">
            <v>45100</v>
          </cell>
        </row>
        <row r="51">
          <cell r="G51">
            <v>131200</v>
          </cell>
        </row>
        <row r="52">
          <cell r="G52">
            <v>32800</v>
          </cell>
        </row>
        <row r="54">
          <cell r="G54">
            <v>36900</v>
          </cell>
        </row>
        <row r="56">
          <cell r="G56">
            <v>164000</v>
          </cell>
        </row>
        <row r="57">
          <cell r="G57">
            <v>369000</v>
          </cell>
        </row>
        <row r="58">
          <cell r="G58">
            <v>9020</v>
          </cell>
        </row>
        <row r="59">
          <cell r="G59">
            <v>9020</v>
          </cell>
        </row>
        <row r="64">
          <cell r="G64">
            <v>3000000</v>
          </cell>
        </row>
        <row r="65">
          <cell r="G65">
            <v>3250000</v>
          </cell>
        </row>
        <row r="66">
          <cell r="G66">
            <v>1800000</v>
          </cell>
        </row>
        <row r="67">
          <cell r="G67">
            <v>6934000</v>
          </cell>
        </row>
        <row r="68">
          <cell r="G68">
            <v>7328000</v>
          </cell>
        </row>
        <row r="69">
          <cell r="G69">
            <v>5321000</v>
          </cell>
        </row>
        <row r="70">
          <cell r="G70">
            <v>5919000</v>
          </cell>
        </row>
        <row r="71">
          <cell r="G71">
            <v>3000000</v>
          </cell>
        </row>
        <row r="72">
          <cell r="G72">
            <v>3250000</v>
          </cell>
        </row>
        <row r="73">
          <cell r="G73">
            <v>2600</v>
          </cell>
        </row>
        <row r="80">
          <cell r="G80">
            <v>3250000</v>
          </cell>
        </row>
        <row r="82">
          <cell r="G82">
            <v>3250000</v>
          </cell>
        </row>
        <row r="83">
          <cell r="G83">
            <v>3250000</v>
          </cell>
        </row>
        <row r="88">
          <cell r="G88">
            <v>14000</v>
          </cell>
        </row>
        <row r="89">
          <cell r="G89">
            <v>47000</v>
          </cell>
        </row>
        <row r="90">
          <cell r="G90">
            <v>62000</v>
          </cell>
        </row>
        <row r="91">
          <cell r="G91">
            <v>43900</v>
          </cell>
        </row>
        <row r="93">
          <cell r="G93">
            <v>158000</v>
          </cell>
        </row>
        <row r="94">
          <cell r="G94">
            <v>66830</v>
          </cell>
        </row>
        <row r="100">
          <cell r="G100">
            <v>67650</v>
          </cell>
        </row>
        <row r="101">
          <cell r="G101">
            <v>17380</v>
          </cell>
        </row>
        <row r="102">
          <cell r="G102">
            <v>4600</v>
          </cell>
        </row>
        <row r="107">
          <cell r="G107">
            <v>44500</v>
          </cell>
        </row>
        <row r="108">
          <cell r="G108">
            <v>45000</v>
          </cell>
        </row>
        <row r="109">
          <cell r="G109">
            <v>38500</v>
          </cell>
        </row>
        <row r="110">
          <cell r="G110">
            <v>41000</v>
          </cell>
        </row>
        <row r="111">
          <cell r="G111">
            <v>45000</v>
          </cell>
        </row>
        <row r="112">
          <cell r="G112">
            <v>55000</v>
          </cell>
        </row>
        <row r="113">
          <cell r="G113">
            <v>1500</v>
          </cell>
        </row>
        <row r="114">
          <cell r="G114">
            <v>66650</v>
          </cell>
        </row>
        <row r="115">
          <cell r="G115">
            <v>92000</v>
          </cell>
        </row>
        <row r="118">
          <cell r="G118">
            <v>69000</v>
          </cell>
        </row>
        <row r="119">
          <cell r="G119">
            <v>78200</v>
          </cell>
        </row>
        <row r="122">
          <cell r="G122">
            <v>30420</v>
          </cell>
        </row>
        <row r="123">
          <cell r="G123">
            <v>34290</v>
          </cell>
        </row>
        <row r="124">
          <cell r="G124">
            <v>31870</v>
          </cell>
        </row>
        <row r="125">
          <cell r="G125">
            <v>40910</v>
          </cell>
        </row>
        <row r="128">
          <cell r="G128">
            <v>24150</v>
          </cell>
        </row>
        <row r="130">
          <cell r="G130">
            <v>6050</v>
          </cell>
        </row>
        <row r="131">
          <cell r="G131">
            <v>7350</v>
          </cell>
        </row>
        <row r="132">
          <cell r="G132">
            <v>9350</v>
          </cell>
        </row>
        <row r="133">
          <cell r="G133">
            <v>17375</v>
          </cell>
        </row>
        <row r="134">
          <cell r="G134">
            <v>25300</v>
          </cell>
        </row>
        <row r="135">
          <cell r="G135">
            <v>35050</v>
          </cell>
        </row>
        <row r="136">
          <cell r="G136">
            <v>49900</v>
          </cell>
        </row>
        <row r="137">
          <cell r="G137">
            <v>94400</v>
          </cell>
        </row>
        <row r="139">
          <cell r="G139">
            <v>19640</v>
          </cell>
        </row>
        <row r="140">
          <cell r="G140">
            <v>8280</v>
          </cell>
        </row>
        <row r="141">
          <cell r="G141">
            <v>9430</v>
          </cell>
        </row>
        <row r="142">
          <cell r="G142">
            <v>14240</v>
          </cell>
        </row>
        <row r="143">
          <cell r="G143">
            <v>21570</v>
          </cell>
        </row>
        <row r="145">
          <cell r="G145">
            <v>65520</v>
          </cell>
        </row>
        <row r="146">
          <cell r="G146">
            <v>101200</v>
          </cell>
        </row>
        <row r="151">
          <cell r="G151">
            <v>7240</v>
          </cell>
        </row>
        <row r="152">
          <cell r="G152">
            <v>24150</v>
          </cell>
        </row>
        <row r="153">
          <cell r="G153">
            <v>23000</v>
          </cell>
        </row>
        <row r="154">
          <cell r="G154">
            <v>138000</v>
          </cell>
        </row>
        <row r="155">
          <cell r="G155">
            <v>23000</v>
          </cell>
        </row>
        <row r="158">
          <cell r="G158">
            <v>17500</v>
          </cell>
        </row>
        <row r="159">
          <cell r="G159">
            <v>18100</v>
          </cell>
        </row>
        <row r="163">
          <cell r="G163">
            <v>18270</v>
          </cell>
        </row>
        <row r="164">
          <cell r="G164">
            <v>7460</v>
          </cell>
        </row>
        <row r="166">
          <cell r="G166">
            <v>8700</v>
          </cell>
        </row>
        <row r="167">
          <cell r="G167">
            <v>7460</v>
          </cell>
        </row>
        <row r="168">
          <cell r="G168">
            <v>82210</v>
          </cell>
        </row>
        <row r="169">
          <cell r="G169">
            <v>100480</v>
          </cell>
        </row>
        <row r="194">
          <cell r="G194">
            <v>14500</v>
          </cell>
        </row>
        <row r="195">
          <cell r="G195">
            <v>12500</v>
          </cell>
        </row>
        <row r="196">
          <cell r="G196">
            <v>11500</v>
          </cell>
        </row>
        <row r="197">
          <cell r="G197">
            <v>36900</v>
          </cell>
        </row>
        <row r="198">
          <cell r="G198">
            <v>16400</v>
          </cell>
        </row>
        <row r="203">
          <cell r="G203">
            <v>410</v>
          </cell>
        </row>
        <row r="206">
          <cell r="G206">
            <v>43700</v>
          </cell>
        </row>
        <row r="207">
          <cell r="G207">
            <v>62100</v>
          </cell>
        </row>
        <row r="209">
          <cell r="G209">
            <v>26080</v>
          </cell>
        </row>
        <row r="213">
          <cell r="G213">
            <v>18900</v>
          </cell>
        </row>
        <row r="215">
          <cell r="G215">
            <v>167470</v>
          </cell>
        </row>
        <row r="217">
          <cell r="G217">
            <v>1300000</v>
          </cell>
        </row>
        <row r="219">
          <cell r="G219">
            <v>1750000</v>
          </cell>
        </row>
        <row r="220">
          <cell r="G220">
            <v>1150000</v>
          </cell>
        </row>
        <row r="221">
          <cell r="G221">
            <v>2500</v>
          </cell>
        </row>
        <row r="225">
          <cell r="G225">
            <v>1500000</v>
          </cell>
        </row>
        <row r="226">
          <cell r="G226">
            <v>2500000</v>
          </cell>
        </row>
        <row r="227">
          <cell r="G227">
            <v>173250</v>
          </cell>
        </row>
        <row r="230">
          <cell r="G230">
            <v>530000</v>
          </cell>
        </row>
        <row r="231">
          <cell r="G231">
            <v>2200000</v>
          </cell>
        </row>
        <row r="236">
          <cell r="G236">
            <v>35000</v>
          </cell>
        </row>
        <row r="237">
          <cell r="G237">
            <v>1250</v>
          </cell>
        </row>
        <row r="238">
          <cell r="G238">
            <v>2500</v>
          </cell>
        </row>
        <row r="239">
          <cell r="G239">
            <v>2750</v>
          </cell>
        </row>
        <row r="240">
          <cell r="G240">
            <v>3600</v>
          </cell>
        </row>
        <row r="243">
          <cell r="G243">
            <v>95000</v>
          </cell>
        </row>
        <row r="245">
          <cell r="G245">
            <v>47000</v>
          </cell>
        </row>
        <row r="246">
          <cell r="G246">
            <v>35000</v>
          </cell>
        </row>
        <row r="247">
          <cell r="G247">
            <v>34120</v>
          </cell>
        </row>
        <row r="248">
          <cell r="G248">
            <v>3920</v>
          </cell>
        </row>
        <row r="250">
          <cell r="G250">
            <v>3300</v>
          </cell>
        </row>
        <row r="251">
          <cell r="G251">
            <v>3970</v>
          </cell>
        </row>
        <row r="255">
          <cell r="G255">
            <v>60000</v>
          </cell>
        </row>
        <row r="256">
          <cell r="G256">
            <v>19950</v>
          </cell>
        </row>
        <row r="260">
          <cell r="G260">
            <v>82420</v>
          </cell>
        </row>
        <row r="261">
          <cell r="G261">
            <v>55000</v>
          </cell>
        </row>
        <row r="262">
          <cell r="G262">
            <v>6300</v>
          </cell>
        </row>
        <row r="263">
          <cell r="G263">
            <v>11020</v>
          </cell>
        </row>
        <row r="265">
          <cell r="G265">
            <v>7500</v>
          </cell>
        </row>
        <row r="266">
          <cell r="G266">
            <v>13650</v>
          </cell>
        </row>
        <row r="267">
          <cell r="G267">
            <v>19950</v>
          </cell>
        </row>
        <row r="268">
          <cell r="G268">
            <v>150000</v>
          </cell>
        </row>
        <row r="269">
          <cell r="G269">
            <v>75000</v>
          </cell>
        </row>
        <row r="270">
          <cell r="G270">
            <v>30000</v>
          </cell>
        </row>
        <row r="273">
          <cell r="G273">
            <v>5250</v>
          </cell>
        </row>
      </sheetData>
      <sheetData sheetId="2" refreshError="1">
        <row r="10">
          <cell r="G10">
            <v>150000</v>
          </cell>
        </row>
        <row r="11">
          <cell r="G11">
            <v>135000</v>
          </cell>
        </row>
        <row r="12">
          <cell r="G12">
            <v>109000</v>
          </cell>
        </row>
        <row r="13">
          <cell r="G13">
            <v>105000</v>
          </cell>
        </row>
        <row r="14">
          <cell r="G14">
            <v>105000</v>
          </cell>
        </row>
        <row r="15">
          <cell r="G15">
            <v>105000</v>
          </cell>
        </row>
        <row r="16">
          <cell r="G16">
            <v>105000</v>
          </cell>
        </row>
      </sheetData>
      <sheetData sheetId="3" refreshError="1"/>
      <sheetData sheetId="4" refreshError="1">
        <row r="15">
          <cell r="I15">
            <v>40478</v>
          </cell>
        </row>
        <row r="19">
          <cell r="I19">
            <v>18630</v>
          </cell>
        </row>
        <row r="27">
          <cell r="I27">
            <v>31619</v>
          </cell>
        </row>
        <row r="30">
          <cell r="I30">
            <v>227700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(2)"/>
      <sheetName val="Sheet1"/>
      <sheetName val="Sheet2"/>
      <sheetName val="SAT-PEK"/>
      <sheetName val="Compatibility Report"/>
      <sheetName val="KUBIKASI"/>
      <sheetName val="HIT. TULANGAN"/>
      <sheetName val="METODA"/>
      <sheetName val="SCH"/>
      <sheetName val="ANALISA"/>
      <sheetName val="BAHAN"/>
      <sheetName val="UPAH"/>
      <sheetName val="SAT PEK OK"/>
      <sheetName val="RAB "/>
      <sheetName val="REKAPITULASI"/>
      <sheetName val="Peralatan (2)"/>
      <sheetName val="BOX PANEL"/>
      <sheetName val="HRG BHN"/>
    </sheetNames>
    <sheetDataSet>
      <sheetData sheetId="0" refreshError="1">
        <row r="3759">
          <cell r="I3759">
            <v>791382.8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 Pekerjaan"/>
      <sheetName val="H. Quari +"/>
      <sheetName val="Tanah"/>
      <sheetName val="Harga Satuan"/>
      <sheetName val="Analisa"/>
      <sheetName val="rb-2"/>
      <sheetName val="rekap-2"/>
      <sheetName val="BAHAN"/>
      <sheetName val="UPAH"/>
      <sheetName val="analisa (2)"/>
      <sheetName val="SAT-BHN"/>
      <sheetName val="Harga Bahan"/>
      <sheetName val="Ch"/>
      <sheetName val="Harsat Upah"/>
      <sheetName val="Sat~Bahu"/>
    </sheetNames>
    <sheetDataSet>
      <sheetData sheetId="0"/>
      <sheetData sheetId="1" refreshError="1"/>
      <sheetData sheetId="2" refreshError="1"/>
      <sheetData sheetId="3" refreshError="1"/>
      <sheetData sheetId="4" refreshError="1">
        <row r="17">
          <cell r="J17">
            <v>13018.5</v>
          </cell>
        </row>
        <row r="33">
          <cell r="J33">
            <v>233621.3</v>
          </cell>
        </row>
        <row r="46">
          <cell r="J46">
            <v>197326.25</v>
          </cell>
        </row>
        <row r="56">
          <cell r="J56">
            <v>16665</v>
          </cell>
        </row>
        <row r="65">
          <cell r="J65">
            <v>14712.5</v>
          </cell>
        </row>
        <row r="75">
          <cell r="J75">
            <v>6396.5</v>
          </cell>
        </row>
        <row r="85">
          <cell r="J85">
            <v>19112.5</v>
          </cell>
        </row>
        <row r="108">
          <cell r="J108">
            <v>117249</v>
          </cell>
        </row>
        <row r="119">
          <cell r="J119">
            <v>161997</v>
          </cell>
        </row>
        <row r="133">
          <cell r="J133">
            <v>315574.38</v>
          </cell>
        </row>
        <row r="147">
          <cell r="J147">
            <v>388432.55</v>
          </cell>
        </row>
        <row r="169">
          <cell r="J169">
            <v>2381965.85</v>
          </cell>
        </row>
        <row r="217">
          <cell r="J217">
            <v>2243016.6</v>
          </cell>
        </row>
        <row r="239">
          <cell r="J239">
            <v>2873585.55</v>
          </cell>
        </row>
        <row r="283">
          <cell r="J283">
            <v>1944404</v>
          </cell>
        </row>
        <row r="314">
          <cell r="J314">
            <v>2441016.6</v>
          </cell>
        </row>
        <row r="363">
          <cell r="J363">
            <v>50876.705000000002</v>
          </cell>
        </row>
        <row r="402">
          <cell r="J402">
            <v>17180.239999999998</v>
          </cell>
        </row>
        <row r="415">
          <cell r="J415">
            <v>3592242.5</v>
          </cell>
        </row>
        <row r="430">
          <cell r="J430">
            <v>22962.5</v>
          </cell>
        </row>
        <row r="455">
          <cell r="J455">
            <v>29832</v>
          </cell>
        </row>
        <row r="469">
          <cell r="J469">
            <v>39404.639999999999</v>
          </cell>
        </row>
        <row r="500">
          <cell r="J500">
            <v>48895</v>
          </cell>
        </row>
        <row r="512">
          <cell r="J512">
            <v>1654125</v>
          </cell>
        </row>
        <row r="539">
          <cell r="J539">
            <v>9864.25</v>
          </cell>
        </row>
        <row r="597">
          <cell r="J597">
            <v>90401.41</v>
          </cell>
        </row>
        <row r="612">
          <cell r="J612">
            <v>91006.41</v>
          </cell>
        </row>
        <row r="626">
          <cell r="J626">
            <v>217711.45</v>
          </cell>
        </row>
        <row r="641">
          <cell r="J641">
            <v>280301.45</v>
          </cell>
        </row>
        <row r="655">
          <cell r="J655">
            <v>2323062.5</v>
          </cell>
        </row>
        <row r="688">
          <cell r="J688">
            <v>205436</v>
          </cell>
        </row>
        <row r="703">
          <cell r="J703">
            <v>136059</v>
          </cell>
        </row>
        <row r="715">
          <cell r="J715">
            <v>128713.75</v>
          </cell>
        </row>
        <row r="736">
          <cell r="J736">
            <v>60912.5</v>
          </cell>
        </row>
        <row r="745">
          <cell r="J745">
            <v>24612.5</v>
          </cell>
        </row>
        <row r="772">
          <cell r="J772">
            <v>88275</v>
          </cell>
        </row>
        <row r="781">
          <cell r="J781">
            <v>155375</v>
          </cell>
        </row>
        <row r="790">
          <cell r="J790">
            <v>17325</v>
          </cell>
        </row>
        <row r="799">
          <cell r="J799">
            <v>19607.5</v>
          </cell>
        </row>
        <row r="808">
          <cell r="J808">
            <v>8321.5</v>
          </cell>
        </row>
        <row r="882">
          <cell r="J882">
            <v>29570.2</v>
          </cell>
        </row>
        <row r="896">
          <cell r="J896">
            <v>21076</v>
          </cell>
        </row>
        <row r="910">
          <cell r="J910">
            <v>21395</v>
          </cell>
        </row>
        <row r="923">
          <cell r="J923">
            <v>7400.25</v>
          </cell>
        </row>
        <row r="975">
          <cell r="J975">
            <v>6845.2120000000004</v>
          </cell>
        </row>
        <row r="984">
          <cell r="J984">
            <v>3630</v>
          </cell>
        </row>
        <row r="1015">
          <cell r="J1015">
            <v>3932.5</v>
          </cell>
        </row>
        <row r="1025">
          <cell r="J1025">
            <v>106150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kulan"/>
      <sheetName val="Sheet1"/>
      <sheetName val="HaRGA SAT pIPA"/>
      <sheetName val="Daf Harg Satuan Bahan"/>
      <sheetName val="Rekap"/>
      <sheetName val="RAB"/>
      <sheetName val="Analisis Harga Sat"/>
      <sheetName val="ANALISA"/>
      <sheetName val="HARGA SATUAN"/>
      <sheetName val="D -12"/>
    </sheetNames>
    <sheetDataSet>
      <sheetData sheetId="0"/>
      <sheetData sheetId="1"/>
      <sheetData sheetId="2">
        <row r="5">
          <cell r="D5">
            <v>110000</v>
          </cell>
        </row>
        <row r="10">
          <cell r="D10">
            <v>27000</v>
          </cell>
        </row>
      </sheetData>
      <sheetData sheetId="3">
        <row r="9">
          <cell r="E9">
            <v>20000</v>
          </cell>
        </row>
        <row r="10">
          <cell r="E10">
            <v>40000</v>
          </cell>
        </row>
        <row r="11">
          <cell r="E11">
            <v>40000</v>
          </cell>
        </row>
        <row r="12">
          <cell r="E12">
            <v>40000</v>
          </cell>
        </row>
        <row r="13">
          <cell r="E13">
            <v>40000</v>
          </cell>
        </row>
        <row r="14">
          <cell r="E14">
            <v>45000</v>
          </cell>
        </row>
        <row r="15">
          <cell r="E15">
            <v>42500</v>
          </cell>
        </row>
        <row r="20">
          <cell r="E20">
            <v>75000</v>
          </cell>
        </row>
        <row r="21">
          <cell r="E21">
            <v>87000</v>
          </cell>
        </row>
        <row r="22">
          <cell r="E22">
            <v>110000</v>
          </cell>
        </row>
        <row r="23">
          <cell r="E23">
            <v>110000</v>
          </cell>
        </row>
        <row r="24">
          <cell r="E24">
            <v>38000</v>
          </cell>
        </row>
        <row r="25">
          <cell r="E25">
            <v>70000</v>
          </cell>
        </row>
        <row r="26">
          <cell r="E26">
            <v>320</v>
          </cell>
        </row>
        <row r="27">
          <cell r="E27">
            <v>7000</v>
          </cell>
        </row>
        <row r="28">
          <cell r="E28">
            <v>12500</v>
          </cell>
        </row>
        <row r="29">
          <cell r="E29">
            <v>15000</v>
          </cell>
        </row>
        <row r="30">
          <cell r="E30">
            <v>8500</v>
          </cell>
        </row>
        <row r="31">
          <cell r="E31">
            <v>8700</v>
          </cell>
        </row>
        <row r="38">
          <cell r="E38">
            <v>750000</v>
          </cell>
        </row>
        <row r="41">
          <cell r="E41">
            <v>8000</v>
          </cell>
        </row>
      </sheetData>
      <sheetData sheetId="4"/>
      <sheetData sheetId="5"/>
      <sheetData sheetId="6">
        <row r="26">
          <cell r="J26">
            <v>12980</v>
          </cell>
        </row>
        <row r="34">
          <cell r="J34">
            <v>16480</v>
          </cell>
        </row>
        <row r="59">
          <cell r="J59">
            <v>7360</v>
          </cell>
        </row>
        <row r="67">
          <cell r="J67">
            <v>8930</v>
          </cell>
        </row>
        <row r="126">
          <cell r="J126">
            <v>415470</v>
          </cell>
        </row>
        <row r="139">
          <cell r="J139">
            <v>521040</v>
          </cell>
        </row>
        <row r="152">
          <cell r="J152">
            <v>1660</v>
          </cell>
        </row>
        <row r="166">
          <cell r="J166">
            <v>35160</v>
          </cell>
        </row>
        <row r="239">
          <cell r="J239">
            <v>2710</v>
          </cell>
        </row>
        <row r="248">
          <cell r="J248">
            <v>1960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</sheetNames>
    <sheetDataSet>
      <sheetData sheetId="0">
        <row r="18">
          <cell r="G18">
            <v>125000</v>
          </cell>
        </row>
        <row r="24">
          <cell r="G24">
            <v>105000</v>
          </cell>
        </row>
        <row r="26">
          <cell r="G26">
            <v>4680</v>
          </cell>
        </row>
        <row r="71">
          <cell r="G71">
            <v>2100000</v>
          </cell>
        </row>
        <row r="84">
          <cell r="G84">
            <v>2000000</v>
          </cell>
        </row>
        <row r="85">
          <cell r="G85">
            <v>1800000</v>
          </cell>
        </row>
        <row r="93">
          <cell r="G93">
            <v>120000</v>
          </cell>
        </row>
        <row r="116">
          <cell r="G116">
            <v>28000</v>
          </cell>
        </row>
        <row r="132">
          <cell r="G132">
            <v>18000</v>
          </cell>
        </row>
        <row r="164">
          <cell r="G164">
            <v>12500</v>
          </cell>
        </row>
        <row r="166">
          <cell r="G166">
            <v>3500</v>
          </cell>
        </row>
        <row r="230">
          <cell r="G230">
            <v>220000</v>
          </cell>
        </row>
        <row r="409">
          <cell r="G409">
            <v>49000</v>
          </cell>
        </row>
        <row r="410">
          <cell r="G410">
            <v>24000</v>
          </cell>
        </row>
        <row r="546">
          <cell r="G546">
            <v>488500</v>
          </cell>
        </row>
        <row r="607">
          <cell r="G607">
            <v>30000</v>
          </cell>
        </row>
        <row r="610">
          <cell r="G610">
            <v>40000</v>
          </cell>
        </row>
        <row r="611">
          <cell r="G611">
            <v>40000</v>
          </cell>
        </row>
        <row r="613">
          <cell r="G613">
            <v>35000</v>
          </cell>
        </row>
        <row r="616">
          <cell r="G616">
            <v>45000</v>
          </cell>
        </row>
        <row r="617">
          <cell r="G617">
            <v>45000</v>
          </cell>
        </row>
        <row r="619">
          <cell r="G619">
            <v>40000</v>
          </cell>
        </row>
        <row r="627">
          <cell r="G627">
            <v>35000</v>
          </cell>
        </row>
        <row r="632">
          <cell r="G632">
            <v>50000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rekap"/>
      <sheetName val="Anggaran"/>
      <sheetName val="Sat~Pek"/>
      <sheetName val="Analys"/>
      <sheetName val="Sat~Bahu"/>
      <sheetName val="Analis alat"/>
      <sheetName val="ANALIS TAMBAHAN"/>
      <sheetName val="Sat_Bahu"/>
      <sheetName val="Sheet1"/>
      <sheetName val="Sheet2"/>
      <sheetName val="Sheet3"/>
      <sheetName val="Recovered_Sheet1"/>
      <sheetName val="000000"/>
      <sheetName val="Perhitungan Besi"/>
      <sheetName val="DAFTAR BESI KANAL C SIKU"/>
      <sheetName val="DAFTAR  BESI IWF"/>
      <sheetName val="Analisa tak terpakai"/>
      <sheetName val="Harsat Upah"/>
      <sheetName val="schedule"/>
      <sheetName val="Analisa Teknis"/>
      <sheetName val="Analisa"/>
      <sheetName val="mos"/>
      <sheetName val="Harsat Pekerjaan"/>
      <sheetName val="JLN(TRT (3)"/>
      <sheetName val="METODE"/>
      <sheetName val="D BASE"/>
      <sheetName val="JADWAL"/>
      <sheetName val="RAB"/>
      <sheetName val="UPAH BAHAN"/>
      <sheetName val="HAR SAT"/>
      <sheetName val="bhn-upah"/>
      <sheetName val="HRG BHN"/>
      <sheetName val="Div-3"/>
      <sheetName val="villa"/>
      <sheetName val="Sheet11"/>
      <sheetName val="Harsat Bahan"/>
      <sheetName val="rekapitulasi baru"/>
      <sheetName val="PENCECAH UPAL"/>
      <sheetName val="analis bm terpakai"/>
      <sheetName val="ANALIS TERPAKAI"/>
      <sheetName val="SAT BAHU BM TERPAKAI"/>
      <sheetName val="SATPEK TERPAKAI"/>
      <sheetName val="bjht-pmn 950"/>
      <sheetName val="REKAPITULASI"/>
      <sheetName val="LPA BLK-FTROLL 444"/>
      <sheetName val="PenetrasiBLK794"/>
      <sheetName val="jl. curugwangi"/>
      <sheetName val="BK Kas Harian"/>
      <sheetName val="laphar blkf"/>
      <sheetName val="laphar bjht-ptm"/>
      <sheetName val="laphar crgwngi"/>
      <sheetName val="lap mguan"/>
      <sheetName val="rlisasi biaya"/>
      <sheetName val="analisa bm 2011"/>
      <sheetName val="PENCECAH UPAL "/>
      <sheetName val="analis bm terpakai "/>
      <sheetName val="SAT BAHU BM TERPAKAI (2)"/>
      <sheetName val="pemeliharaan jalan "/>
      <sheetName val="2.2.2.2.2 "/>
      <sheetName val="Sheet7"/>
      <sheetName val="TERBILANG"/>
      <sheetName val="Alat Berat"/>
      <sheetName val="ANL-BM2"/>
      <sheetName val="ANL-BM1"/>
      <sheetName val="ANL-BONGKARAN"/>
      <sheetName val="ELEKTRIKAL"/>
      <sheetName val="MEKANIKAL"/>
      <sheetName val="HYDRANT"/>
      <sheetName val="FIRE ALARM"/>
      <sheetName val="ARSITEKTUR"/>
      <sheetName val="STRUKTUR"/>
      <sheetName val="REKAP (2)"/>
      <sheetName val="RAB GEDUNG"/>
      <sheetName val="SELASAR"/>
      <sheetName val="JALAN"/>
      <sheetName val="B-Price"/>
      <sheetName val="Rekap "/>
      <sheetName val="RAPlenk"/>
      <sheetName val="BAHAN"/>
      <sheetName val="SATUAN"/>
      <sheetName val="UPAH"/>
      <sheetName val="Input Data"/>
      <sheetName val="INPUT HARGA"/>
      <sheetName val="AHS SNI 2008"/>
      <sheetName val="REKAP FISIK"/>
      <sheetName val="PERSIAPAN"/>
      <sheetName val="3 KELAS + 1 KTR "/>
      <sheetName val="KMWC"/>
      <sheetName val="Site Dev"/>
      <sheetName val="FURNT"/>
      <sheetName val="buku-alat satap"/>
      <sheetName val="PENGADAAN BUKU"/>
      <sheetName val="INSENTIF"/>
      <sheetName val="PENGEMBANGAN PEND"/>
      <sheetName val="ADMINISTRASI"/>
      <sheetName val="ADM OPR"/>
      <sheetName val="TOWER AIR"/>
      <sheetName val="KANTOR"/>
      <sheetName val="RKB 1 RUANG"/>
      <sheetName val="RKB 3 RUANG"/>
      <sheetName val="MESS GURU"/>
      <sheetName val="SERBAGUNA"/>
      <sheetName val="RAMPA &amp; HAND RAILING"/>
      <sheetName val="PEN.LAHAN KHUSUS"/>
      <sheetName val="SELASAR PENGHUBUNG"/>
      <sheetName val="PINTU GERBANG"/>
      <sheetName val="BANGSAL SEPEDA"/>
      <sheetName val="Kuitansi"/>
      <sheetName val="AHS RAMPA &amp; HAND RAILING"/>
      <sheetName val="VOL SERBAGUNA-1 RKB"/>
      <sheetName val="VOL 3 KELAS + 1 KTR"/>
      <sheetName val="VOL WC"/>
      <sheetName val="VOL MESS GURU"/>
      <sheetName val="VOL B.SEPEDA"/>
      <sheetName val="HARGA FURNIT"/>
      <sheetName val="HARGA BAHAN DAN UPAH"/>
      <sheetName val="Analis_alat"/>
      <sheetName val="ANALIS_TAMBAHAN"/>
      <sheetName val="Perhitungan_Besi"/>
      <sheetName val="DAFTAR_BESI_KANAL_C_SIKU"/>
      <sheetName val="DAFTAR__BESI_IWF"/>
      <sheetName val="Analisa_tak_terpakai"/>
      <sheetName val="Harsat_Upah"/>
      <sheetName val="Analisa_Teknis"/>
      <sheetName val="Harsat_Pekerjaan"/>
      <sheetName val="JLN(TRT_(3)"/>
      <sheetName val="D_BASE"/>
      <sheetName val="UPAH_BAHAN"/>
      <sheetName val="HAR_SAT"/>
      <sheetName val="Harsat_Bahan"/>
      <sheetName val="rekapitulasi_baru"/>
      <sheetName val="PENCECAH_UPAL"/>
      <sheetName val="analis_bm_terpakai"/>
      <sheetName val="ANALIS_TERPAKAI"/>
      <sheetName val="SAT_BAHU_BM_TERPAKAI"/>
      <sheetName val="SATPEK_TERPAKAI"/>
      <sheetName val="bjht-pmn_950"/>
      <sheetName val="LPA_BLK-FTROLL_444"/>
      <sheetName val="jl__curugwangi"/>
      <sheetName val="BK_Kas_Harian"/>
      <sheetName val="laphar_blkf"/>
      <sheetName val="laphar_bjht-ptm"/>
      <sheetName val="laphar_crgwngi"/>
      <sheetName val="lap_mguan"/>
      <sheetName val="rlisasi_biaya"/>
      <sheetName val="analisa_bm_2011"/>
      <sheetName val="PENCECAH_UPAL_"/>
      <sheetName val="analis_bm_terpakai_"/>
      <sheetName val="SAT_BAHU_BM_TERPAKAI_(2)"/>
      <sheetName val="pemeliharaan_jalan_"/>
      <sheetName val="2_2_2_2_2_"/>
      <sheetName val="Alat_Berat"/>
      <sheetName val="FIRE_ALARM"/>
      <sheetName val="REKAP_(2)"/>
      <sheetName val="RAB_GEDUNG"/>
      <sheetName val="Analis_alat1"/>
      <sheetName val="ANALIS_TAMBAHAN1"/>
      <sheetName val="Perhitungan_Besi1"/>
      <sheetName val="DAFTAR_BESI_KANAL_C_SIKU1"/>
      <sheetName val="DAFTAR__BESI_IWF1"/>
      <sheetName val="Analisa_tak_terpakai1"/>
      <sheetName val="Harsat_Upah1"/>
      <sheetName val="Analisa_Teknis1"/>
      <sheetName val="Harsat_Pekerjaan1"/>
      <sheetName val="JLN(TRT_(3)1"/>
      <sheetName val="D_BASE1"/>
      <sheetName val="UPAH_BAHAN1"/>
      <sheetName val="HAR_SAT1"/>
      <sheetName val="Harsat_Bahan1"/>
      <sheetName val="rekapitulasi_baru1"/>
      <sheetName val="PENCECAH_UPAL1"/>
      <sheetName val="analis_bm_terpakai1"/>
      <sheetName val="ANALIS_TERPAKAI1"/>
      <sheetName val="SAT_BAHU_BM_TERPAKAI1"/>
      <sheetName val="SATPEK_TERPAKAI1"/>
      <sheetName val="bjht-pmn_9501"/>
      <sheetName val="LPA_BLK-FTROLL_4441"/>
      <sheetName val="jl__curugwangi1"/>
      <sheetName val="BK_Kas_Harian1"/>
      <sheetName val="laphar_blkf1"/>
      <sheetName val="laphar_bjht-ptm1"/>
      <sheetName val="laphar_crgwngi1"/>
      <sheetName val="lap_mguan1"/>
      <sheetName val="rlisasi_biaya1"/>
      <sheetName val="analisa_bm_20111"/>
      <sheetName val="PENCECAH_UPAL_1"/>
      <sheetName val="analis_bm_terpakai_1"/>
      <sheetName val="SAT_BAHU_BM_TERPAKAI_(2)1"/>
      <sheetName val="pemeliharaan_jalan_1"/>
      <sheetName val="2_2_2_2_2_1"/>
      <sheetName val="Alat_Berat1"/>
      <sheetName val="FIRE_ALARM1"/>
      <sheetName val="REKAP_(2)1"/>
      <sheetName val="RAB_GEDUNG1"/>
      <sheetName val="HARGA"/>
      <sheetName val="Biaya alat"/>
      <sheetName val="PAKET 1 (d3)"/>
      <sheetName val="PAKET 2 (d3)"/>
      <sheetName val="analis"/>
      <sheetName val="BQ"/>
      <sheetName val="daf-3(OK)"/>
      <sheetName val="daf-7(OK)"/>
      <sheetName val="HARGA ALAT"/>
      <sheetName val="LINK"/>
      <sheetName val="pvc"/>
      <sheetName val="SAT-PEK"/>
      <sheetName val="Material"/>
      <sheetName val="I-ME"/>
      <sheetName val="2.RAB"/>
      <sheetName val="Satdas"/>
      <sheetName val="UP_an"/>
      <sheetName val="Harga Bahan"/>
      <sheetName val="Analis_alat2"/>
      <sheetName val="ANALIS_TAMBAHAN2"/>
      <sheetName val="Df-Kuan"/>
      <sheetName val="Daf 1A"/>
      <sheetName val="Sat pekerjaan"/>
      <sheetName val="Upah,Bahan, Alat"/>
      <sheetName val="Master"/>
      <sheetName val="bhn_upah"/>
      <sheetName val="00. HARGA BAHAN DASAR"/>
      <sheetName val="5-Peralatan"/>
      <sheetName val="Kuantitas &amp; Harga"/>
      <sheetName val="Basic Price"/>
      <sheetName val="Peralatan"/>
      <sheetName val="DIV-2 (Drainase)"/>
      <sheetName val="DIV-4"/>
      <sheetName val="DIV-5"/>
      <sheetName val="DIV-6"/>
      <sheetName val="D6-1-1b"/>
      <sheetName val="D7-3-3a"/>
      <sheetName val="DAFTAR HARGA"/>
      <sheetName val="HB "/>
      <sheetName val="ESCON"/>
      <sheetName val="divI"/>
      <sheetName val="divII"/>
      <sheetName val="DU&amp;B"/>
      <sheetName val="Cover"/>
      <sheetName val="_bhn_uph"/>
      <sheetName val="basic"/>
      <sheetName val="MAP"/>
      <sheetName val="Bill.2. PL - SUPPLY A"/>
      <sheetName val="UnitPrice"/>
      <sheetName val="SAT-DAS"/>
      <sheetName val="Analisa (ok punya)"/>
      <sheetName val="rekap RAB"/>
      <sheetName val="data"/>
      <sheetName val="rekap MURNI"/>
      <sheetName val="rekap &amp; SWADAYA"/>
      <sheetName val="Uraian Bhan"/>
      <sheetName val="URAIAN BAHAN"/>
      <sheetName val="data hitung"/>
      <sheetName val="Analisa CIPTAKARYA"/>
      <sheetName val="BU"/>
      <sheetName val="Analis rek"/>
      <sheetName val="besi "/>
      <sheetName val="Harsat Bah"/>
      <sheetName val="Harsat Up"/>
      <sheetName val="SATPEK"/>
      <sheetName val="DIV. 6"/>
      <sheetName val="Latasir Jadi"/>
      <sheetName val="Ready Mix"/>
      <sheetName val="An Graffel"/>
      <sheetName val="SNI 2014"/>
      <sheetName val="AnCK19"/>
      <sheetName val="ANCK13"/>
      <sheetName val="Uraian"/>
      <sheetName val="DAFTAR"/>
      <sheetName val="Methode"/>
      <sheetName val="Biaya UBA"/>
      <sheetName val="Anal_ Pancang"/>
      <sheetName val="An H.Sat Pek.Ut"/>
      <sheetName val="breakdown"/>
      <sheetName val="Rate"/>
      <sheetName val="Pricing"/>
      <sheetName val="sch"/>
      <sheetName val="H.Satuan"/>
      <sheetName val="Summary"/>
      <sheetName val="Harga S Dasar UNTUK IDISI"/>
      <sheetName val="Rinc. Harg.BHN"/>
      <sheetName val="isian"/>
      <sheetName val="D6-1b"/>
      <sheetName val="HARSATALAT"/>
      <sheetName val="4-Basic Price"/>
      <sheetName val="kurvasSept"/>
      <sheetName val="KURVASAGT"/>
      <sheetName val="KURVASFULL"/>
      <sheetName val="Jadwal ags"/>
      <sheetName val="2-BOQ"/>
      <sheetName val="kurva s"/>
      <sheetName val="galian drainase"/>
      <sheetName val="Pasangan Batu"/>
      <sheetName val="jilid Harian"/>
      <sheetName val="SC KONTRAK"/>
      <sheetName val="mingguan kontrak (2)"/>
      <sheetName val="mingguan kontrak"/>
      <sheetName val="Indek Bahan"/>
      <sheetName val="Droping Bahan "/>
      <sheetName val="bobot kontrak (2)"/>
      <sheetName val="konsep Harian kontrak (2)"/>
      <sheetName val="Droping Bahan  (2)"/>
      <sheetName val="Harian (2)"/>
      <sheetName val="Sheet5"/>
      <sheetName val="Sheet4"/>
      <sheetName val="Jilid MC"/>
      <sheetName val="mc"/>
      <sheetName val="isi mc"/>
      <sheetName val="jilid BU"/>
      <sheetName val="isi bu"/>
      <sheetName val="Jilid Gmbr"/>
      <sheetName val="Ofnam luas"/>
      <sheetName val="tiket"/>
      <sheetName val="dt ofname"/>
      <sheetName val="dt corring"/>
      <sheetName val="bobot kontrak"/>
      <sheetName val="konsep Harian kontrak"/>
      <sheetName val="Harian"/>
      <sheetName val="Rab PENAWARAN"/>
      <sheetName val="MC-0"/>
      <sheetName val="hari"/>
      <sheetName val="PhotoDok"/>
      <sheetName val="Indek Pek."/>
      <sheetName val="Amandemen pb"/>
      <sheetName val="keb.Pekerja"/>
      <sheetName val="DAT PEL"/>
      <sheetName val="OF"/>
      <sheetName val="SUM"/>
      <sheetName val="graf cuaca"/>
      <sheetName val="graf pekerja"/>
      <sheetName val="graf bahan"/>
      <sheetName val="graf.2"/>
      <sheetName val="jilid tamu"/>
      <sheetName val="jilid direksi"/>
      <sheetName val="isi buku"/>
      <sheetName val="ANALIS 2"/>
      <sheetName val="DH"/>
      <sheetName val="R"/>
      <sheetName val="BHUPAL"/>
      <sheetName val="daf_3_OK_"/>
      <sheetName val="daf_7_OK_"/>
      <sheetName val="ANLIS "/>
      <sheetName val="ANALISA BIAYA"/>
      <sheetName val="HSD"/>
      <sheetName val="ANALIS WIL 1"/>
      <sheetName val="rab lt 2 bo"/>
      <sheetName val="URAIAN "/>
      <sheetName val="Div.3"/>
      <sheetName val="Kuant"/>
      <sheetName val="Upah Modifikasi"/>
      <sheetName val="upah&amp;Bahan "/>
      <sheetName val="harsat"/>
      <sheetName val="SAP"/>
      <sheetName val="analis standar(20m)"/>
      <sheetName val="ANAL BETON"/>
      <sheetName val="HaSatUp"/>
      <sheetName val="Rutin"/>
      <sheetName val="Analisa Quarry"/>
      <sheetName val="Analisa-K"/>
      <sheetName val="1.BAHAN"/>
      <sheetName val="2.UPAH"/>
      <sheetName val="D7"/>
      <sheetName val="Harga S Dasar"/>
      <sheetName val="Estimate"/>
      <sheetName val="Harga Bahan &amp; Upah "/>
      <sheetName val="Harga sewa alat"/>
      <sheetName val="RAB  "/>
      <sheetName val="par"/>
      <sheetName val="ANALISA_1"/>
      <sheetName val="ANALISA-1"/>
      <sheetName val="lap.har"/>
      <sheetName val="harga pipa dan acc "/>
      <sheetName val="PERHITUNGAN LUMPSUM"/>
      <sheetName val="Ahs"/>
      <sheetName val="HBahan&amp;Upah "/>
      <sheetName val="plesteran"/>
      <sheetName val="pas batu"/>
      <sheetName val="gal bis"/>
      <sheetName val="pls beton"/>
      <sheetName val="hps pls beton"/>
      <sheetName val="jilid TERMYN"/>
      <sheetName val="jilid MC 100"/>
      <sheetName val="ba MC 100"/>
      <sheetName val="mc 100"/>
      <sheetName val="jilid MC 0"/>
      <sheetName val="ADD.11"/>
      <sheetName val="ba MC 0"/>
      <sheetName val="dahit add"/>
      <sheetName val="mc 0"/>
      <sheetName val="dahit"/>
      <sheetName val="x"/>
      <sheetName val="jilid ADD"/>
      <sheetName val="ba"/>
      <sheetName val="ADD"/>
      <sheetName val="add.1"/>
      <sheetName val="nego"/>
      <sheetName val="analis cco (2)"/>
      <sheetName val="absensi"/>
      <sheetName val="usulrek"/>
      <sheetName val="surat PPK ke cv."/>
      <sheetName val="surat PPK ke panitia"/>
      <sheetName val="und ke panitia"/>
      <sheetName val="laporan"/>
      <sheetName val="jilid justek"/>
      <sheetName val="Justifikasi Teknik"/>
      <sheetName val="Peralatan (2)"/>
      <sheetName val="Harsat Bahan Penawaran"/>
      <sheetName val="Lap. Mingg."/>
      <sheetName val="Net.Tek. ok"/>
      <sheetName val="Estimasi"/>
      <sheetName val="CCO"/>
      <sheetName val="Lap. Harian"/>
      <sheetName val="Analis_alat3"/>
      <sheetName val="ANALIS_TAMBAHAN3"/>
      <sheetName val="Perhitungan_Besi2"/>
      <sheetName val="DAFTAR_BESI_KANAL_C_SIKU2"/>
      <sheetName val="DAFTAR__BESI_IWF2"/>
      <sheetName val="Analisa_tak_terpakai2"/>
      <sheetName val="Harsat_Upah2"/>
      <sheetName val="Analisa_Teknis2"/>
      <sheetName val="Harsat_Pekerjaan2"/>
      <sheetName val="JLN(TRT_(3)2"/>
      <sheetName val="D_BASE2"/>
      <sheetName val="UPAH_BAHAN2"/>
      <sheetName val="HAR_SAT2"/>
      <sheetName val="Alat_Berat2"/>
      <sheetName val="Harsat_Bahan2"/>
      <sheetName val="FIRE_ALARM2"/>
      <sheetName val="REKAP_(2)2"/>
      <sheetName val="RAB_GEDUNG2"/>
      <sheetName val="Harga_Bahan"/>
      <sheetName val="rekapitulasi_baru2"/>
      <sheetName val="PENCECAH_UPAL2"/>
      <sheetName val="analis_bm_terpakai2"/>
      <sheetName val="ANALIS_TERPAKAI2"/>
      <sheetName val="SAT_BAHU_BM_TERPAKAI2"/>
      <sheetName val="SATPEK_TERPAKAI2"/>
      <sheetName val="bjht-pmn_9502"/>
      <sheetName val="LPA_BLK-FTROLL_4442"/>
      <sheetName val="jl__curugwangi2"/>
      <sheetName val="BK_Kas_Harian2"/>
      <sheetName val="laphar_blkf2"/>
      <sheetName val="laphar_bjht-ptm2"/>
      <sheetName val="laphar_crgwngi2"/>
      <sheetName val="lap_mguan2"/>
      <sheetName val="rlisasi_biaya2"/>
      <sheetName val="analisa_bm_20112"/>
      <sheetName val="PENCECAH_UPAL_2"/>
      <sheetName val="analis_bm_terpakai_2"/>
      <sheetName val="SAT_BAHU_BM_TERPAKAI_(2)2"/>
      <sheetName val="pemeliharaan_jalan_2"/>
      <sheetName val="2_2_2_2_2_2"/>
      <sheetName val="HRG_BHN"/>
      <sheetName val="Input_Data"/>
      <sheetName val="INPUT_HARGA"/>
      <sheetName val="AHS_SNI_2008"/>
      <sheetName val="REKAP_FISIK"/>
      <sheetName val="3_KELAS_+_1_KTR_"/>
      <sheetName val="Site_Dev"/>
      <sheetName val="buku-alat_satap"/>
      <sheetName val="PENGADAAN_BUKU"/>
      <sheetName val="PENGEMBANGAN_PEND"/>
      <sheetName val="ADM_OPR"/>
      <sheetName val="TOWER_AIR"/>
      <sheetName val="RKB_1_RUANG"/>
      <sheetName val="RKB_3_RUANG"/>
      <sheetName val="MESS_GURU"/>
      <sheetName val="RAMPA_&amp;_HAND_RAILING"/>
      <sheetName val="PEN_LAHAN_KHUSUS"/>
      <sheetName val="SELASAR_PENGHUBUNG"/>
      <sheetName val="PINTU_GERBANG"/>
      <sheetName val="BANGSAL_SEPEDA"/>
      <sheetName val="AHS_RAMPA_&amp;_HAND_RAILING"/>
      <sheetName val="VOL_SERBAGUNA-1_RKB"/>
      <sheetName val="VOL_3_KELAS_+_1_KTR"/>
      <sheetName val="VOL_WC"/>
      <sheetName val="VOL_MESS_GURU"/>
      <sheetName val="VOL_B_SEPEDA"/>
      <sheetName val="HARGA_FURNIT"/>
      <sheetName val="HARGA_BAHAN_DAN_UPAH"/>
      <sheetName val="Biaya_alat"/>
      <sheetName val="PAKET_1_(d3)"/>
      <sheetName val="PAKET_2_(d3)"/>
      <sheetName val="Rekap_"/>
      <sheetName val="HARGA_ALAT"/>
      <sheetName val="DIV__6"/>
      <sheetName val="Latasir_Jadi"/>
      <sheetName val="Ready_Mix"/>
      <sheetName val="An_Graffel"/>
      <sheetName val="SNI_2014"/>
      <sheetName val="Data_Hitung"/>
      <sheetName val="Biaya_UBA"/>
      <sheetName val="H_Satuan"/>
      <sheetName val="Anal__Pancang"/>
      <sheetName val="rekap_RAB"/>
      <sheetName val="rekap_MURNI"/>
      <sheetName val="rekap_&amp;_SWADAYA"/>
      <sheetName val="Uraian_Bhan"/>
      <sheetName val="URAIAN_BAHAN"/>
      <sheetName val="Analisa_CIPTAKARYA"/>
      <sheetName val="Analis_rek"/>
      <sheetName val="besi_"/>
      <sheetName val="Harsat_Bah"/>
      <sheetName val="Harsat_Up"/>
      <sheetName val="Harga_S_Dasar_UNTUK_IDISI"/>
      <sheetName val="Rinc__Harg_BHN"/>
      <sheetName val="4-Basic_Price"/>
      <sheetName val="Basic_Price"/>
      <sheetName val="Kuantitas_&amp;_Harga"/>
      <sheetName val="Analisa_(ok_punya)"/>
      <sheetName val="Analis_alat4"/>
      <sheetName val="ANALIS_TAMBAHAN4"/>
      <sheetName val="Perhitungan_Besi3"/>
      <sheetName val="DAFTAR_BESI_KANAL_C_SIKU3"/>
      <sheetName val="DAFTAR__BESI_IWF3"/>
      <sheetName val="Analisa_tak_terpakai3"/>
      <sheetName val="Harsat_Upah3"/>
      <sheetName val="Analisa_Teknis3"/>
      <sheetName val="Harsat_Pekerjaan3"/>
      <sheetName val="JLN(TRT_(3)3"/>
      <sheetName val="D_BASE3"/>
      <sheetName val="UPAH_BAHAN3"/>
      <sheetName val="HAR_SAT3"/>
      <sheetName val="Alat_Berat3"/>
      <sheetName val="Harsat_Bahan3"/>
      <sheetName val="FIRE_ALARM3"/>
      <sheetName val="REKAP_(2)3"/>
      <sheetName val="RAB_GEDUNG3"/>
      <sheetName val="Harga_Bahan1"/>
      <sheetName val="rekapitulasi_baru3"/>
      <sheetName val="PENCECAH_UPAL3"/>
      <sheetName val="analis_bm_terpakai3"/>
      <sheetName val="ANALIS_TERPAKAI3"/>
      <sheetName val="SAT_BAHU_BM_TERPAKAI3"/>
      <sheetName val="SATPEK_TERPAKAI3"/>
      <sheetName val="bjht-pmn_9503"/>
      <sheetName val="LPA_BLK-FTROLL_4443"/>
      <sheetName val="jl__curugwangi3"/>
      <sheetName val="BK_Kas_Harian3"/>
      <sheetName val="laphar_blkf3"/>
      <sheetName val="laphar_bjht-ptm3"/>
      <sheetName val="laphar_crgwngi3"/>
      <sheetName val="lap_mguan3"/>
      <sheetName val="rlisasi_biaya3"/>
      <sheetName val="analisa_bm_20113"/>
      <sheetName val="PENCECAH_UPAL_3"/>
      <sheetName val="analis_bm_terpakai_3"/>
      <sheetName val="SAT_BAHU_BM_TERPAKAI_(2)3"/>
      <sheetName val="pemeliharaan_jalan_3"/>
      <sheetName val="2_2_2_2_2_3"/>
      <sheetName val="HRG_BHN1"/>
      <sheetName val="Input_Data1"/>
      <sheetName val="INPUT_HARGA1"/>
      <sheetName val="AHS_SNI_20081"/>
      <sheetName val="REKAP_FISIK1"/>
      <sheetName val="3_KELAS_+_1_KTR_1"/>
      <sheetName val="Site_Dev1"/>
      <sheetName val="buku-alat_satap1"/>
      <sheetName val="PENGADAAN_BUKU1"/>
      <sheetName val="PENGEMBANGAN_PEND1"/>
      <sheetName val="ADM_OPR1"/>
      <sheetName val="TOWER_AIR1"/>
      <sheetName val="RKB_1_RUANG1"/>
      <sheetName val="RKB_3_RUANG1"/>
      <sheetName val="MESS_GURU1"/>
      <sheetName val="RAMPA_&amp;_HAND_RAILING1"/>
      <sheetName val="PEN_LAHAN_KHUSUS1"/>
      <sheetName val="SELASAR_PENGHUBUNG1"/>
      <sheetName val="PINTU_GERBANG1"/>
      <sheetName val="BANGSAL_SEPEDA1"/>
      <sheetName val="AHS_RAMPA_&amp;_HAND_RAILING1"/>
      <sheetName val="VOL_SERBAGUNA-1_RKB1"/>
      <sheetName val="VOL_3_KELAS_+_1_KTR1"/>
      <sheetName val="VOL_WC1"/>
      <sheetName val="VOL_MESS_GURU1"/>
      <sheetName val="VOL_B_SEPEDA1"/>
      <sheetName val="HARGA_FURNIT1"/>
      <sheetName val="HARGA_BAHAN_DAN_UPAH1"/>
      <sheetName val="Biaya_alat1"/>
      <sheetName val="PAKET_1_(d3)1"/>
      <sheetName val="PAKET_2_(d3)1"/>
      <sheetName val="Rekap_1"/>
      <sheetName val="HARGA_ALAT1"/>
      <sheetName val="sai"/>
      <sheetName val="Konfirm"/>
      <sheetName val="Analisa pek. pas &amp; beton"/>
      <sheetName val="Analisa pek. galian"/>
      <sheetName val="Analisa pek. pas atap"/>
      <sheetName val="DHU&amp;B"/>
      <sheetName val="Dasar2"/>
      <sheetName val="SAT. PEK"/>
      <sheetName val="Harga Satuan"/>
      <sheetName val="Anal"/>
      <sheetName val="LAL - PASAR PAGI "/>
      <sheetName val="Sheet15"/>
      <sheetName val="QTY"/>
      <sheetName val="UBA"/>
      <sheetName val="ANALISA UTAMA"/>
      <sheetName val="ANALISA LS"/>
      <sheetName val="gvl"/>
      <sheetName val="hb"/>
      <sheetName val="HARGA SAT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>
        <row r="6">
          <cell r="C6" t="str">
            <v>Mandor Lapangan</v>
          </cell>
          <cell r="G6" t="str">
            <v>L.061</v>
          </cell>
          <cell r="H6">
            <v>40000</v>
          </cell>
        </row>
        <row r="9">
          <cell r="C9" t="str">
            <v>Kepala tukang</v>
          </cell>
          <cell r="G9" t="str">
            <v>L.073</v>
          </cell>
          <cell r="H9">
            <v>40000</v>
          </cell>
        </row>
        <row r="10">
          <cell r="G10" t="str">
            <v>L.079</v>
          </cell>
          <cell r="H10">
            <v>35000</v>
          </cell>
        </row>
        <row r="11">
          <cell r="C11" t="str">
            <v>Operator terlatih  #)</v>
          </cell>
          <cell r="G11" t="str">
            <v>L.081</v>
          </cell>
          <cell r="H11">
            <v>50000</v>
          </cell>
        </row>
        <row r="12">
          <cell r="C12" t="str">
            <v>Operator kurang terlatih  *)</v>
          </cell>
          <cell r="H12">
            <v>42500</v>
          </cell>
        </row>
        <row r="13">
          <cell r="C13" t="str">
            <v>Pembantu operator</v>
          </cell>
          <cell r="G13" t="str">
            <v>L.089</v>
          </cell>
          <cell r="H13">
            <v>35000</v>
          </cell>
        </row>
        <row r="14">
          <cell r="G14" t="str">
            <v>L.091</v>
          </cell>
          <cell r="H14">
            <v>42500</v>
          </cell>
        </row>
        <row r="16">
          <cell r="C16" t="str">
            <v>Pembantu supir / Kenek</v>
          </cell>
          <cell r="G16" t="str">
            <v>L.099</v>
          </cell>
          <cell r="H16">
            <v>32500</v>
          </cell>
        </row>
        <row r="17">
          <cell r="C17" t="str">
            <v>Buruh lapangan tak terlatih</v>
          </cell>
          <cell r="G17" t="str">
            <v>L.101</v>
          </cell>
          <cell r="H17">
            <v>25000</v>
          </cell>
        </row>
        <row r="18">
          <cell r="C18" t="str">
            <v>Buruh lapangan kurang terlatih</v>
          </cell>
          <cell r="G18" t="str">
            <v>L.103</v>
          </cell>
          <cell r="H18">
            <v>27500</v>
          </cell>
        </row>
        <row r="19">
          <cell r="C19" t="str">
            <v>Buruh lapangan terlatih</v>
          </cell>
          <cell r="G19" t="str">
            <v>L.106</v>
          </cell>
          <cell r="H19">
            <v>30000</v>
          </cell>
        </row>
        <row r="28">
          <cell r="C28" t="str">
            <v>Batu gunung atau Quarry</v>
          </cell>
          <cell r="F28" t="str">
            <v>M010</v>
          </cell>
          <cell r="G28" t="str">
            <v>M3</v>
          </cell>
          <cell r="H28">
            <v>70000</v>
          </cell>
        </row>
        <row r="29">
          <cell r="C29" t="str">
            <v>Kerikil dari galian bukit</v>
          </cell>
          <cell r="F29" t="str">
            <v>M011</v>
          </cell>
          <cell r="G29" t="str">
            <v>M3</v>
          </cell>
          <cell r="H29">
            <v>60000</v>
          </cell>
        </row>
        <row r="30">
          <cell r="C30" t="str">
            <v>Kerikil sungai (dengan pasir)</v>
          </cell>
          <cell r="F30" t="str">
            <v>M012</v>
          </cell>
          <cell r="G30" t="str">
            <v>M3</v>
          </cell>
          <cell r="H30">
            <v>65000</v>
          </cell>
        </row>
        <row r="31">
          <cell r="C31" t="str">
            <v>Sirtu tersaring pecah bergradasi</v>
          </cell>
          <cell r="F31" t="str">
            <v>M012*</v>
          </cell>
          <cell r="G31" t="str">
            <v>M3</v>
          </cell>
          <cell r="H31">
            <v>81000</v>
          </cell>
        </row>
        <row r="32">
          <cell r="C32" t="str">
            <v>Batu tersaring pecah bergradasi</v>
          </cell>
          <cell r="F32" t="str">
            <v>M012**</v>
          </cell>
          <cell r="H32">
            <v>95000</v>
          </cell>
        </row>
        <row r="35">
          <cell r="C35" t="str">
            <v>Batu belah  10 - 15 cm</v>
          </cell>
          <cell r="F35" t="str">
            <v>M020</v>
          </cell>
          <cell r="G35" t="str">
            <v>M3</v>
          </cell>
          <cell r="H35">
            <v>90000</v>
          </cell>
        </row>
        <row r="37">
          <cell r="C37" t="str">
            <v>Batu belah    5 -   7 cm</v>
          </cell>
          <cell r="F37" t="str">
            <v>M022</v>
          </cell>
          <cell r="G37" t="str">
            <v>M3</v>
          </cell>
          <cell r="H37">
            <v>110000</v>
          </cell>
        </row>
        <row r="38">
          <cell r="C38" t="str">
            <v>Batu belah     3 -  5 cm</v>
          </cell>
          <cell r="F38" t="str">
            <v>M023</v>
          </cell>
          <cell r="G38" t="str">
            <v>M3</v>
          </cell>
          <cell r="H38">
            <v>125000</v>
          </cell>
        </row>
        <row r="39">
          <cell r="C39" t="str">
            <v>Batu belah     2 -   3 cm</v>
          </cell>
          <cell r="F39" t="str">
            <v>M024</v>
          </cell>
          <cell r="G39" t="str">
            <v>M3</v>
          </cell>
          <cell r="H39">
            <v>140000</v>
          </cell>
        </row>
        <row r="40">
          <cell r="C40" t="str">
            <v>Batu belah     1 -   2 cm</v>
          </cell>
          <cell r="F40" t="str">
            <v>M025</v>
          </cell>
          <cell r="G40" t="str">
            <v>M3</v>
          </cell>
          <cell r="H40">
            <v>155000</v>
          </cell>
        </row>
        <row r="41">
          <cell r="C41" t="str">
            <v>Batu belah  0,5 -  1 cm (screen)</v>
          </cell>
          <cell r="F41" t="str">
            <v>M026</v>
          </cell>
          <cell r="G41" t="str">
            <v>M3</v>
          </cell>
          <cell r="H41">
            <v>120000</v>
          </cell>
        </row>
        <row r="45">
          <cell r="F45" t="str">
            <v>M040</v>
          </cell>
          <cell r="G45" t="str">
            <v>M3</v>
          </cell>
          <cell r="H45">
            <v>50000</v>
          </cell>
        </row>
        <row r="46">
          <cell r="C46" t="str">
            <v>Pasir ayak untuk beton / kasar</v>
          </cell>
          <cell r="F46" t="str">
            <v>M041</v>
          </cell>
          <cell r="G46" t="str">
            <v>M3</v>
          </cell>
          <cell r="H46">
            <v>75000</v>
          </cell>
        </row>
        <row r="47">
          <cell r="C47" t="str">
            <v>Pasir pasang</v>
          </cell>
          <cell r="F47" t="str">
            <v>M042</v>
          </cell>
          <cell r="G47" t="str">
            <v>M3</v>
          </cell>
          <cell r="H47">
            <v>60000</v>
          </cell>
        </row>
        <row r="48">
          <cell r="C48" t="str">
            <v>Bahan timbunan pilihan</v>
          </cell>
          <cell r="F48" t="str">
            <v>M050</v>
          </cell>
          <cell r="G48" t="str">
            <v>M3</v>
          </cell>
          <cell r="H48">
            <v>52000</v>
          </cell>
        </row>
        <row r="49">
          <cell r="C49" t="str">
            <v>Aspal bitumen</v>
          </cell>
          <cell r="F49" t="str">
            <v>M061</v>
          </cell>
          <cell r="G49" t="str">
            <v>KG</v>
          </cell>
          <cell r="H49">
            <v>4875</v>
          </cell>
        </row>
        <row r="53">
          <cell r="C53" t="str">
            <v>Minyak tanah</v>
          </cell>
          <cell r="F53" t="str">
            <v>M065</v>
          </cell>
          <cell r="G53" t="str">
            <v>LT</v>
          </cell>
          <cell r="H53">
            <v>2500</v>
          </cell>
        </row>
        <row r="55">
          <cell r="F55" t="str">
            <v>M080</v>
          </cell>
          <cell r="G55" t="str">
            <v>50 KG</v>
          </cell>
          <cell r="H55">
            <v>43000</v>
          </cell>
        </row>
        <row r="58">
          <cell r="C58" t="str">
            <v>Kapur bakar</v>
          </cell>
          <cell r="F58" t="str">
            <v>M081</v>
          </cell>
          <cell r="G58" t="str">
            <v>M3</v>
          </cell>
          <cell r="H58">
            <v>105000</v>
          </cell>
        </row>
        <row r="62">
          <cell r="C62" t="str">
            <v>Kawat bronjong</v>
          </cell>
          <cell r="F62" t="str">
            <v>M162</v>
          </cell>
          <cell r="G62" t="str">
            <v>KG</v>
          </cell>
          <cell r="H62">
            <v>7500</v>
          </cell>
        </row>
        <row r="66">
          <cell r="C66" t="str">
            <v>Paku jembatan</v>
          </cell>
          <cell r="F66" t="str">
            <v>M166</v>
          </cell>
          <cell r="G66" t="str">
            <v>KG</v>
          </cell>
          <cell r="H66">
            <v>9000</v>
          </cell>
        </row>
        <row r="67">
          <cell r="C67" t="str">
            <v>Baja tulangan beton U32</v>
          </cell>
          <cell r="F67" t="str">
            <v>M167</v>
          </cell>
          <cell r="G67" t="str">
            <v>KG</v>
          </cell>
          <cell r="H67">
            <v>8100</v>
          </cell>
        </row>
        <row r="76">
          <cell r="C76" t="str">
            <v>Alat-alat bantu *)</v>
          </cell>
          <cell r="F76" t="str">
            <v>M170</v>
          </cell>
          <cell r="G76" t="str">
            <v>SET</v>
          </cell>
          <cell r="H76">
            <v>80000</v>
          </cell>
        </row>
        <row r="77">
          <cell r="C77" t="str">
            <v>Kayu untuk perancah</v>
          </cell>
          <cell r="F77" t="str">
            <v>M180</v>
          </cell>
          <cell r="G77" t="str">
            <v>M3</v>
          </cell>
          <cell r="H77">
            <v>850000</v>
          </cell>
        </row>
        <row r="82">
          <cell r="C82" t="str">
            <v>Paving blok</v>
          </cell>
          <cell r="F82">
            <v>0</v>
          </cell>
          <cell r="G82" t="str">
            <v>BH</v>
          </cell>
          <cell r="H82">
            <v>780</v>
          </cell>
        </row>
        <row r="86">
          <cell r="C86" t="str">
            <v>Laston (ATB)</v>
          </cell>
          <cell r="F86">
            <v>0</v>
          </cell>
          <cell r="G86" t="str">
            <v>TONNE</v>
          </cell>
          <cell r="H86">
            <v>635000</v>
          </cell>
        </row>
        <row r="87">
          <cell r="C87" t="str">
            <v>Lataston (HRS)</v>
          </cell>
          <cell r="F87">
            <v>0</v>
          </cell>
          <cell r="G87" t="str">
            <v>TONNE</v>
          </cell>
          <cell r="H87">
            <v>650000</v>
          </cell>
        </row>
        <row r="88">
          <cell r="C88" t="str">
            <v>Tanah</v>
          </cell>
          <cell r="F88">
            <v>0</v>
          </cell>
          <cell r="G88" t="str">
            <v>M3</v>
          </cell>
          <cell r="H88">
            <v>17500</v>
          </cell>
        </row>
        <row r="91">
          <cell r="C91" t="str">
            <v>Buldozer 110 HP</v>
          </cell>
          <cell r="G91" t="str">
            <v>E.001</v>
          </cell>
          <cell r="H91">
            <v>196200</v>
          </cell>
        </row>
        <row r="92">
          <cell r="C92" t="str">
            <v>Grader 110 HP</v>
          </cell>
          <cell r="G92" t="str">
            <v>E.010</v>
          </cell>
          <cell r="H92">
            <v>143300</v>
          </cell>
        </row>
        <row r="93">
          <cell r="C93" t="str">
            <v>Pemecah batu 200 HP</v>
          </cell>
          <cell r="G93" t="str">
            <v>E.031</v>
          </cell>
          <cell r="H93">
            <v>238800</v>
          </cell>
        </row>
        <row r="94">
          <cell r="C94" t="str">
            <v>Wheel loader 80 HP</v>
          </cell>
          <cell r="G94" t="str">
            <v>E.052</v>
          </cell>
          <cell r="H94">
            <v>102600</v>
          </cell>
        </row>
        <row r="95">
          <cell r="C95" t="str">
            <v>Wheel tractor 60 HP</v>
          </cell>
          <cell r="G95" t="str">
            <v>E.053</v>
          </cell>
          <cell r="H95">
            <v>102600</v>
          </cell>
        </row>
        <row r="96">
          <cell r="C96" t="str">
            <v>Mesin gilas 3 roda  8 -10 ton</v>
          </cell>
          <cell r="G96" t="str">
            <v>E.080</v>
          </cell>
          <cell r="H96">
            <v>71350</v>
          </cell>
        </row>
        <row r="97">
          <cell r="C97" t="str">
            <v>Mesin gilas tandem 6 - 10 ton</v>
          </cell>
          <cell r="G97" t="str">
            <v>E.081</v>
          </cell>
          <cell r="H97">
            <v>62550</v>
          </cell>
        </row>
        <row r="98">
          <cell r="C98" t="str">
            <v>Mesin gilas bergetar  1 ton</v>
          </cell>
          <cell r="G98" t="str">
            <v>E.082</v>
          </cell>
          <cell r="H98">
            <v>16700</v>
          </cell>
        </row>
        <row r="99">
          <cell r="C99" t="str">
            <v>Mesin gilas roda karet 8 - 10 ton</v>
          </cell>
          <cell r="G99" t="str">
            <v>E.084</v>
          </cell>
          <cell r="H99">
            <v>62700</v>
          </cell>
        </row>
        <row r="100">
          <cell r="C100" t="str">
            <v>Stamper 4 HP</v>
          </cell>
          <cell r="G100" t="str">
            <v>E.088</v>
          </cell>
          <cell r="H100">
            <v>9800</v>
          </cell>
        </row>
        <row r="101">
          <cell r="C101" t="str">
            <v>Concrate vibrator</v>
          </cell>
          <cell r="G101" t="str">
            <v>E.089</v>
          </cell>
          <cell r="H101">
            <v>16300</v>
          </cell>
        </row>
        <row r="102">
          <cell r="C102" t="str">
            <v>Asphalt sprayer 1000 ltr</v>
          </cell>
          <cell r="G102" t="str">
            <v>E.153</v>
          </cell>
          <cell r="H102">
            <v>53950</v>
          </cell>
        </row>
        <row r="103">
          <cell r="C103" t="str">
            <v>Asphalt sprayer 200  ltr</v>
          </cell>
          <cell r="G103" t="str">
            <v>E.154</v>
          </cell>
          <cell r="H103">
            <v>34125</v>
          </cell>
        </row>
        <row r="104">
          <cell r="C104" t="str">
            <v>Mesin penghampar  1,82 m</v>
          </cell>
          <cell r="G104" t="str">
            <v>E.157</v>
          </cell>
          <cell r="H104">
            <v>91200</v>
          </cell>
        </row>
        <row r="105">
          <cell r="C105" t="str">
            <v>Truk tanki air  68 HP</v>
          </cell>
          <cell r="G105" t="str">
            <v>E.182</v>
          </cell>
          <cell r="H105">
            <v>39500</v>
          </cell>
        </row>
        <row r="106">
          <cell r="C106" t="str">
            <v>Trailer gandengan  1 ton</v>
          </cell>
          <cell r="G106" t="str">
            <v>E.191</v>
          </cell>
          <cell r="H106">
            <v>105000</v>
          </cell>
        </row>
        <row r="107">
          <cell r="C107" t="str">
            <v>Dump truck (5 T) / 68 HP</v>
          </cell>
          <cell r="G107" t="str">
            <v>E.212</v>
          </cell>
          <cell r="H107">
            <v>102375</v>
          </cell>
        </row>
        <row r="108">
          <cell r="C108" t="str">
            <v>Dump truck (3,5 T) / 44 HP</v>
          </cell>
          <cell r="G108" t="str">
            <v>E.221</v>
          </cell>
          <cell r="H108">
            <v>85300</v>
          </cell>
        </row>
        <row r="109">
          <cell r="C109" t="str">
            <v>Pencampur beton 125 ltr</v>
          </cell>
          <cell r="G109" t="str">
            <v>E.251</v>
          </cell>
          <cell r="H109">
            <v>16350</v>
          </cell>
        </row>
        <row r="110">
          <cell r="C110" t="str">
            <v>Pencampur beton 500 ltr</v>
          </cell>
          <cell r="G110" t="str">
            <v>E.253</v>
          </cell>
        </row>
        <row r="111">
          <cell r="C111" t="str">
            <v>Air Compressor</v>
          </cell>
          <cell r="G111" t="str">
            <v>E.253</v>
          </cell>
          <cell r="H111">
            <v>10900</v>
          </cell>
        </row>
        <row r="112">
          <cell r="C112" t="str">
            <v>Water Pomp D. 5 cm</v>
          </cell>
          <cell r="G112" t="str">
            <v>E.341</v>
          </cell>
          <cell r="H112">
            <v>9300</v>
          </cell>
        </row>
        <row r="113">
          <cell r="C113" t="str">
            <v>Blower</v>
          </cell>
          <cell r="G113" t="str">
            <v>E.</v>
          </cell>
          <cell r="H113">
            <v>3500</v>
          </cell>
        </row>
        <row r="114">
          <cell r="C114" t="str">
            <v>Peralatan tractor dll.</v>
          </cell>
          <cell r="G114" t="str">
            <v>E.401</v>
          </cell>
          <cell r="H114">
            <v>58500</v>
          </cell>
        </row>
      </sheetData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ANALIS TAMBAHAN"/>
      <sheetName val="Sat~Pek"/>
      <sheetName val="Analys"/>
      <sheetName val="Sat~Bahu"/>
      <sheetName val="Analis alat"/>
      <sheetName val="Sat_Bahu"/>
      <sheetName val="BAHAN"/>
      <sheetName val="ANALISA"/>
      <sheetName val="SATUAN"/>
      <sheetName val="UPAH"/>
      <sheetName val="Material"/>
      <sheetName val="D -12"/>
      <sheetName val="Equip"/>
      <sheetName val="ANALIS_TAMBAHAN1"/>
      <sheetName val="Analis_alat1"/>
      <sheetName val="ANALIS_TAMBAHAN"/>
      <sheetName val="Analis_alat"/>
      <sheetName val="ANALIS_TAMBAHAN2"/>
      <sheetName val="Analis_alat2"/>
      <sheetName val="RAB"/>
      <sheetName val="HARGA"/>
      <sheetName val="Biaya alat"/>
      <sheetName val="PAKET 1 (d3)"/>
      <sheetName val="PAKET 2 (d3)"/>
      <sheetName val="Sheet1"/>
      <sheetName val="Sheet2"/>
      <sheetName val="Sheet3"/>
      <sheetName val="NP"/>
      <sheetName val="Alat"/>
      <sheetName val="D3"/>
      <sheetName val="Kuan&amp;Hrg"/>
      <sheetName val="D6"/>
      <sheetName val="Rekap By"/>
      <sheetName val="Informasi"/>
      <sheetName val="D8"/>
      <sheetName val="Analisa Upah Bahan"/>
      <sheetName val="Harga Satuan 2011"/>
      <sheetName val="Harsat Upah"/>
      <sheetName val="Sheet4"/>
      <sheetName val="HRG BHN"/>
      <sheetName val="ANALIS"/>
    </sheetNames>
    <sheetDataSet>
      <sheetData sheetId="0" refreshError="1"/>
      <sheetData sheetId="1"/>
      <sheetData sheetId="2"/>
      <sheetData sheetId="3"/>
      <sheetData sheetId="4" refreshError="1">
        <row r="49">
          <cell r="C49" t="str">
            <v>Aspal bitumen</v>
          </cell>
        </row>
        <row r="76">
          <cell r="C76" t="str">
            <v>Alat-alat bantu *)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ahs"/>
      <sheetName val="bhn,upah,alat"/>
      <sheetName val="Ans Kom Precast"/>
      <sheetName val="upah,bhn,alt"/>
      <sheetName val="analisa (3)"/>
      <sheetName val="Biaya &amp; Fisik"/>
      <sheetName val="Harsat"/>
      <sheetName val="BQ-E20-02(Rp)"/>
    </sheetNames>
    <sheetDataSet>
      <sheetData sheetId="0">
        <row r="179">
          <cell r="G179">
            <v>50000</v>
          </cell>
        </row>
        <row r="181">
          <cell r="G181">
            <v>45000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A"/>
      <sheetName val="REKAP"/>
      <sheetName val="RAB"/>
      <sheetName val="REKAPITULASI BIAYA"/>
      <sheetName val="BAHAN kost"/>
      <sheetName val="ANALISA kost"/>
      <sheetName val="REKAP kost"/>
      <sheetName val="RAB kost"/>
      <sheetName val="REKAPITULASI kost"/>
    </sheetNames>
    <sheetDataSet>
      <sheetData sheetId="0"/>
      <sheetData sheetId="1"/>
      <sheetData sheetId="2">
        <row r="15">
          <cell r="I15">
            <v>256506</v>
          </cell>
        </row>
        <row r="28">
          <cell r="I28">
            <v>19250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UPAH"/>
      <sheetName val="ANALISA"/>
      <sheetName val="SATUAN"/>
      <sheetName val="RAB"/>
      <sheetName val="REKAPITULASI"/>
    </sheetNames>
    <sheetDataSet>
      <sheetData sheetId="0">
        <row r="110">
          <cell r="E110">
            <v>10000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</sheetNames>
    <sheetDataSet>
      <sheetData sheetId="0"/>
      <sheetData sheetId="1"/>
      <sheetData sheetId="2">
        <row r="2">
          <cell r="B2">
            <v>1</v>
          </cell>
          <cell r="C2" t="str">
            <v>satu</v>
          </cell>
        </row>
        <row r="3">
          <cell r="B3">
            <v>2</v>
          </cell>
          <cell r="C3" t="str">
            <v>dua</v>
          </cell>
        </row>
        <row r="4">
          <cell r="B4">
            <v>3</v>
          </cell>
          <cell r="C4" t="str">
            <v>tiga</v>
          </cell>
        </row>
        <row r="5">
          <cell r="B5">
            <v>4</v>
          </cell>
          <cell r="C5" t="str">
            <v>empat</v>
          </cell>
        </row>
        <row r="6">
          <cell r="B6">
            <v>5</v>
          </cell>
          <cell r="C6" t="str">
            <v>lima</v>
          </cell>
        </row>
        <row r="7">
          <cell r="B7">
            <v>6</v>
          </cell>
          <cell r="C7" t="str">
            <v>enam</v>
          </cell>
        </row>
        <row r="8">
          <cell r="B8">
            <v>7</v>
          </cell>
          <cell r="C8" t="str">
            <v>tujuh</v>
          </cell>
        </row>
        <row r="9">
          <cell r="B9">
            <v>8</v>
          </cell>
          <cell r="C9" t="str">
            <v>delapan</v>
          </cell>
        </row>
        <row r="10">
          <cell r="B10">
            <v>9</v>
          </cell>
          <cell r="C10" t="str">
            <v>sembilan</v>
          </cell>
        </row>
        <row r="11">
          <cell r="B11">
            <v>10</v>
          </cell>
          <cell r="C11" t="str">
            <v>sepuluh</v>
          </cell>
        </row>
        <row r="12">
          <cell r="B12">
            <v>11</v>
          </cell>
          <cell r="C12" t="str">
            <v>sebelas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cover"/>
      <sheetName val="sub cover"/>
      <sheetName val="Harsat Upah"/>
      <sheetName val="Harsat Bahan"/>
      <sheetName val="Analisa"/>
      <sheetName val="Harsat Pekerjaan"/>
      <sheetName val="Perhit Beton"/>
      <sheetName val="Perhitungan Besi"/>
      <sheetName val="DAFTAR BESI KANAL C SIKU"/>
      <sheetName val="DAFTAR  BESI IWF"/>
      <sheetName val="bahan-semua daerah"/>
      <sheetName val="upah-semua daerah"/>
      <sheetName val="Pekerjaan 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 t="str">
            <v>KODE</v>
          </cell>
          <cell r="D6" t="str">
            <v>SAT</v>
          </cell>
          <cell r="E6" t="str">
            <v>HARGA SAT.</v>
          </cell>
        </row>
        <row r="7">
          <cell r="E7" t="str">
            <v>Rp.</v>
          </cell>
        </row>
        <row r="8">
          <cell r="B8" t="str">
            <v>1</v>
          </cell>
          <cell r="C8" t="str">
            <v>2</v>
          </cell>
          <cell r="D8" t="str">
            <v>3</v>
          </cell>
          <cell r="E8" t="str">
            <v>4</v>
          </cell>
        </row>
        <row r="10">
          <cell r="B10" t="str">
            <v>A</v>
          </cell>
          <cell r="C10" t="str">
            <v>AGREGAT KASAR, BAHAN PEREKAT &amp; BAHAN JADINYA</v>
          </cell>
        </row>
        <row r="11">
          <cell r="A11" t="str">
            <v>BA01</v>
          </cell>
          <cell r="B11" t="str">
            <v>1</v>
          </cell>
          <cell r="C11" t="str">
            <v>Pasir Urug</v>
          </cell>
          <cell r="D11" t="str">
            <v>m³</v>
          </cell>
          <cell r="E11">
            <v>50000</v>
          </cell>
        </row>
        <row r="12">
          <cell r="A12" t="str">
            <v>BA02</v>
          </cell>
          <cell r="B12" t="str">
            <v>2</v>
          </cell>
          <cell r="C12" t="str">
            <v>Sirtu</v>
          </cell>
          <cell r="D12" t="str">
            <v>m³</v>
          </cell>
          <cell r="E12">
            <v>45000</v>
          </cell>
        </row>
        <row r="13">
          <cell r="A13" t="str">
            <v>BA03</v>
          </cell>
          <cell r="B13" t="str">
            <v>3</v>
          </cell>
          <cell r="C13" t="str">
            <v>Pasir Teras</v>
          </cell>
          <cell r="D13" t="str">
            <v>m³</v>
          </cell>
          <cell r="E13">
            <v>55000</v>
          </cell>
        </row>
        <row r="14">
          <cell r="A14" t="str">
            <v>BA04</v>
          </cell>
          <cell r="B14" t="str">
            <v>4</v>
          </cell>
          <cell r="C14" t="str">
            <v>Pasir Pasang Kali</v>
          </cell>
          <cell r="D14" t="str">
            <v>m³</v>
          </cell>
          <cell r="E14">
            <v>65000</v>
          </cell>
        </row>
        <row r="15">
          <cell r="A15" t="str">
            <v>BA05</v>
          </cell>
          <cell r="B15" t="str">
            <v>5</v>
          </cell>
          <cell r="C15" t="str">
            <v>Pasir Beton I</v>
          </cell>
          <cell r="D15" t="str">
            <v>m³</v>
          </cell>
          <cell r="E15">
            <v>85000</v>
          </cell>
        </row>
        <row r="16">
          <cell r="A16" t="str">
            <v>BA06</v>
          </cell>
          <cell r="B16" t="str">
            <v>6</v>
          </cell>
          <cell r="C16" t="str">
            <v>Abu Batu</v>
          </cell>
          <cell r="D16" t="str">
            <v>m³</v>
          </cell>
          <cell r="E16">
            <v>70000</v>
          </cell>
        </row>
        <row r="17">
          <cell r="A17" t="str">
            <v>BA07</v>
          </cell>
          <cell r="B17" t="str">
            <v>7</v>
          </cell>
          <cell r="C17" t="str">
            <v>Batu Gosok ( Apung )</v>
          </cell>
          <cell r="D17" t="str">
            <v>kg</v>
          </cell>
          <cell r="E17">
            <v>8500</v>
          </cell>
        </row>
        <row r="18">
          <cell r="A18" t="str">
            <v>BA08</v>
          </cell>
          <cell r="B18" t="str">
            <v>8</v>
          </cell>
          <cell r="C18" t="str">
            <v>Batu Pecah Mesin  1/2</v>
          </cell>
          <cell r="D18" t="str">
            <v>m³</v>
          </cell>
          <cell r="E18">
            <v>90000</v>
          </cell>
        </row>
        <row r="19">
          <cell r="A19" t="str">
            <v>BA09</v>
          </cell>
          <cell r="B19" t="str">
            <v>9</v>
          </cell>
          <cell r="C19" t="str">
            <v>Batu Pecah Mesin  2/3</v>
          </cell>
          <cell r="D19" t="str">
            <v>m³</v>
          </cell>
          <cell r="E19">
            <v>85000</v>
          </cell>
        </row>
        <row r="20">
          <cell r="A20" t="str">
            <v>BA10</v>
          </cell>
          <cell r="B20" t="str">
            <v>10</v>
          </cell>
          <cell r="C20" t="str">
            <v>Batu Pecah Mesin  3/5</v>
          </cell>
          <cell r="D20" t="str">
            <v>m³</v>
          </cell>
          <cell r="E20">
            <v>75000</v>
          </cell>
        </row>
        <row r="21">
          <cell r="A21" t="str">
            <v>BA11</v>
          </cell>
          <cell r="B21" t="str">
            <v>11</v>
          </cell>
          <cell r="C21" t="str">
            <v>Batu Pecah Mesin  5/7</v>
          </cell>
          <cell r="D21" t="str">
            <v>m³</v>
          </cell>
          <cell r="E21">
            <v>65000</v>
          </cell>
        </row>
        <row r="22">
          <cell r="A22" t="str">
            <v>BA12</v>
          </cell>
          <cell r="B22" t="str">
            <v>12</v>
          </cell>
          <cell r="C22" t="str">
            <v>Batu Belah Pondasi</v>
          </cell>
          <cell r="D22" t="str">
            <v>m³</v>
          </cell>
          <cell r="E22">
            <v>70000</v>
          </cell>
        </row>
        <row r="23">
          <cell r="A23" t="str">
            <v>BA13</v>
          </cell>
          <cell r="B23" t="str">
            <v>13</v>
          </cell>
          <cell r="C23" t="str">
            <v>Batu Bronjol ( Untuk Bronjong )</v>
          </cell>
          <cell r="D23" t="str">
            <v>m³</v>
          </cell>
          <cell r="E23">
            <v>70000</v>
          </cell>
        </row>
        <row r="24">
          <cell r="A24" t="str">
            <v>BA14</v>
          </cell>
          <cell r="B24" t="str">
            <v>14</v>
          </cell>
          <cell r="C24" t="str">
            <v>Batu Koral Beton Kali</v>
          </cell>
          <cell r="D24" t="str">
            <v>m³</v>
          </cell>
          <cell r="E24">
            <v>80000</v>
          </cell>
        </row>
        <row r="25">
          <cell r="A25" t="str">
            <v>BA15</v>
          </cell>
          <cell r="B25" t="str">
            <v>15</v>
          </cell>
          <cell r="C25" t="str">
            <v xml:space="preserve">Batu Tempel Hitam </v>
          </cell>
          <cell r="D25" t="str">
            <v>m²</v>
          </cell>
          <cell r="E25">
            <v>47500</v>
          </cell>
        </row>
        <row r="26">
          <cell r="A26" t="str">
            <v>BA16</v>
          </cell>
          <cell r="B26" t="str">
            <v>16</v>
          </cell>
          <cell r="C26" t="str">
            <v>Batu Pinggir Beton 10 x 20 x 35</v>
          </cell>
          <cell r="D26" t="str">
            <v>bh</v>
          </cell>
          <cell r="E26">
            <v>7000</v>
          </cell>
        </row>
        <row r="27">
          <cell r="A27" t="str">
            <v>BA17</v>
          </cell>
          <cell r="B27" t="str">
            <v>17</v>
          </cell>
          <cell r="C27" t="str">
            <v>Batu Pinggir Beton 15 x 35 x 50 ( K -225 )</v>
          </cell>
          <cell r="D27" t="str">
            <v>bh</v>
          </cell>
          <cell r="E27">
            <v>15000</v>
          </cell>
        </row>
        <row r="28">
          <cell r="A28" t="str">
            <v>BA18</v>
          </cell>
          <cell r="B28" t="str">
            <v>18</v>
          </cell>
          <cell r="C28" t="str">
            <v>Batu Telor</v>
          </cell>
          <cell r="D28" t="str">
            <v>m³</v>
          </cell>
          <cell r="E28">
            <v>56500</v>
          </cell>
        </row>
        <row r="29">
          <cell r="A29" t="str">
            <v>BA19</v>
          </cell>
          <cell r="B29" t="str">
            <v>19</v>
          </cell>
          <cell r="C29" t="str">
            <v>Batako kecil 8 x 10 x 20</v>
          </cell>
          <cell r="D29" t="str">
            <v>bh</v>
          </cell>
          <cell r="E29">
            <v>500</v>
          </cell>
        </row>
        <row r="30">
          <cell r="A30" t="str">
            <v>BA20</v>
          </cell>
          <cell r="B30" t="str">
            <v>20</v>
          </cell>
          <cell r="C30" t="str">
            <v>Batako Besar 8 x 20 x 30</v>
          </cell>
          <cell r="D30" t="str">
            <v>bh</v>
          </cell>
          <cell r="E30">
            <v>1250</v>
          </cell>
        </row>
        <row r="31">
          <cell r="A31" t="str">
            <v>BA21</v>
          </cell>
          <cell r="B31" t="str">
            <v>21</v>
          </cell>
          <cell r="C31" t="str">
            <v>Con Blok 8 x 20 x 40</v>
          </cell>
          <cell r="D31" t="str">
            <v>bh</v>
          </cell>
          <cell r="E31">
            <v>3000</v>
          </cell>
        </row>
        <row r="32">
          <cell r="A32" t="str">
            <v>BA22</v>
          </cell>
          <cell r="B32" t="str">
            <v>22</v>
          </cell>
          <cell r="C32" t="str">
            <v>Bata Merah Bakar Kelas I</v>
          </cell>
          <cell r="D32" t="str">
            <v>bh</v>
          </cell>
          <cell r="E32">
            <v>250</v>
          </cell>
        </row>
        <row r="33">
          <cell r="A33" t="str">
            <v>BA23</v>
          </cell>
          <cell r="B33" t="str">
            <v>23</v>
          </cell>
          <cell r="C33" t="str">
            <v>Bata Merah Bakar Kelas II</v>
          </cell>
          <cell r="D33" t="str">
            <v>bh</v>
          </cell>
          <cell r="E33">
            <v>200</v>
          </cell>
        </row>
        <row r="34">
          <cell r="A34" t="str">
            <v>BA24</v>
          </cell>
          <cell r="B34" t="str">
            <v>24</v>
          </cell>
          <cell r="C34" t="str">
            <v>Bata Merah Oven ( Klingker )</v>
          </cell>
          <cell r="D34" t="str">
            <v>bh</v>
          </cell>
          <cell r="E34">
            <v>600</v>
          </cell>
        </row>
        <row r="35">
          <cell r="A35" t="str">
            <v>BA25</v>
          </cell>
          <cell r="B35" t="str">
            <v>25</v>
          </cell>
          <cell r="C35" t="str">
            <v>Roster Beton 20 x 20</v>
          </cell>
          <cell r="D35" t="str">
            <v>bh</v>
          </cell>
          <cell r="E35">
            <v>2900</v>
          </cell>
        </row>
        <row r="36">
          <cell r="A36" t="str">
            <v>BA26</v>
          </cell>
          <cell r="B36" t="str">
            <v>26</v>
          </cell>
          <cell r="C36" t="str">
            <v>Roster Beton 30 x 30</v>
          </cell>
          <cell r="D36" t="str">
            <v>bh</v>
          </cell>
          <cell r="E36">
            <v>3700</v>
          </cell>
        </row>
        <row r="37">
          <cell r="A37" t="str">
            <v>BA27</v>
          </cell>
          <cell r="B37" t="str">
            <v>27</v>
          </cell>
          <cell r="C37" t="str">
            <v>Grass Blok 20 x 20</v>
          </cell>
          <cell r="D37" t="str">
            <v>bh</v>
          </cell>
          <cell r="E37">
            <v>2900</v>
          </cell>
        </row>
        <row r="38">
          <cell r="A38" t="str">
            <v>BA28</v>
          </cell>
          <cell r="B38" t="str">
            <v>28</v>
          </cell>
          <cell r="C38" t="str">
            <v>Grass Blok 30 x 30</v>
          </cell>
          <cell r="D38" t="str">
            <v>bh</v>
          </cell>
          <cell r="E38">
            <v>3800</v>
          </cell>
        </row>
        <row r="39">
          <cell r="A39" t="str">
            <v>BA29</v>
          </cell>
          <cell r="B39" t="str">
            <v>29</v>
          </cell>
          <cell r="C39" t="str">
            <v>Paving Blok Natural 8 cm</v>
          </cell>
          <cell r="D39" t="str">
            <v>m²</v>
          </cell>
          <cell r="E39">
            <v>33500</v>
          </cell>
        </row>
        <row r="40">
          <cell r="A40" t="str">
            <v>BA30</v>
          </cell>
          <cell r="B40" t="str">
            <v>30</v>
          </cell>
          <cell r="C40" t="str">
            <v>Paving Blok Warna 8 cm</v>
          </cell>
          <cell r="D40" t="str">
            <v>m²</v>
          </cell>
          <cell r="E40">
            <v>39500</v>
          </cell>
        </row>
        <row r="41">
          <cell r="A41" t="str">
            <v>BA31</v>
          </cell>
          <cell r="B41" t="str">
            <v>31</v>
          </cell>
          <cell r="C41" t="str">
            <v>Paving Blok Natural 6 cm</v>
          </cell>
          <cell r="D41" t="str">
            <v>m²</v>
          </cell>
          <cell r="E41">
            <v>28500</v>
          </cell>
        </row>
        <row r="42">
          <cell r="A42" t="str">
            <v>BA32</v>
          </cell>
          <cell r="B42" t="str">
            <v>32</v>
          </cell>
          <cell r="C42" t="str">
            <v>Paving Blok Warna 6 cm</v>
          </cell>
          <cell r="D42" t="str">
            <v>m²</v>
          </cell>
          <cell r="E42">
            <v>32500</v>
          </cell>
        </row>
        <row r="43">
          <cell r="A43" t="str">
            <v>BA33</v>
          </cell>
          <cell r="B43" t="str">
            <v>33</v>
          </cell>
          <cell r="C43" t="str">
            <v>Kanstin Paving Blok</v>
          </cell>
          <cell r="D43" t="str">
            <v>m1</v>
          </cell>
          <cell r="E43">
            <v>13500</v>
          </cell>
        </row>
        <row r="44">
          <cell r="A44" t="str">
            <v>BA34</v>
          </cell>
          <cell r="B44" t="str">
            <v>34</v>
          </cell>
          <cell r="C44" t="str">
            <v>Semen PC Tiga Roda / 50 kg</v>
          </cell>
          <cell r="D44" t="str">
            <v>zak</v>
          </cell>
          <cell r="E44">
            <v>29000</v>
          </cell>
        </row>
        <row r="45">
          <cell r="A45" t="str">
            <v>BA35</v>
          </cell>
          <cell r="B45" t="str">
            <v>35</v>
          </cell>
          <cell r="C45" t="str">
            <v>Semen Putih</v>
          </cell>
          <cell r="D45" t="str">
            <v>zak</v>
          </cell>
          <cell r="E45">
            <v>46000</v>
          </cell>
        </row>
        <row r="46">
          <cell r="A46" t="str">
            <v>BA36</v>
          </cell>
          <cell r="B46" t="str">
            <v>36</v>
          </cell>
          <cell r="C46" t="str">
            <v>Kanstin Jalan ukuran Besar ( bina Marga ) 1 bh = 60 cm</v>
          </cell>
          <cell r="D46" t="str">
            <v>m³</v>
          </cell>
          <cell r="E46">
            <v>30000</v>
          </cell>
        </row>
        <row r="47">
          <cell r="A47" t="str">
            <v>BA37</v>
          </cell>
          <cell r="B47" t="str">
            <v>37</v>
          </cell>
          <cell r="C47" t="str">
            <v>Readymix Beton K 300, tanpa pompa ( selang )</v>
          </cell>
          <cell r="D47" t="str">
            <v>m³</v>
          </cell>
          <cell r="E47">
            <v>330000</v>
          </cell>
        </row>
        <row r="48">
          <cell r="A48" t="str">
            <v>BA38</v>
          </cell>
          <cell r="B48" t="str">
            <v>38</v>
          </cell>
          <cell r="C48" t="str">
            <v>Readymix Beton K 225, tanpa pompa ( selang )</v>
          </cell>
          <cell r="D48" t="str">
            <v>m³</v>
          </cell>
          <cell r="E48">
            <v>305000</v>
          </cell>
        </row>
        <row r="49">
          <cell r="A49" t="str">
            <v>BA39</v>
          </cell>
          <cell r="B49" t="str">
            <v>39</v>
          </cell>
          <cell r="C49" t="str">
            <v>Readymix Beton K 175, tanpa pompa ( selang )</v>
          </cell>
          <cell r="D49" t="str">
            <v>m³</v>
          </cell>
          <cell r="E49">
            <v>275000</v>
          </cell>
        </row>
        <row r="50">
          <cell r="A50" t="str">
            <v>BA40</v>
          </cell>
          <cell r="B50" t="str">
            <v>40</v>
          </cell>
          <cell r="C50" t="str">
            <v>Kapur Pasang/ kapur tembok</v>
          </cell>
          <cell r="D50" t="str">
            <v>m³</v>
          </cell>
          <cell r="E50">
            <v>65000</v>
          </cell>
        </row>
        <row r="51">
          <cell r="A51" t="str">
            <v>BA41</v>
          </cell>
          <cell r="B51" t="str">
            <v>41</v>
          </cell>
          <cell r="C51" t="str">
            <v>Kapur Sirih</v>
          </cell>
          <cell r="D51" t="str">
            <v>kg</v>
          </cell>
          <cell r="E51">
            <v>4000</v>
          </cell>
        </row>
        <row r="52">
          <cell r="A52" t="str">
            <v>BA42</v>
          </cell>
          <cell r="B52" t="str">
            <v>42</v>
          </cell>
          <cell r="C52" t="str">
            <v>Semen Warna</v>
          </cell>
          <cell r="D52" t="str">
            <v>kg</v>
          </cell>
          <cell r="E52">
            <v>6000</v>
          </cell>
        </row>
        <row r="53">
          <cell r="A53" t="str">
            <v>BA43</v>
          </cell>
          <cell r="B53">
            <v>43</v>
          </cell>
          <cell r="C53" t="str">
            <v>Tanah Liat</v>
          </cell>
          <cell r="D53" t="str">
            <v>m³</v>
          </cell>
          <cell r="E53">
            <v>12000</v>
          </cell>
        </row>
        <row r="55">
          <cell r="C55" t="str">
            <v xml:space="preserve">B. BAHAN FINISHING  : </v>
          </cell>
        </row>
        <row r="56">
          <cell r="C56" t="str">
            <v xml:space="preserve">     LABURAN, PENGISI DAN ALATNYA</v>
          </cell>
        </row>
        <row r="57">
          <cell r="A57" t="str">
            <v>BD01</v>
          </cell>
          <cell r="B57">
            <v>44</v>
          </cell>
          <cell r="C57" t="str">
            <v>Plamir Tembok</v>
          </cell>
          <cell r="D57" t="str">
            <v>kg</v>
          </cell>
          <cell r="E57">
            <v>5600</v>
          </cell>
        </row>
        <row r="58">
          <cell r="A58" t="str">
            <v>BD02</v>
          </cell>
          <cell r="B58">
            <v>45</v>
          </cell>
          <cell r="C58" t="str">
            <v>Cat Tembok ICI Eksterior ( BETON )</v>
          </cell>
          <cell r="D58" t="str">
            <v>lt</v>
          </cell>
          <cell r="E58">
            <v>52000</v>
          </cell>
        </row>
        <row r="59">
          <cell r="A59" t="str">
            <v>BD03</v>
          </cell>
          <cell r="B59">
            <v>46</v>
          </cell>
          <cell r="C59" t="str">
            <v>Cat Tembok ICI Interior ( PLAFOND DAN DINDING )</v>
          </cell>
          <cell r="D59" t="str">
            <v>lt</v>
          </cell>
          <cell r="E59">
            <v>52000</v>
          </cell>
        </row>
        <row r="60">
          <cell r="A60" t="str">
            <v>BD04</v>
          </cell>
          <cell r="B60">
            <v>47</v>
          </cell>
          <cell r="C60" t="str">
            <v>Cat Tembok Vinilex</v>
          </cell>
          <cell r="D60" t="str">
            <v>kg</v>
          </cell>
          <cell r="E60">
            <v>11000</v>
          </cell>
        </row>
        <row r="61">
          <cell r="A61" t="str">
            <v>BD05</v>
          </cell>
          <cell r="B61">
            <v>48</v>
          </cell>
          <cell r="C61" t="str">
            <v>Cat Dasar ICI untuk Interior ( 2 Pelapis )</v>
          </cell>
          <cell r="D61" t="str">
            <v>lt</v>
          </cell>
          <cell r="E61">
            <v>48500</v>
          </cell>
        </row>
        <row r="62">
          <cell r="A62" t="str">
            <v>BD06</v>
          </cell>
          <cell r="B62">
            <v>49</v>
          </cell>
          <cell r="C62" t="str">
            <v>Cat Tembok Sanlex</v>
          </cell>
          <cell r="D62" t="str">
            <v>kg</v>
          </cell>
          <cell r="E62">
            <v>7500</v>
          </cell>
        </row>
        <row r="63">
          <cell r="A63" t="str">
            <v>BD07</v>
          </cell>
          <cell r="B63">
            <v>50</v>
          </cell>
          <cell r="C63" t="str">
            <v>Cat Tahan Asam</v>
          </cell>
          <cell r="D63" t="str">
            <v>kg</v>
          </cell>
          <cell r="E63">
            <v>16500</v>
          </cell>
        </row>
        <row r="64">
          <cell r="A64" t="str">
            <v>BD08</v>
          </cell>
          <cell r="B64">
            <v>51</v>
          </cell>
          <cell r="C64" t="str">
            <v>Pelapis Alkali ICI ( Cat Dasar Beton Ekterior )</v>
          </cell>
          <cell r="D64" t="str">
            <v>lt</v>
          </cell>
          <cell r="E64">
            <v>28000</v>
          </cell>
        </row>
        <row r="65">
          <cell r="A65" t="str">
            <v>BD09</v>
          </cell>
          <cell r="B65">
            <v>52</v>
          </cell>
          <cell r="C65" t="str">
            <v>Cat Marka / Spotlight</v>
          </cell>
          <cell r="D65" t="str">
            <v>kg</v>
          </cell>
          <cell r="E65">
            <v>37500</v>
          </cell>
        </row>
        <row r="66">
          <cell r="A66" t="str">
            <v>BD10</v>
          </cell>
          <cell r="B66">
            <v>53</v>
          </cell>
          <cell r="C66" t="str">
            <v>Water Profing Emulsion</v>
          </cell>
          <cell r="D66" t="str">
            <v>kg</v>
          </cell>
          <cell r="E66">
            <v>30000</v>
          </cell>
        </row>
        <row r="67">
          <cell r="A67" t="str">
            <v>BD11</v>
          </cell>
          <cell r="B67">
            <v>54</v>
          </cell>
          <cell r="C67" t="str">
            <v>Water Profing Membrance</v>
          </cell>
          <cell r="D67" t="str">
            <v>ml</v>
          </cell>
          <cell r="E67">
            <v>50000</v>
          </cell>
        </row>
        <row r="68">
          <cell r="A68" t="str">
            <v>BD12</v>
          </cell>
          <cell r="B68">
            <v>55</v>
          </cell>
          <cell r="C68" t="str">
            <v>Rool Cat Tembok</v>
          </cell>
          <cell r="D68" t="str">
            <v>bh</v>
          </cell>
          <cell r="E68">
            <v>15000</v>
          </cell>
        </row>
        <row r="69">
          <cell r="A69" t="str">
            <v>BD13</v>
          </cell>
          <cell r="B69">
            <v>56</v>
          </cell>
          <cell r="C69" t="str">
            <v>Kape Tembok</v>
          </cell>
          <cell r="D69" t="str">
            <v>bh</v>
          </cell>
          <cell r="E69">
            <v>4000</v>
          </cell>
        </row>
        <row r="70">
          <cell r="A70" t="str">
            <v>BD14</v>
          </cell>
          <cell r="B70">
            <v>57</v>
          </cell>
          <cell r="C70" t="str">
            <v>Kape Kayu</v>
          </cell>
          <cell r="D70" t="str">
            <v>bh</v>
          </cell>
          <cell r="E70">
            <v>4500</v>
          </cell>
        </row>
        <row r="71">
          <cell r="A71" t="str">
            <v>BD15</v>
          </cell>
          <cell r="B71">
            <v>58</v>
          </cell>
          <cell r="C71" t="str">
            <v>Soligneum 1 blek</v>
          </cell>
          <cell r="D71" t="str">
            <v>5 lt</v>
          </cell>
          <cell r="E71">
            <v>17500</v>
          </cell>
        </row>
        <row r="72">
          <cell r="A72" t="str">
            <v>BD16</v>
          </cell>
          <cell r="B72">
            <v>59</v>
          </cell>
          <cell r="C72" t="str">
            <v>Plincote</v>
          </cell>
          <cell r="D72" t="str">
            <v>kg</v>
          </cell>
          <cell r="E72">
            <v>17500</v>
          </cell>
        </row>
        <row r="73">
          <cell r="A73" t="str">
            <v>BD17</v>
          </cell>
          <cell r="B73">
            <v>60</v>
          </cell>
          <cell r="C73" t="str">
            <v>Pengawetan Kayu</v>
          </cell>
          <cell r="D73" t="str">
            <v>m³</v>
          </cell>
          <cell r="E73">
            <v>150000</v>
          </cell>
        </row>
        <row r="74">
          <cell r="A74" t="str">
            <v>BD18</v>
          </cell>
          <cell r="B74">
            <v>61</v>
          </cell>
          <cell r="C74" t="str">
            <v>Pengopenan Kayu</v>
          </cell>
          <cell r="D74" t="str">
            <v>m³</v>
          </cell>
          <cell r="E74">
            <v>275000</v>
          </cell>
        </row>
        <row r="75">
          <cell r="A75" t="str">
            <v>BD19</v>
          </cell>
          <cell r="B75">
            <v>62</v>
          </cell>
          <cell r="C75" t="str">
            <v>Kwas 3"</v>
          </cell>
          <cell r="D75" t="str">
            <v>bh</v>
          </cell>
          <cell r="E75">
            <v>6750</v>
          </cell>
        </row>
        <row r="76">
          <cell r="A76" t="str">
            <v>BD20</v>
          </cell>
          <cell r="B76">
            <v>63</v>
          </cell>
          <cell r="C76" t="str">
            <v>Oker</v>
          </cell>
          <cell r="D76" t="str">
            <v>kg</v>
          </cell>
          <cell r="E76">
            <v>14500</v>
          </cell>
        </row>
        <row r="77">
          <cell r="A77" t="str">
            <v>BD21</v>
          </cell>
          <cell r="B77">
            <v>64</v>
          </cell>
          <cell r="C77" t="str">
            <v>Oyan</v>
          </cell>
          <cell r="D77" t="str">
            <v>bks</v>
          </cell>
          <cell r="E77">
            <v>1200</v>
          </cell>
        </row>
        <row r="78">
          <cell r="A78" t="str">
            <v>BD22</v>
          </cell>
          <cell r="B78">
            <v>65</v>
          </cell>
          <cell r="C78" t="str">
            <v>Oten (Pewarna Plitur )</v>
          </cell>
          <cell r="D78" t="str">
            <v>bks</v>
          </cell>
          <cell r="E78">
            <v>1200</v>
          </cell>
        </row>
        <row r="79">
          <cell r="A79" t="str">
            <v>BD23</v>
          </cell>
          <cell r="B79">
            <v>66</v>
          </cell>
          <cell r="C79" t="str">
            <v>Spirtus</v>
          </cell>
          <cell r="D79" t="str">
            <v>lt</v>
          </cell>
          <cell r="E79">
            <v>2500</v>
          </cell>
        </row>
        <row r="80">
          <cell r="A80" t="str">
            <v>BD24</v>
          </cell>
          <cell r="B80">
            <v>67</v>
          </cell>
          <cell r="C80" t="str">
            <v>Bahan Plitur Kripik ( Sirlak India )</v>
          </cell>
          <cell r="D80" t="str">
            <v>kg</v>
          </cell>
          <cell r="E80">
            <v>50000</v>
          </cell>
        </row>
        <row r="81">
          <cell r="A81" t="str">
            <v>BD25</v>
          </cell>
          <cell r="B81">
            <v>68</v>
          </cell>
          <cell r="C81" t="str">
            <v>Dempul Lilin</v>
          </cell>
          <cell r="D81" t="str">
            <v>kg</v>
          </cell>
          <cell r="E81">
            <v>15000</v>
          </cell>
        </row>
        <row r="82">
          <cell r="A82" t="str">
            <v>BD26</v>
          </cell>
          <cell r="B82">
            <v>69</v>
          </cell>
          <cell r="C82" t="str">
            <v>Dempul Plitur</v>
          </cell>
          <cell r="D82" t="str">
            <v>kg</v>
          </cell>
          <cell r="E82">
            <v>16500</v>
          </cell>
        </row>
        <row r="83">
          <cell r="A83" t="str">
            <v>BD27</v>
          </cell>
          <cell r="B83">
            <v>70</v>
          </cell>
          <cell r="C83" t="str">
            <v>Dempul Halus / Imfra ( Wood Filler )</v>
          </cell>
          <cell r="D83" t="str">
            <v>kg</v>
          </cell>
          <cell r="E83">
            <v>18000</v>
          </cell>
        </row>
        <row r="84">
          <cell r="A84" t="str">
            <v>BD28</v>
          </cell>
          <cell r="B84">
            <v>71</v>
          </cell>
          <cell r="C84" t="str">
            <v>Terpentin</v>
          </cell>
          <cell r="D84" t="str">
            <v>lt</v>
          </cell>
          <cell r="E84">
            <v>1800</v>
          </cell>
        </row>
        <row r="85">
          <cell r="A85" t="str">
            <v>BD29</v>
          </cell>
          <cell r="B85">
            <v>72</v>
          </cell>
          <cell r="C85" t="str">
            <v>Tiner A</v>
          </cell>
          <cell r="D85" t="str">
            <v>lt</v>
          </cell>
          <cell r="E85">
            <v>8000</v>
          </cell>
        </row>
        <row r="86">
          <cell r="A86" t="str">
            <v>BD30</v>
          </cell>
          <cell r="B86">
            <v>73</v>
          </cell>
          <cell r="C86" t="str">
            <v>Tiner B</v>
          </cell>
          <cell r="D86" t="str">
            <v>lt</v>
          </cell>
          <cell r="E86">
            <v>12000</v>
          </cell>
        </row>
        <row r="87">
          <cell r="A87" t="str">
            <v>BD31</v>
          </cell>
          <cell r="B87">
            <v>74</v>
          </cell>
          <cell r="C87" t="str">
            <v>Kumpon</v>
          </cell>
          <cell r="D87" t="str">
            <v>kg</v>
          </cell>
          <cell r="E87">
            <v>20000</v>
          </cell>
        </row>
        <row r="88">
          <cell r="A88" t="str">
            <v>BD32</v>
          </cell>
          <cell r="B88">
            <v>75</v>
          </cell>
          <cell r="C88" t="str">
            <v>Melamik</v>
          </cell>
          <cell r="D88" t="str">
            <v>kg</v>
          </cell>
          <cell r="E88">
            <v>23000</v>
          </cell>
        </row>
        <row r="89">
          <cell r="A89" t="str">
            <v>BD33</v>
          </cell>
          <cell r="B89">
            <v>76</v>
          </cell>
          <cell r="C89" t="str">
            <v>Dempul Plastik</v>
          </cell>
          <cell r="D89" t="str">
            <v>kg</v>
          </cell>
          <cell r="E89">
            <v>16500</v>
          </cell>
        </row>
        <row r="90">
          <cell r="A90" t="str">
            <v>BD34</v>
          </cell>
          <cell r="B90">
            <v>77</v>
          </cell>
          <cell r="C90" t="str">
            <v>Dempul Duco</v>
          </cell>
          <cell r="D90" t="str">
            <v>kg</v>
          </cell>
          <cell r="E90">
            <v>19000</v>
          </cell>
        </row>
        <row r="91">
          <cell r="A91" t="str">
            <v>BD35</v>
          </cell>
          <cell r="B91">
            <v>78</v>
          </cell>
          <cell r="C91" t="str">
            <v>Ampelas</v>
          </cell>
          <cell r="D91" t="str">
            <v>lbr</v>
          </cell>
          <cell r="E91">
            <v>2500</v>
          </cell>
        </row>
        <row r="92">
          <cell r="A92" t="str">
            <v>BD36</v>
          </cell>
          <cell r="B92">
            <v>79</v>
          </cell>
          <cell r="C92" t="str">
            <v>Dempul Kayu Cap Kucing</v>
          </cell>
          <cell r="D92" t="str">
            <v>kg</v>
          </cell>
          <cell r="E92">
            <v>25000</v>
          </cell>
        </row>
        <row r="93">
          <cell r="A93" t="str">
            <v>BD37</v>
          </cell>
          <cell r="B93">
            <v>80</v>
          </cell>
          <cell r="C93" t="str">
            <v>Meni Kayu / Besi</v>
          </cell>
          <cell r="D93" t="str">
            <v>kg</v>
          </cell>
          <cell r="E93">
            <v>8000</v>
          </cell>
        </row>
        <row r="94">
          <cell r="A94" t="str">
            <v>BD38</v>
          </cell>
          <cell r="B94">
            <v>81</v>
          </cell>
          <cell r="C94" t="str">
            <v>Sincromat</v>
          </cell>
          <cell r="D94" t="str">
            <v>kg</v>
          </cell>
          <cell r="E94">
            <v>20000</v>
          </cell>
        </row>
        <row r="95">
          <cell r="A95" t="str">
            <v>BD39</v>
          </cell>
          <cell r="B95">
            <v>82</v>
          </cell>
          <cell r="C95" t="str">
            <v>Cat Kayu Sieve</v>
          </cell>
          <cell r="D95" t="str">
            <v>kg</v>
          </cell>
          <cell r="E95">
            <v>25000</v>
          </cell>
        </row>
        <row r="96">
          <cell r="A96" t="str">
            <v>BD40</v>
          </cell>
          <cell r="B96">
            <v>83</v>
          </cell>
          <cell r="C96" t="str">
            <v>Cat Besi Sieve</v>
          </cell>
          <cell r="D96" t="str">
            <v>kg</v>
          </cell>
          <cell r="E96">
            <v>25000</v>
          </cell>
        </row>
        <row r="97">
          <cell r="A97" t="str">
            <v>BD41</v>
          </cell>
          <cell r="B97">
            <v>84</v>
          </cell>
          <cell r="C97" t="str">
            <v>Cat Besi Duco Danaglos/ICI</v>
          </cell>
          <cell r="D97" t="str">
            <v>kg</v>
          </cell>
          <cell r="E97">
            <v>65000</v>
          </cell>
        </row>
        <row r="98">
          <cell r="A98" t="str">
            <v>BD42</v>
          </cell>
          <cell r="B98">
            <v>85</v>
          </cell>
          <cell r="C98" t="str">
            <v>Cat Bron</v>
          </cell>
          <cell r="D98" t="str">
            <v>kg</v>
          </cell>
          <cell r="E98">
            <v>25000</v>
          </cell>
        </row>
        <row r="100">
          <cell r="C100" t="str">
            <v>C. BAHAN KAYU BERIKUT BAHAN JADINYA</v>
          </cell>
        </row>
        <row r="101">
          <cell r="A101" t="str">
            <v>BF01</v>
          </cell>
          <cell r="B101">
            <v>86</v>
          </cell>
          <cell r="C101" t="str">
            <v>Bambu Ø 5 s.d 7</v>
          </cell>
          <cell r="D101" t="str">
            <v>bt</v>
          </cell>
          <cell r="E101">
            <v>11500</v>
          </cell>
        </row>
        <row r="102">
          <cell r="A102" t="str">
            <v>BF02</v>
          </cell>
          <cell r="B102">
            <v>87</v>
          </cell>
          <cell r="C102" t="str">
            <v>Bambu Ø 7 s.d 10</v>
          </cell>
          <cell r="D102" t="str">
            <v>bt</v>
          </cell>
          <cell r="E102">
            <v>16500</v>
          </cell>
        </row>
        <row r="103">
          <cell r="A103" t="str">
            <v>BF03</v>
          </cell>
          <cell r="B103">
            <v>88</v>
          </cell>
          <cell r="C103" t="str">
            <v>Bambu Gombong</v>
          </cell>
          <cell r="D103" t="str">
            <v>bt</v>
          </cell>
          <cell r="E103">
            <v>31500</v>
          </cell>
        </row>
        <row r="104">
          <cell r="A104" t="str">
            <v>BF04</v>
          </cell>
          <cell r="B104">
            <v>89</v>
          </cell>
          <cell r="C104" t="str">
            <v>Kayu Kamper Singkil / Kapur (K. Samarinda Klas II)</v>
          </cell>
          <cell r="D104" t="str">
            <v>m³</v>
          </cell>
          <cell r="E104">
            <v>2550000</v>
          </cell>
        </row>
        <row r="105">
          <cell r="A105" t="str">
            <v>BF05</v>
          </cell>
          <cell r="B105">
            <v>90</v>
          </cell>
          <cell r="C105" t="str">
            <v>Kayu Balok Borneo Super</v>
          </cell>
          <cell r="D105" t="str">
            <v>m³</v>
          </cell>
          <cell r="E105">
            <v>1250000</v>
          </cell>
        </row>
        <row r="106">
          <cell r="A106" t="str">
            <v>BF06</v>
          </cell>
          <cell r="B106">
            <v>91</v>
          </cell>
          <cell r="C106" t="str">
            <v>Kayu Papan Borneo Super</v>
          </cell>
          <cell r="D106" t="str">
            <v>m³</v>
          </cell>
          <cell r="E106">
            <v>1350000</v>
          </cell>
        </row>
        <row r="107">
          <cell r="A107" t="str">
            <v>BF07</v>
          </cell>
          <cell r="B107">
            <v>92</v>
          </cell>
          <cell r="C107" t="str">
            <v>Kayu Balok Kamper Medan (kruing)</v>
          </cell>
          <cell r="D107" t="str">
            <v>m³</v>
          </cell>
          <cell r="E107">
            <v>1500000</v>
          </cell>
        </row>
        <row r="108">
          <cell r="A108" t="str">
            <v>BF08</v>
          </cell>
          <cell r="B108">
            <v>93</v>
          </cell>
          <cell r="C108" t="str">
            <v>Kayu Papan Kamper Medan (Kruing)</v>
          </cell>
          <cell r="D108" t="str">
            <v>m³</v>
          </cell>
          <cell r="E108">
            <v>1600000</v>
          </cell>
        </row>
        <row r="109">
          <cell r="A109" t="str">
            <v>BF09</v>
          </cell>
          <cell r="B109">
            <v>94</v>
          </cell>
          <cell r="C109" t="str">
            <v>Kayu Balok Kamper Banjar</v>
          </cell>
          <cell r="D109" t="str">
            <v>m³</v>
          </cell>
          <cell r="E109">
            <v>1750000</v>
          </cell>
        </row>
        <row r="110">
          <cell r="A110" t="str">
            <v>BF10</v>
          </cell>
          <cell r="B110">
            <v>95</v>
          </cell>
          <cell r="C110" t="str">
            <v>Kayu Papan Kamper Banjar</v>
          </cell>
          <cell r="D110" t="str">
            <v>m³</v>
          </cell>
          <cell r="E110">
            <v>1850000</v>
          </cell>
        </row>
        <row r="111">
          <cell r="A111" t="str">
            <v>BF11</v>
          </cell>
          <cell r="B111">
            <v>96</v>
          </cell>
          <cell r="C111" t="str">
            <v>Kayu Balok Kamper Samarinda</v>
          </cell>
          <cell r="D111" t="str">
            <v>m³</v>
          </cell>
          <cell r="E111">
            <v>3400000</v>
          </cell>
        </row>
        <row r="112">
          <cell r="A112" t="str">
            <v>BF12</v>
          </cell>
          <cell r="B112">
            <v>97</v>
          </cell>
          <cell r="C112" t="str">
            <v>Kayu Papan Kamper Samarinda</v>
          </cell>
          <cell r="D112" t="str">
            <v>m³</v>
          </cell>
          <cell r="E112">
            <v>3500000</v>
          </cell>
        </row>
        <row r="113">
          <cell r="A113" t="str">
            <v>BF13</v>
          </cell>
          <cell r="B113">
            <v>98</v>
          </cell>
          <cell r="C113" t="str">
            <v>Kayu Balok Rasamala</v>
          </cell>
          <cell r="D113" t="str">
            <v>m³</v>
          </cell>
          <cell r="E113">
            <v>950000</v>
          </cell>
        </row>
        <row r="114">
          <cell r="A114" t="str">
            <v>BF14</v>
          </cell>
          <cell r="B114">
            <v>99</v>
          </cell>
          <cell r="C114" t="str">
            <v xml:space="preserve">Kayu Jati Jatim Tua dia. 40 cm </v>
          </cell>
          <cell r="D114" t="str">
            <v>m³</v>
          </cell>
          <cell r="E114">
            <v>8800000</v>
          </cell>
        </row>
        <row r="115">
          <cell r="A115" t="str">
            <v>BF15</v>
          </cell>
          <cell r="B115">
            <v>100</v>
          </cell>
          <cell r="C115" t="str">
            <v>Kayu Jati Jateng Tua dia. 40 cm</v>
          </cell>
          <cell r="D115" t="str">
            <v>m³</v>
          </cell>
          <cell r="E115">
            <v>8800000</v>
          </cell>
        </row>
        <row r="116">
          <cell r="A116" t="str">
            <v>BF16</v>
          </cell>
          <cell r="B116">
            <v>101</v>
          </cell>
          <cell r="C116" t="str">
            <v>Kayu Jati Jabar Tua  dia. 40 cm</v>
          </cell>
          <cell r="D116" t="str">
            <v>m³</v>
          </cell>
          <cell r="E116">
            <v>4250000</v>
          </cell>
        </row>
        <row r="117">
          <cell r="A117" t="str">
            <v>BF17</v>
          </cell>
          <cell r="B117">
            <v>102</v>
          </cell>
          <cell r="C117" t="str">
            <v xml:space="preserve">Kayu Jati Jabar dia. 40 cm kebawah </v>
          </cell>
          <cell r="D117" t="str">
            <v>m³</v>
          </cell>
          <cell r="E117">
            <v>3600000</v>
          </cell>
        </row>
        <row r="118">
          <cell r="A118" t="str">
            <v>BF18</v>
          </cell>
          <cell r="B118">
            <v>103</v>
          </cell>
          <cell r="C118" t="str">
            <v xml:space="preserve">Kayu Hutan Kelas I ( Segeng, Mahoni, Laban ) </v>
          </cell>
          <cell r="D118" t="str">
            <v>m³</v>
          </cell>
          <cell r="E118">
            <v>1045000</v>
          </cell>
        </row>
        <row r="119">
          <cell r="A119" t="str">
            <v>BF19</v>
          </cell>
          <cell r="B119">
            <v>104</v>
          </cell>
          <cell r="C119" t="str">
            <v>Kayu Albasia</v>
          </cell>
          <cell r="D119" t="str">
            <v>m³</v>
          </cell>
          <cell r="E119">
            <v>400000</v>
          </cell>
        </row>
        <row r="120">
          <cell r="A120" t="str">
            <v>BF20</v>
          </cell>
          <cell r="B120">
            <v>105</v>
          </cell>
          <cell r="C120" t="str">
            <v>Dolken 5 s/d 7</v>
          </cell>
          <cell r="D120" t="str">
            <v>bt</v>
          </cell>
          <cell r="E120">
            <v>7500</v>
          </cell>
        </row>
        <row r="121">
          <cell r="A121" t="str">
            <v>BF21</v>
          </cell>
          <cell r="B121">
            <v>106</v>
          </cell>
          <cell r="C121" t="str">
            <v>Dolken 7 s/d 10</v>
          </cell>
          <cell r="D121" t="str">
            <v>bt</v>
          </cell>
          <cell r="E121">
            <v>12500</v>
          </cell>
        </row>
        <row r="122">
          <cell r="A122" t="str">
            <v>BF22</v>
          </cell>
          <cell r="B122">
            <v>107</v>
          </cell>
          <cell r="C122" t="str">
            <v>List profil kamper 1 cm</v>
          </cell>
          <cell r="D122" t="str">
            <v>m1</v>
          </cell>
          <cell r="E122">
            <v>1350</v>
          </cell>
        </row>
        <row r="123">
          <cell r="A123" t="str">
            <v>BF23</v>
          </cell>
          <cell r="B123">
            <v>108</v>
          </cell>
          <cell r="C123" t="str">
            <v>List profil kamper 2 cm</v>
          </cell>
          <cell r="D123" t="str">
            <v>m1</v>
          </cell>
          <cell r="E123">
            <v>1950</v>
          </cell>
        </row>
        <row r="124">
          <cell r="A124" t="str">
            <v>BF24</v>
          </cell>
          <cell r="B124">
            <v>109</v>
          </cell>
          <cell r="C124" t="str">
            <v>List profil kamper 4 cm</v>
          </cell>
          <cell r="D124" t="str">
            <v>m1</v>
          </cell>
          <cell r="E124">
            <v>4500</v>
          </cell>
        </row>
        <row r="125">
          <cell r="A125" t="str">
            <v>BF25</v>
          </cell>
          <cell r="B125">
            <v>110</v>
          </cell>
          <cell r="C125" t="str">
            <v>List profil kamper 5 cm</v>
          </cell>
          <cell r="D125" t="str">
            <v>m1</v>
          </cell>
          <cell r="E125">
            <v>7150</v>
          </cell>
        </row>
        <row r="126">
          <cell r="A126" t="str">
            <v>BF26</v>
          </cell>
          <cell r="B126">
            <v>111</v>
          </cell>
          <cell r="C126" t="str">
            <v>List profil kamper 10 cm</v>
          </cell>
          <cell r="D126" t="str">
            <v>m1</v>
          </cell>
          <cell r="E126">
            <v>13750</v>
          </cell>
        </row>
        <row r="127">
          <cell r="A127" t="str">
            <v>BF27</v>
          </cell>
          <cell r="B127">
            <v>112</v>
          </cell>
          <cell r="C127" t="str">
            <v>Pegangan Tangga profil Jati</v>
          </cell>
          <cell r="D127" t="str">
            <v>m1</v>
          </cell>
          <cell r="E127">
            <v>65000</v>
          </cell>
        </row>
        <row r="128">
          <cell r="A128" t="str">
            <v>BF28</v>
          </cell>
          <cell r="B128">
            <v>113</v>
          </cell>
          <cell r="C128" t="str">
            <v>Pegangan Tangga profil Kamper</v>
          </cell>
          <cell r="D128" t="str">
            <v>m1</v>
          </cell>
          <cell r="E128">
            <v>22500</v>
          </cell>
        </row>
        <row r="129">
          <cell r="A129" t="str">
            <v>BF29</v>
          </cell>
          <cell r="B129">
            <v>114</v>
          </cell>
          <cell r="C129" t="str">
            <v>Kayu Reng 2/3 Borneo Super</v>
          </cell>
          <cell r="D129" t="str">
            <v>m1</v>
          </cell>
          <cell r="E129">
            <v>850</v>
          </cell>
        </row>
        <row r="130">
          <cell r="A130" t="str">
            <v>BF30</v>
          </cell>
          <cell r="B130">
            <v>115</v>
          </cell>
          <cell r="C130" t="str">
            <v>Kayu Reng 2/3 Kamper Banjar</v>
          </cell>
          <cell r="D130" t="str">
            <v>m1</v>
          </cell>
          <cell r="E130">
            <v>1400</v>
          </cell>
        </row>
        <row r="131">
          <cell r="A131" t="str">
            <v>BF31</v>
          </cell>
          <cell r="B131">
            <v>116</v>
          </cell>
          <cell r="C131" t="str">
            <v>Kayu Reng 3/4 Kamper Banjar</v>
          </cell>
          <cell r="D131" t="str">
            <v>m1</v>
          </cell>
          <cell r="E131">
            <v>1800</v>
          </cell>
        </row>
        <row r="133">
          <cell r="C133" t="str">
            <v>D. BAHAN PENUTUP RANGKA PLAFOND</v>
          </cell>
        </row>
        <row r="134">
          <cell r="A134" t="str">
            <v>BH01</v>
          </cell>
          <cell r="B134">
            <v>117</v>
          </cell>
          <cell r="C134" t="str">
            <v>Bahan plafond Enternit 4 mm</v>
          </cell>
          <cell r="D134" t="str">
            <v>m²</v>
          </cell>
          <cell r="E134">
            <v>8500</v>
          </cell>
        </row>
        <row r="135">
          <cell r="A135" t="str">
            <v>BH02</v>
          </cell>
          <cell r="B135">
            <v>118</v>
          </cell>
          <cell r="C135" t="str">
            <v>Bahan plafond hardpleks 5 mm 120 x 240</v>
          </cell>
          <cell r="D135" t="str">
            <v>lbr</v>
          </cell>
          <cell r="E135">
            <v>35000</v>
          </cell>
        </row>
        <row r="136">
          <cell r="A136" t="str">
            <v>BH03</v>
          </cell>
          <cell r="B136">
            <v>119</v>
          </cell>
          <cell r="C136" t="str">
            <v>Bahan plafond Asbes Semen 5 mm</v>
          </cell>
          <cell r="D136" t="str">
            <v>m²</v>
          </cell>
          <cell r="E136">
            <v>10500</v>
          </cell>
        </row>
        <row r="137">
          <cell r="A137" t="str">
            <v>BH04</v>
          </cell>
          <cell r="B137">
            <v>120</v>
          </cell>
          <cell r="C137" t="str">
            <v>Gypsum 120 x 240  t = 9 mm ex DN</v>
          </cell>
          <cell r="D137" t="str">
            <v>lbr</v>
          </cell>
          <cell r="E137">
            <v>39000</v>
          </cell>
        </row>
        <row r="138">
          <cell r="A138" t="str">
            <v>BH05</v>
          </cell>
          <cell r="B138">
            <v>121</v>
          </cell>
          <cell r="C138" t="str">
            <v>Gypsum 120 x 240  t = 9 mm ex Luar</v>
          </cell>
          <cell r="D138" t="str">
            <v>lbr</v>
          </cell>
          <cell r="E138">
            <v>44500</v>
          </cell>
        </row>
        <row r="139">
          <cell r="A139" t="str">
            <v>BH06</v>
          </cell>
          <cell r="B139">
            <v>122</v>
          </cell>
          <cell r="C139" t="str">
            <v xml:space="preserve">Acustik Amstrong 60 x 120 </v>
          </cell>
          <cell r="D139" t="str">
            <v>lbr</v>
          </cell>
          <cell r="E139">
            <v>69000</v>
          </cell>
        </row>
        <row r="141">
          <cell r="C141" t="str">
            <v>E. BAHAN KAYU LAPIS</v>
          </cell>
        </row>
        <row r="142">
          <cell r="A142" t="str">
            <v>BJ01</v>
          </cell>
          <cell r="B142">
            <v>123</v>
          </cell>
          <cell r="C142" t="str">
            <v>Triplek 3 mm 120 x 240</v>
          </cell>
          <cell r="D142" t="str">
            <v>lbr</v>
          </cell>
          <cell r="E142">
            <v>28000</v>
          </cell>
        </row>
        <row r="143">
          <cell r="A143" t="str">
            <v>BJ02</v>
          </cell>
          <cell r="B143">
            <v>124</v>
          </cell>
          <cell r="C143" t="str">
            <v>Triplek 4 mm 120 x 240</v>
          </cell>
          <cell r="D143" t="str">
            <v>lbr</v>
          </cell>
          <cell r="E143">
            <v>32000</v>
          </cell>
        </row>
        <row r="144">
          <cell r="A144" t="str">
            <v>BJ03</v>
          </cell>
          <cell r="B144">
            <v>125</v>
          </cell>
          <cell r="C144" t="str">
            <v>Triplek 4 mm Ukuran Pintu</v>
          </cell>
          <cell r="D144" t="str">
            <v>lbr</v>
          </cell>
          <cell r="E144">
            <v>22500</v>
          </cell>
        </row>
        <row r="145">
          <cell r="A145" t="str">
            <v>BJ04</v>
          </cell>
          <cell r="B145">
            <v>126</v>
          </cell>
          <cell r="C145" t="str">
            <v>Triplek 6 mm 120 x 240</v>
          </cell>
          <cell r="D145" t="str">
            <v>lbr</v>
          </cell>
          <cell r="E145">
            <v>60400</v>
          </cell>
        </row>
        <row r="146">
          <cell r="A146" t="str">
            <v>BJ05</v>
          </cell>
          <cell r="B146">
            <v>127</v>
          </cell>
          <cell r="C146" t="str">
            <v>Triplek 9 mm 120 x 240</v>
          </cell>
          <cell r="D146" t="str">
            <v>lbr</v>
          </cell>
          <cell r="E146">
            <v>80000</v>
          </cell>
        </row>
        <row r="147">
          <cell r="A147" t="str">
            <v>BJ06</v>
          </cell>
          <cell r="B147">
            <v>128</v>
          </cell>
          <cell r="C147" t="str">
            <v>Jabar Wood 4 mm</v>
          </cell>
          <cell r="D147" t="str">
            <v>lbr</v>
          </cell>
          <cell r="E147">
            <v>49500</v>
          </cell>
        </row>
        <row r="148">
          <cell r="A148" t="str">
            <v>BJ07</v>
          </cell>
          <cell r="B148">
            <v>129</v>
          </cell>
          <cell r="C148" t="str">
            <v>Bilik Bambu ( tanpa kulit )</v>
          </cell>
          <cell r="D148" t="str">
            <v>m²</v>
          </cell>
          <cell r="E148">
            <v>5500</v>
          </cell>
        </row>
        <row r="149">
          <cell r="A149" t="str">
            <v>BJ08</v>
          </cell>
          <cell r="B149">
            <v>130</v>
          </cell>
          <cell r="C149" t="str">
            <v>Bilik Bambu ( dengan kulit )</v>
          </cell>
          <cell r="D149" t="str">
            <v>m²</v>
          </cell>
          <cell r="E149">
            <v>8000</v>
          </cell>
        </row>
        <row r="150">
          <cell r="A150" t="str">
            <v>BJ09</v>
          </cell>
          <cell r="B150">
            <v>131</v>
          </cell>
          <cell r="C150" t="str">
            <v>Bilik Bambu Hitam Variasi</v>
          </cell>
          <cell r="D150" t="str">
            <v>m²</v>
          </cell>
          <cell r="E150">
            <v>11000</v>
          </cell>
        </row>
        <row r="151">
          <cell r="A151" t="str">
            <v>BJ10</v>
          </cell>
          <cell r="B151">
            <v>132</v>
          </cell>
          <cell r="C151" t="str">
            <v>Wall Paper ( kls menengah )</v>
          </cell>
          <cell r="D151" t="str">
            <v>m²</v>
          </cell>
          <cell r="E151">
            <v>27000</v>
          </cell>
        </row>
        <row r="152">
          <cell r="A152" t="str">
            <v>BJ11</v>
          </cell>
          <cell r="B152">
            <v>133</v>
          </cell>
          <cell r="C152" t="str">
            <v>Multiplek 9 mm 120 x 240</v>
          </cell>
          <cell r="D152" t="str">
            <v>lbr</v>
          </cell>
          <cell r="E152">
            <v>75000</v>
          </cell>
        </row>
        <row r="153">
          <cell r="A153" t="str">
            <v>BJ12</v>
          </cell>
          <cell r="B153">
            <v>134</v>
          </cell>
          <cell r="C153" t="str">
            <v>Multiplek 12 mm 120 x 240</v>
          </cell>
          <cell r="D153" t="str">
            <v>lbr</v>
          </cell>
          <cell r="E153">
            <v>110000</v>
          </cell>
        </row>
        <row r="154">
          <cell r="A154" t="str">
            <v>BJ13</v>
          </cell>
          <cell r="B154">
            <v>135</v>
          </cell>
          <cell r="C154" t="str">
            <v>Multiplek 18 mm 120 x 240</v>
          </cell>
          <cell r="D154" t="str">
            <v>lbr</v>
          </cell>
          <cell r="E154">
            <v>125000</v>
          </cell>
        </row>
        <row r="155">
          <cell r="A155" t="str">
            <v>BJ14</v>
          </cell>
          <cell r="B155">
            <v>136</v>
          </cell>
          <cell r="C155" t="str">
            <v>Play Wood 18 mm 120 x 240</v>
          </cell>
          <cell r="D155" t="str">
            <v>lbr</v>
          </cell>
          <cell r="E155">
            <v>166500</v>
          </cell>
        </row>
        <row r="156">
          <cell r="A156" t="str">
            <v>BJ15</v>
          </cell>
          <cell r="B156">
            <v>137</v>
          </cell>
          <cell r="C156" t="str">
            <v>Teak Wood 3 mm 120 x 240</v>
          </cell>
          <cell r="D156" t="str">
            <v>lbr</v>
          </cell>
          <cell r="E156">
            <v>62500</v>
          </cell>
        </row>
        <row r="157">
          <cell r="A157" t="str">
            <v>BJ16</v>
          </cell>
          <cell r="B157">
            <v>138</v>
          </cell>
          <cell r="C157" t="str">
            <v>Teak Wood 4 mm 120 x 240</v>
          </cell>
          <cell r="D157" t="str">
            <v>lbr</v>
          </cell>
          <cell r="E157">
            <v>68000</v>
          </cell>
        </row>
        <row r="158">
          <cell r="A158" t="str">
            <v>BJ17</v>
          </cell>
          <cell r="B158">
            <v>139</v>
          </cell>
          <cell r="C158" t="str">
            <v xml:space="preserve">Teak Wood 3 mm 120 x 240 Ukuran Pintu </v>
          </cell>
          <cell r="D158" t="str">
            <v>lbr</v>
          </cell>
          <cell r="E158">
            <v>42500</v>
          </cell>
        </row>
        <row r="159">
          <cell r="A159" t="str">
            <v>BJ18</v>
          </cell>
          <cell r="B159">
            <v>140</v>
          </cell>
          <cell r="C159" t="str">
            <v>Teak Wood ukuran Pintu 4 mm</v>
          </cell>
          <cell r="D159" t="str">
            <v>lbr</v>
          </cell>
          <cell r="E159">
            <v>62000</v>
          </cell>
        </row>
        <row r="160">
          <cell r="A160" t="str">
            <v>BJ19</v>
          </cell>
          <cell r="B160">
            <v>141</v>
          </cell>
          <cell r="C160" t="str">
            <v>Tacon ( tahan bakar )</v>
          </cell>
          <cell r="D160" t="str">
            <v>m²</v>
          </cell>
          <cell r="E160">
            <v>65500</v>
          </cell>
        </row>
        <row r="161">
          <cell r="A161" t="str">
            <v>BJ20</v>
          </cell>
          <cell r="B161">
            <v>142</v>
          </cell>
          <cell r="C161" t="str">
            <v>Supercon</v>
          </cell>
          <cell r="D161" t="str">
            <v>m²</v>
          </cell>
          <cell r="E161">
            <v>35000</v>
          </cell>
        </row>
        <row r="162">
          <cell r="A162" t="str">
            <v>BJ21</v>
          </cell>
          <cell r="B162">
            <v>143</v>
          </cell>
          <cell r="C162" t="str">
            <v xml:space="preserve">Melamin 4 mm 120 x 240 </v>
          </cell>
          <cell r="D162" t="str">
            <v>lbr</v>
          </cell>
          <cell r="E162">
            <v>40000</v>
          </cell>
        </row>
        <row r="163">
          <cell r="A163" t="str">
            <v>BJ22</v>
          </cell>
          <cell r="B163">
            <v>144</v>
          </cell>
          <cell r="C163" t="str">
            <v>Melamin TOK 4 mm</v>
          </cell>
          <cell r="D163" t="str">
            <v>lbr</v>
          </cell>
          <cell r="E163">
            <v>69500</v>
          </cell>
        </row>
        <row r="164">
          <cell r="A164" t="str">
            <v>BJ23</v>
          </cell>
          <cell r="B164">
            <v>145</v>
          </cell>
          <cell r="C164" t="str">
            <v xml:space="preserve">Formika 120 x 240 </v>
          </cell>
          <cell r="D164" t="str">
            <v>lbr</v>
          </cell>
          <cell r="E164">
            <v>90000</v>
          </cell>
        </row>
        <row r="165">
          <cell r="A165" t="str">
            <v>BJ24</v>
          </cell>
          <cell r="B165">
            <v>146</v>
          </cell>
          <cell r="C165" t="str">
            <v>Formika Ukuran Pintu</v>
          </cell>
          <cell r="D165" t="str">
            <v>lbr</v>
          </cell>
          <cell r="E165">
            <v>64500</v>
          </cell>
        </row>
        <row r="167">
          <cell r="C167" t="str">
            <v>F. BAHAN LANTAI DAN PELAPIS DINDING</v>
          </cell>
        </row>
        <row r="168">
          <cell r="A168" t="str">
            <v>BL01</v>
          </cell>
          <cell r="B168">
            <v>147</v>
          </cell>
          <cell r="C168" t="str">
            <v>Tegel PC 20 x 20</v>
          </cell>
          <cell r="D168" t="str">
            <v>bh</v>
          </cell>
          <cell r="E168">
            <v>800</v>
          </cell>
        </row>
        <row r="169">
          <cell r="A169" t="str">
            <v>BL02</v>
          </cell>
          <cell r="B169">
            <v>148</v>
          </cell>
          <cell r="C169" t="str">
            <v>Plin Tegel PC 10 x 20</v>
          </cell>
          <cell r="D169" t="str">
            <v>bh</v>
          </cell>
          <cell r="E169">
            <v>725</v>
          </cell>
        </row>
        <row r="170">
          <cell r="A170" t="str">
            <v>BL03</v>
          </cell>
          <cell r="B170">
            <v>149</v>
          </cell>
          <cell r="C170" t="str">
            <v>Tegel PC 30 x 30</v>
          </cell>
          <cell r="D170" t="str">
            <v>bh</v>
          </cell>
          <cell r="E170">
            <v>1100</v>
          </cell>
        </row>
        <row r="171">
          <cell r="A171" t="str">
            <v>BL04</v>
          </cell>
          <cell r="B171">
            <v>150</v>
          </cell>
          <cell r="C171" t="str">
            <v>Plin Tegel PC 15 x 30</v>
          </cell>
          <cell r="D171" t="str">
            <v>bh</v>
          </cell>
          <cell r="E171">
            <v>850</v>
          </cell>
        </row>
        <row r="172">
          <cell r="A172" t="str">
            <v>BL05</v>
          </cell>
          <cell r="B172">
            <v>151</v>
          </cell>
          <cell r="C172" t="str">
            <v>Tegel Warna 20 x 20</v>
          </cell>
          <cell r="D172" t="str">
            <v>bh</v>
          </cell>
          <cell r="E172">
            <v>1000</v>
          </cell>
        </row>
        <row r="173">
          <cell r="A173" t="str">
            <v>BL06</v>
          </cell>
          <cell r="B173">
            <v>152</v>
          </cell>
          <cell r="C173" t="str">
            <v>Plin Tegel Warna 10 x 20</v>
          </cell>
          <cell r="D173" t="str">
            <v>bh</v>
          </cell>
          <cell r="E173">
            <v>850</v>
          </cell>
        </row>
        <row r="174">
          <cell r="A174" t="str">
            <v>BL07</v>
          </cell>
          <cell r="B174">
            <v>153</v>
          </cell>
          <cell r="C174" t="str">
            <v>Tegel Warna 30 x 30</v>
          </cell>
          <cell r="D174" t="str">
            <v>bh</v>
          </cell>
          <cell r="E174">
            <v>1450</v>
          </cell>
        </row>
        <row r="175">
          <cell r="A175" t="str">
            <v>BL08</v>
          </cell>
          <cell r="B175">
            <v>154</v>
          </cell>
          <cell r="C175" t="str">
            <v>Plin Tegel Warna 15 x 30</v>
          </cell>
          <cell r="D175" t="str">
            <v>bh</v>
          </cell>
          <cell r="E175">
            <v>1250</v>
          </cell>
        </row>
        <row r="176">
          <cell r="A176" t="str">
            <v>BL09</v>
          </cell>
          <cell r="B176">
            <v>155</v>
          </cell>
          <cell r="C176" t="str">
            <v>Tegel Wafel PC 20 x 20</v>
          </cell>
          <cell r="D176" t="str">
            <v>bh</v>
          </cell>
          <cell r="E176">
            <v>850</v>
          </cell>
        </row>
        <row r="177">
          <cell r="A177" t="str">
            <v>BL10</v>
          </cell>
          <cell r="B177">
            <v>156</v>
          </cell>
          <cell r="C177" t="str">
            <v>Tegel Wafel Warna 20 x 20</v>
          </cell>
          <cell r="D177" t="str">
            <v>bh</v>
          </cell>
          <cell r="E177">
            <v>1150</v>
          </cell>
        </row>
        <row r="178">
          <cell r="A178" t="str">
            <v>BL11</v>
          </cell>
          <cell r="B178">
            <v>157</v>
          </cell>
          <cell r="C178" t="str">
            <v>Tegel Badak PC 30 x 30</v>
          </cell>
          <cell r="D178" t="str">
            <v>bh</v>
          </cell>
          <cell r="E178">
            <v>1150</v>
          </cell>
        </row>
        <row r="179">
          <cell r="A179" t="str">
            <v>BL12</v>
          </cell>
          <cell r="B179">
            <v>158</v>
          </cell>
          <cell r="C179" t="str">
            <v>Poslin 11 x 11 Warna Standar DN</v>
          </cell>
          <cell r="D179" t="str">
            <v>m²</v>
          </cell>
          <cell r="E179">
            <v>25500</v>
          </cell>
        </row>
        <row r="180">
          <cell r="A180" t="str">
            <v>BL13</v>
          </cell>
          <cell r="B180">
            <v>159</v>
          </cell>
          <cell r="C180" t="str">
            <v>Poslin 11 x 11 Warna Khusus DN</v>
          </cell>
          <cell r="D180" t="str">
            <v>m²</v>
          </cell>
          <cell r="E180">
            <v>29500</v>
          </cell>
        </row>
        <row r="181">
          <cell r="A181" t="str">
            <v>BL14</v>
          </cell>
          <cell r="B181">
            <v>160</v>
          </cell>
          <cell r="C181" t="str">
            <v>Keramik 10 x 20 dan 20 x 20 KW I DN Putih  / Polos</v>
          </cell>
          <cell r="D181" t="str">
            <v>m²</v>
          </cell>
          <cell r="E181">
            <v>27000</v>
          </cell>
        </row>
        <row r="182">
          <cell r="A182" t="str">
            <v>BL15</v>
          </cell>
          <cell r="B182">
            <v>161</v>
          </cell>
          <cell r="C182" t="str">
            <v>Keramik 10 x 20 KW I DN Corak / Warna / Anti Slip</v>
          </cell>
          <cell r="D182" t="str">
            <v>m²</v>
          </cell>
          <cell r="E182">
            <v>28000</v>
          </cell>
        </row>
        <row r="183">
          <cell r="A183" t="str">
            <v>BL16</v>
          </cell>
          <cell r="B183">
            <v>162</v>
          </cell>
          <cell r="C183" t="str">
            <v>Keramik 20 x 20 (KM) KW I DN Corak / Warna / Anti Slip</v>
          </cell>
          <cell r="D183" t="str">
            <v>m²</v>
          </cell>
          <cell r="E183">
            <v>31500</v>
          </cell>
        </row>
        <row r="184">
          <cell r="A184" t="str">
            <v>BL17</v>
          </cell>
          <cell r="B184">
            <v>163</v>
          </cell>
          <cell r="C184" t="str">
            <v xml:space="preserve">Keramik 20 x 20 (KM) KWI DN Putih Polos </v>
          </cell>
          <cell r="D184" t="str">
            <v>m²</v>
          </cell>
          <cell r="E184">
            <v>27500</v>
          </cell>
        </row>
        <row r="185">
          <cell r="A185" t="str">
            <v>BL18</v>
          </cell>
          <cell r="B185">
            <v>164</v>
          </cell>
          <cell r="C185" t="str">
            <v xml:space="preserve">Keramik 20 x 25 Dinding KM KWI DN Corak </v>
          </cell>
          <cell r="D185" t="str">
            <v>m²</v>
          </cell>
          <cell r="E185">
            <v>33500</v>
          </cell>
        </row>
        <row r="186">
          <cell r="A186" t="str">
            <v>BL19</v>
          </cell>
          <cell r="B186">
            <v>165</v>
          </cell>
          <cell r="C186" t="str">
            <v>Keramik 30 x 30 KW I DN putih polos</v>
          </cell>
          <cell r="D186" t="str">
            <v>m²</v>
          </cell>
          <cell r="E186">
            <v>24000</v>
          </cell>
        </row>
        <row r="187">
          <cell r="A187" t="str">
            <v>BL20</v>
          </cell>
          <cell r="B187">
            <v>166</v>
          </cell>
          <cell r="C187" t="str">
            <v>Keramik 30 x 30 KW I DN Warna/Corak ( ANTI SLIP )</v>
          </cell>
          <cell r="D187" t="str">
            <v>m²</v>
          </cell>
          <cell r="E187">
            <v>35000</v>
          </cell>
        </row>
        <row r="188">
          <cell r="A188" t="str">
            <v>BL21</v>
          </cell>
          <cell r="B188">
            <v>167</v>
          </cell>
          <cell r="C188" t="str">
            <v>Vinyl Lantai standar</v>
          </cell>
          <cell r="D188" t="str">
            <v>m²</v>
          </cell>
          <cell r="E188">
            <v>15500</v>
          </cell>
        </row>
        <row r="189">
          <cell r="A189" t="str">
            <v>BL22</v>
          </cell>
          <cell r="B189">
            <v>168</v>
          </cell>
          <cell r="C189" t="str">
            <v>Karpet Kelas Baik LN</v>
          </cell>
          <cell r="D189" t="str">
            <v>m²</v>
          </cell>
          <cell r="E189">
            <v>445700</v>
          </cell>
        </row>
        <row r="190">
          <cell r="A190" t="str">
            <v>BL23</v>
          </cell>
          <cell r="B190">
            <v>169</v>
          </cell>
          <cell r="C190" t="str">
            <v>Karpet Kelas Sedang LN</v>
          </cell>
          <cell r="D190" t="str">
            <v>m²</v>
          </cell>
          <cell r="E190">
            <v>174000</v>
          </cell>
        </row>
        <row r="191">
          <cell r="A191" t="str">
            <v>BL24</v>
          </cell>
          <cell r="B191">
            <v>170</v>
          </cell>
          <cell r="C191" t="str">
            <v>Stairnosing keramik 10/20</v>
          </cell>
          <cell r="D191" t="str">
            <v>bh</v>
          </cell>
          <cell r="E191">
            <v>6000</v>
          </cell>
        </row>
        <row r="192">
          <cell r="A192" t="str">
            <v>BL25</v>
          </cell>
          <cell r="B192">
            <v>171</v>
          </cell>
          <cell r="C192" t="str">
            <v>Stairnosing fiber</v>
          </cell>
          <cell r="D192" t="str">
            <v>m'</v>
          </cell>
          <cell r="E192">
            <v>10750</v>
          </cell>
        </row>
        <row r="193">
          <cell r="A193" t="str">
            <v>BL26</v>
          </cell>
          <cell r="B193">
            <v>172</v>
          </cell>
          <cell r="C193" t="str">
            <v>Taraso Kerang 30 x 30</v>
          </cell>
          <cell r="D193" t="str">
            <v>m²</v>
          </cell>
          <cell r="E193">
            <v>16000</v>
          </cell>
        </row>
        <row r="194">
          <cell r="A194" t="str">
            <v>BL27</v>
          </cell>
          <cell r="B194">
            <v>173</v>
          </cell>
          <cell r="C194" t="str">
            <v>Plin Taraso 10 x 30</v>
          </cell>
          <cell r="D194" t="str">
            <v>bh</v>
          </cell>
          <cell r="E194">
            <v>3700</v>
          </cell>
        </row>
        <row r="195">
          <cell r="A195" t="str">
            <v>BL28</v>
          </cell>
          <cell r="B195">
            <v>174</v>
          </cell>
          <cell r="C195" t="str">
            <v xml:space="preserve">Granit Alam LN Ukuran Besar </v>
          </cell>
          <cell r="D195" t="str">
            <v>m²</v>
          </cell>
          <cell r="E195">
            <v>1170000</v>
          </cell>
        </row>
        <row r="196">
          <cell r="A196" t="str">
            <v>BL29</v>
          </cell>
          <cell r="B196">
            <v>175</v>
          </cell>
          <cell r="C196" t="str">
            <v xml:space="preserve">Granit Alam LN Ukuran Kecil </v>
          </cell>
          <cell r="D196" t="str">
            <v>m²</v>
          </cell>
          <cell r="E196">
            <v>900000</v>
          </cell>
        </row>
        <row r="197">
          <cell r="A197" t="str">
            <v>BL30</v>
          </cell>
          <cell r="B197">
            <v>176</v>
          </cell>
          <cell r="C197" t="str">
            <v xml:space="preserve">Granit Alam DN Ukuran Besar </v>
          </cell>
          <cell r="D197" t="str">
            <v>m²</v>
          </cell>
          <cell r="E197">
            <v>790000</v>
          </cell>
        </row>
        <row r="198">
          <cell r="A198" t="str">
            <v>BL31</v>
          </cell>
          <cell r="B198">
            <v>177</v>
          </cell>
          <cell r="C198" t="str">
            <v>Granit Alam DN Ukuran Kecil</v>
          </cell>
          <cell r="D198" t="str">
            <v>m²</v>
          </cell>
          <cell r="E198">
            <v>731000</v>
          </cell>
        </row>
        <row r="199">
          <cell r="A199" t="str">
            <v>BL32</v>
          </cell>
          <cell r="B199">
            <v>178</v>
          </cell>
          <cell r="C199" t="str">
            <v>Granito Tile Essenza Ukuran 40 x 40 Polis</v>
          </cell>
          <cell r="D199" t="str">
            <v>m²</v>
          </cell>
          <cell r="E199">
            <v>132500</v>
          </cell>
        </row>
        <row r="200">
          <cell r="A200" t="str">
            <v>BL33</v>
          </cell>
          <cell r="B200">
            <v>179</v>
          </cell>
          <cell r="C200" t="str">
            <v>Granito Tile Essenza Ukuran 40 x 40 Unpolis</v>
          </cell>
          <cell r="D200" t="str">
            <v>m²</v>
          </cell>
          <cell r="E200">
            <v>90000</v>
          </cell>
        </row>
        <row r="201">
          <cell r="A201" t="str">
            <v>BL34</v>
          </cell>
          <cell r="B201">
            <v>180</v>
          </cell>
          <cell r="C201" t="str">
            <v xml:space="preserve">Marmer Alam  Lampung Ukuran Besar </v>
          </cell>
          <cell r="D201" t="str">
            <v>m²</v>
          </cell>
          <cell r="E201">
            <v>350000</v>
          </cell>
        </row>
        <row r="202">
          <cell r="A202" t="str">
            <v>BL35</v>
          </cell>
          <cell r="B202">
            <v>181</v>
          </cell>
          <cell r="C202" t="str">
            <v>Marmer Alam  Lampung Ukuran Kecil</v>
          </cell>
          <cell r="D202" t="str">
            <v>m²</v>
          </cell>
          <cell r="E202">
            <v>207000</v>
          </cell>
        </row>
        <row r="203">
          <cell r="A203" t="str">
            <v>BL36</v>
          </cell>
          <cell r="B203">
            <v>182</v>
          </cell>
          <cell r="C203" t="str">
            <v xml:space="preserve">Marmer Alam Citatah Ukuran Besar </v>
          </cell>
          <cell r="D203" t="str">
            <v>m²</v>
          </cell>
          <cell r="E203">
            <v>200000</v>
          </cell>
        </row>
        <row r="204">
          <cell r="A204" t="str">
            <v>BL37</v>
          </cell>
          <cell r="B204">
            <v>183</v>
          </cell>
          <cell r="C204" t="str">
            <v>Marmer Alam Citatah Ukuran Kecil</v>
          </cell>
          <cell r="D204" t="str">
            <v>m²</v>
          </cell>
          <cell r="E204">
            <v>100000</v>
          </cell>
        </row>
        <row r="205">
          <cell r="A205" t="str">
            <v>BL38</v>
          </cell>
          <cell r="B205">
            <v>184</v>
          </cell>
          <cell r="C205" t="str">
            <v>Marmer Sintetis</v>
          </cell>
          <cell r="D205" t="str">
            <v>m²</v>
          </cell>
          <cell r="E205">
            <v>75000</v>
          </cell>
        </row>
        <row r="206">
          <cell r="A206" t="str">
            <v>BL39</v>
          </cell>
          <cell r="B206">
            <v>185</v>
          </cell>
          <cell r="C206" t="str">
            <v>Granito Tile Essenza 60 x 60  Polis</v>
          </cell>
          <cell r="D206" t="str">
            <v>m²</v>
          </cell>
          <cell r="E206">
            <v>180000</v>
          </cell>
        </row>
        <row r="207">
          <cell r="A207" t="str">
            <v>BL40</v>
          </cell>
          <cell r="B207">
            <v>186</v>
          </cell>
          <cell r="C207" t="str">
            <v>Granito Tile Essenza 60 x 60  Unpolis</v>
          </cell>
          <cell r="D207" t="str">
            <v>m²</v>
          </cell>
          <cell r="E207">
            <v>150000</v>
          </cell>
        </row>
        <row r="208">
          <cell r="A208" t="str">
            <v>BL41</v>
          </cell>
          <cell r="B208">
            <v>187</v>
          </cell>
          <cell r="C208" t="str">
            <v xml:space="preserve">Bata Karawang </v>
          </cell>
          <cell r="D208" t="str">
            <v>bh</v>
          </cell>
          <cell r="E208">
            <v>5000</v>
          </cell>
        </row>
        <row r="209">
          <cell r="A209" t="str">
            <v>BL42</v>
          </cell>
          <cell r="B209">
            <v>188</v>
          </cell>
          <cell r="C209" t="str">
            <v>Campuran untuk Kedap Air (AM)</v>
          </cell>
          <cell r="D209" t="str">
            <v>ltr</v>
          </cell>
          <cell r="E209">
            <v>18000</v>
          </cell>
        </row>
        <row r="211">
          <cell r="C211" t="str">
            <v>G. BAHAN SALURAN AIR KOTOR / BERSIH</v>
          </cell>
        </row>
        <row r="212">
          <cell r="A212" t="str">
            <v>BN01</v>
          </cell>
          <cell r="B212">
            <v>189</v>
          </cell>
          <cell r="C212" t="str">
            <v>Grafel U 20 cm'</v>
          </cell>
          <cell r="D212" t="str">
            <v>m1</v>
          </cell>
          <cell r="E212">
            <v>14500</v>
          </cell>
        </row>
        <row r="213">
          <cell r="A213" t="str">
            <v>BN02</v>
          </cell>
          <cell r="B213">
            <v>190</v>
          </cell>
          <cell r="C213" t="str">
            <v>Grafel U 30 cm'</v>
          </cell>
          <cell r="D213" t="str">
            <v>m1</v>
          </cell>
          <cell r="E213">
            <v>19750</v>
          </cell>
        </row>
        <row r="214">
          <cell r="A214" t="str">
            <v>BN03</v>
          </cell>
          <cell r="B214">
            <v>191</v>
          </cell>
          <cell r="C214" t="str">
            <v>Grafel U 40 cm'</v>
          </cell>
          <cell r="D214" t="str">
            <v>m1</v>
          </cell>
          <cell r="E214">
            <v>24000</v>
          </cell>
        </row>
        <row r="215">
          <cell r="A215" t="str">
            <v>BN04</v>
          </cell>
          <cell r="B215">
            <v>192</v>
          </cell>
          <cell r="C215" t="str">
            <v>Buis Beton Ø 20 cm ( 1 m' )</v>
          </cell>
          <cell r="D215" t="str">
            <v>m1</v>
          </cell>
          <cell r="E215">
            <v>23500</v>
          </cell>
        </row>
        <row r="216">
          <cell r="A216" t="str">
            <v>BN05</v>
          </cell>
          <cell r="B216">
            <v>193</v>
          </cell>
          <cell r="C216" t="str">
            <v>Buis Beton Ø 30 cm ( 1 m' )</v>
          </cell>
          <cell r="D216" t="str">
            <v>m1</v>
          </cell>
          <cell r="E216">
            <v>31500</v>
          </cell>
        </row>
        <row r="217">
          <cell r="A217" t="str">
            <v>BN06</v>
          </cell>
          <cell r="B217">
            <v>194</v>
          </cell>
          <cell r="C217" t="str">
            <v>Buis Beton Ø 40 cm ( 1 m' )</v>
          </cell>
          <cell r="D217" t="str">
            <v>m1</v>
          </cell>
          <cell r="E217">
            <v>42000</v>
          </cell>
        </row>
        <row r="218">
          <cell r="A218" t="str">
            <v>BN07</v>
          </cell>
          <cell r="B218">
            <v>195</v>
          </cell>
          <cell r="C218" t="str">
            <v>Buis Beton Ø 50 cm ( 1 m' )</v>
          </cell>
          <cell r="D218" t="str">
            <v>stk</v>
          </cell>
          <cell r="E218">
            <v>55000</v>
          </cell>
        </row>
        <row r="219">
          <cell r="A219" t="str">
            <v>BN08</v>
          </cell>
          <cell r="B219">
            <v>196</v>
          </cell>
          <cell r="C219" t="str">
            <v>Buis Beton Ø 60 cm ( 1 m' )</v>
          </cell>
          <cell r="D219" t="str">
            <v>stk</v>
          </cell>
          <cell r="E219">
            <v>71000</v>
          </cell>
        </row>
        <row r="220">
          <cell r="A220" t="str">
            <v>BN09</v>
          </cell>
          <cell r="B220">
            <v>197</v>
          </cell>
          <cell r="C220" t="str">
            <v>Buis Beton Ø 100 cm ( 0.50 m )</v>
          </cell>
          <cell r="D220" t="str">
            <v>stk</v>
          </cell>
          <cell r="E220">
            <v>89500</v>
          </cell>
        </row>
        <row r="221">
          <cell r="A221" t="str">
            <v>BN10</v>
          </cell>
          <cell r="B221">
            <v>198</v>
          </cell>
          <cell r="C221" t="str">
            <v>Buis Beton Ø 80 cm ( 0.50 m )</v>
          </cell>
          <cell r="D221" t="str">
            <v>stk</v>
          </cell>
          <cell r="E221">
            <v>72500</v>
          </cell>
        </row>
        <row r="222">
          <cell r="A222" t="str">
            <v>BN11</v>
          </cell>
          <cell r="B222">
            <v>199</v>
          </cell>
          <cell r="C222" t="str">
            <v>Buis Tanah Ø 10 cm ( 0.50 m )</v>
          </cell>
          <cell r="D222" t="str">
            <v>stk</v>
          </cell>
          <cell r="E222">
            <v>4100</v>
          </cell>
        </row>
        <row r="223">
          <cell r="A223" t="str">
            <v>BN12</v>
          </cell>
          <cell r="B223">
            <v>200</v>
          </cell>
          <cell r="C223" t="str">
            <v>Buis Tanah Ø 15 cm ( 0.50 m )</v>
          </cell>
          <cell r="D223" t="str">
            <v>stk</v>
          </cell>
          <cell r="E223">
            <v>5750</v>
          </cell>
        </row>
        <row r="224">
          <cell r="A224" t="str">
            <v>BN13</v>
          </cell>
          <cell r="B224">
            <v>201</v>
          </cell>
          <cell r="C224" t="str">
            <v>Buis Tanah Ø 20 cm ( 0.50 m )</v>
          </cell>
          <cell r="D224" t="str">
            <v>stk</v>
          </cell>
          <cell r="E224">
            <v>6750</v>
          </cell>
        </row>
        <row r="225">
          <cell r="A225" t="str">
            <v>BN14</v>
          </cell>
          <cell r="B225">
            <v>202</v>
          </cell>
          <cell r="C225" t="str">
            <v>Buis Tanah Ø 25 cm ( 0.50 m )</v>
          </cell>
          <cell r="D225" t="str">
            <v>stk</v>
          </cell>
          <cell r="E225">
            <v>9000</v>
          </cell>
        </row>
        <row r="226">
          <cell r="A226" t="str">
            <v>BN15</v>
          </cell>
          <cell r="B226">
            <v>203</v>
          </cell>
          <cell r="C226" t="str">
            <v>Injuk</v>
          </cell>
          <cell r="D226" t="str">
            <v>kg</v>
          </cell>
          <cell r="E226">
            <v>2500</v>
          </cell>
        </row>
        <row r="228">
          <cell r="C228" t="str">
            <v>H. BAHAN LOGAM DAN BAHAN JADINYA</v>
          </cell>
        </row>
        <row r="229">
          <cell r="A229" t="str">
            <v>BP01</v>
          </cell>
          <cell r="B229">
            <v>204</v>
          </cell>
          <cell r="C229" t="str">
            <v>Besi Beton U-24 Rata - Rata</v>
          </cell>
          <cell r="D229" t="str">
            <v>kg</v>
          </cell>
          <cell r="E229">
            <v>3550</v>
          </cell>
        </row>
        <row r="230">
          <cell r="A230" t="str">
            <v>BP02</v>
          </cell>
          <cell r="B230">
            <v>205</v>
          </cell>
          <cell r="C230" t="str">
            <v>Besi Beton U-39 / U-32 Rata - Rata</v>
          </cell>
          <cell r="D230" t="str">
            <v>kg</v>
          </cell>
          <cell r="E230">
            <v>3850</v>
          </cell>
        </row>
        <row r="231">
          <cell r="A231" t="str">
            <v>BP03</v>
          </cell>
          <cell r="B231">
            <v>206</v>
          </cell>
          <cell r="C231" t="str">
            <v>Pagar BRC Lengkap Tiang ( Tanpa Pondasi )</v>
          </cell>
          <cell r="D231" t="str">
            <v>m²</v>
          </cell>
          <cell r="E231">
            <v>62500</v>
          </cell>
        </row>
        <row r="232">
          <cell r="A232" t="str">
            <v>BP04</v>
          </cell>
          <cell r="B232">
            <v>207</v>
          </cell>
          <cell r="C232" t="str">
            <v>Bondek</v>
          </cell>
          <cell r="D232" t="str">
            <v>m²</v>
          </cell>
          <cell r="E232">
            <v>81000</v>
          </cell>
        </row>
        <row r="233">
          <cell r="A233" t="str">
            <v>BP05</v>
          </cell>
          <cell r="B233">
            <v>208</v>
          </cell>
          <cell r="C233" t="str">
            <v>IWF Ex DN SII</v>
          </cell>
          <cell r="D233" t="str">
            <v>kg</v>
          </cell>
          <cell r="E233">
            <v>4100</v>
          </cell>
        </row>
        <row r="234">
          <cell r="A234" t="str">
            <v>BP06</v>
          </cell>
          <cell r="B234">
            <v>209</v>
          </cell>
          <cell r="C234" t="str">
            <v>IWF Ex Jepang</v>
          </cell>
          <cell r="D234" t="str">
            <v>kg</v>
          </cell>
          <cell r="E234">
            <v>4400</v>
          </cell>
        </row>
        <row r="235">
          <cell r="A235" t="str">
            <v>BP07</v>
          </cell>
          <cell r="B235">
            <v>210</v>
          </cell>
          <cell r="C235" t="str">
            <v>Besi Profil DN SII</v>
          </cell>
          <cell r="D235" t="str">
            <v>kg</v>
          </cell>
          <cell r="E235">
            <v>3700</v>
          </cell>
        </row>
        <row r="236">
          <cell r="A236" t="str">
            <v>BP08</v>
          </cell>
          <cell r="B236">
            <v>211</v>
          </cell>
          <cell r="C236" t="str">
            <v>Besi Profil Ex LN</v>
          </cell>
          <cell r="D236" t="str">
            <v>kg</v>
          </cell>
          <cell r="E236">
            <v>3850</v>
          </cell>
        </row>
        <row r="237">
          <cell r="A237" t="str">
            <v>BP09</v>
          </cell>
          <cell r="B237">
            <v>212</v>
          </cell>
          <cell r="C237" t="str">
            <v>Besi C Lip Chanel</v>
          </cell>
          <cell r="D237" t="str">
            <v>kg</v>
          </cell>
          <cell r="E237">
            <v>3500</v>
          </cell>
        </row>
        <row r="238">
          <cell r="A238" t="str">
            <v>BP10</v>
          </cell>
          <cell r="B238">
            <v>213</v>
          </cell>
          <cell r="C238" t="str">
            <v>Ongkos Galfanis Besi</v>
          </cell>
          <cell r="D238" t="str">
            <v>kg</v>
          </cell>
          <cell r="E238">
            <v>3350</v>
          </cell>
        </row>
        <row r="239">
          <cell r="A239" t="str">
            <v>BP11</v>
          </cell>
          <cell r="B239">
            <v>214</v>
          </cell>
          <cell r="C239" t="str">
            <v>Kawat Beton</v>
          </cell>
          <cell r="D239" t="str">
            <v>kg</v>
          </cell>
          <cell r="E239">
            <v>7500</v>
          </cell>
        </row>
        <row r="240">
          <cell r="A240" t="str">
            <v>BP12</v>
          </cell>
          <cell r="B240">
            <v>215</v>
          </cell>
          <cell r="C240" t="str">
            <v>Kawat Duri</v>
          </cell>
          <cell r="D240" t="str">
            <v>m1</v>
          </cell>
          <cell r="E240">
            <v>1800</v>
          </cell>
        </row>
        <row r="241">
          <cell r="A241" t="str">
            <v>BP13</v>
          </cell>
          <cell r="B241">
            <v>216</v>
          </cell>
          <cell r="C241" t="str">
            <v xml:space="preserve">Kawat Pengikat </v>
          </cell>
          <cell r="D241" t="str">
            <v>m1</v>
          </cell>
          <cell r="E241">
            <v>550</v>
          </cell>
        </row>
        <row r="242">
          <cell r="A242" t="str">
            <v>BP14</v>
          </cell>
          <cell r="B242">
            <v>217</v>
          </cell>
          <cell r="C242" t="str">
            <v>Kawat Bronjong 4 mm</v>
          </cell>
          <cell r="D242" t="str">
            <v>kg</v>
          </cell>
          <cell r="E242">
            <v>12000</v>
          </cell>
        </row>
        <row r="243">
          <cell r="A243" t="str">
            <v>BP15</v>
          </cell>
          <cell r="B243">
            <v>218</v>
          </cell>
          <cell r="C243" t="str">
            <v>Kawat Tembaga</v>
          </cell>
          <cell r="D243" t="str">
            <v>kg</v>
          </cell>
          <cell r="E243">
            <v>15100</v>
          </cell>
        </row>
        <row r="244">
          <cell r="A244" t="str">
            <v>BP16</v>
          </cell>
          <cell r="B244">
            <v>219</v>
          </cell>
          <cell r="C244" t="str">
            <v>Ram Nyamuk Hijau</v>
          </cell>
          <cell r="D244" t="str">
            <v>m²</v>
          </cell>
          <cell r="E244">
            <v>8000</v>
          </cell>
        </row>
        <row r="245">
          <cell r="A245" t="str">
            <v>BP17</v>
          </cell>
          <cell r="B245">
            <v>220</v>
          </cell>
          <cell r="C245" t="str">
            <v>Ram Kawat 1 x 1 cm</v>
          </cell>
          <cell r="D245" t="str">
            <v>m²</v>
          </cell>
          <cell r="E245">
            <v>7000</v>
          </cell>
        </row>
        <row r="246">
          <cell r="A246" t="str">
            <v>BP18</v>
          </cell>
          <cell r="B246">
            <v>221</v>
          </cell>
          <cell r="C246" t="str">
            <v>Ram Ayam</v>
          </cell>
          <cell r="D246" t="str">
            <v>m²</v>
          </cell>
          <cell r="E246">
            <v>6000</v>
          </cell>
        </row>
        <row r="247">
          <cell r="A247" t="str">
            <v>BP19</v>
          </cell>
          <cell r="B247">
            <v>222</v>
          </cell>
          <cell r="C247" t="str">
            <v xml:space="preserve">Kawat Kasa 1 x 1 cm ( Putih ) </v>
          </cell>
          <cell r="D247" t="str">
            <v>m²</v>
          </cell>
          <cell r="E247">
            <v>12500</v>
          </cell>
        </row>
        <row r="248">
          <cell r="A248" t="str">
            <v>BP20</v>
          </cell>
          <cell r="B248">
            <v>223</v>
          </cell>
          <cell r="C248" t="str">
            <v>Kawat Harmonika 4 cm</v>
          </cell>
          <cell r="D248" t="str">
            <v>m²</v>
          </cell>
          <cell r="E248">
            <v>13000</v>
          </cell>
        </row>
        <row r="249">
          <cell r="A249" t="str">
            <v>BP21</v>
          </cell>
          <cell r="B249">
            <v>224</v>
          </cell>
          <cell r="C249" t="str">
            <v>Kawat Harmonika 2 cm</v>
          </cell>
          <cell r="D249" t="str">
            <v>m²</v>
          </cell>
          <cell r="E249">
            <v>12500</v>
          </cell>
        </row>
        <row r="250">
          <cell r="A250" t="str">
            <v>BP22</v>
          </cell>
          <cell r="B250">
            <v>225</v>
          </cell>
          <cell r="C250" t="str">
            <v>Kawat Las Listrik</v>
          </cell>
          <cell r="D250" t="str">
            <v>kg</v>
          </cell>
          <cell r="E250">
            <v>9500</v>
          </cell>
        </row>
        <row r="251">
          <cell r="A251" t="str">
            <v>BP23</v>
          </cell>
          <cell r="B251">
            <v>226</v>
          </cell>
          <cell r="C251" t="str">
            <v>Wiremesh M8</v>
          </cell>
          <cell r="D251" t="str">
            <v>m²</v>
          </cell>
          <cell r="E251">
            <v>22900</v>
          </cell>
        </row>
        <row r="252">
          <cell r="A252" t="str">
            <v>BP24</v>
          </cell>
          <cell r="B252">
            <v>227</v>
          </cell>
          <cell r="C252" t="str">
            <v>Wiremesh M6</v>
          </cell>
          <cell r="D252" t="str">
            <v>m²</v>
          </cell>
          <cell r="E252">
            <v>18700</v>
          </cell>
        </row>
        <row r="253">
          <cell r="A253" t="str">
            <v>BP25</v>
          </cell>
          <cell r="B253">
            <v>228</v>
          </cell>
          <cell r="C253" t="str">
            <v>Timah</v>
          </cell>
          <cell r="D253" t="str">
            <v>kg</v>
          </cell>
          <cell r="E253">
            <v>23500</v>
          </cell>
        </row>
        <row r="254">
          <cell r="A254" t="str">
            <v>BP26</v>
          </cell>
          <cell r="B254">
            <v>229</v>
          </cell>
          <cell r="C254" t="str">
            <v>Timah Hitam</v>
          </cell>
          <cell r="D254" t="str">
            <v>kg</v>
          </cell>
          <cell r="E254">
            <v>15000</v>
          </cell>
        </row>
        <row r="255">
          <cell r="A255" t="str">
            <v>BP27</v>
          </cell>
          <cell r="B255">
            <v>230</v>
          </cell>
          <cell r="C255" t="str">
            <v>Ram Nyamuk Aluminium</v>
          </cell>
          <cell r="D255" t="str">
            <v>m²</v>
          </cell>
          <cell r="E255">
            <v>6500</v>
          </cell>
        </row>
        <row r="256">
          <cell r="A256" t="str">
            <v>BP28</v>
          </cell>
          <cell r="B256">
            <v>231</v>
          </cell>
          <cell r="C256" t="str">
            <v xml:space="preserve">Plat Srip Ø 2 x 30 mm ( 6 m1) </v>
          </cell>
          <cell r="D256" t="str">
            <v>bt</v>
          </cell>
          <cell r="E256">
            <v>15000</v>
          </cell>
        </row>
        <row r="257">
          <cell r="A257" t="str">
            <v>BP29</v>
          </cell>
          <cell r="B257">
            <v>232</v>
          </cell>
          <cell r="C257" t="str">
            <v xml:space="preserve">Plat Srip Ø 3 x 30 mm ( 6 m1) </v>
          </cell>
          <cell r="D257" t="str">
            <v>bt</v>
          </cell>
          <cell r="E257">
            <v>19500</v>
          </cell>
        </row>
        <row r="258">
          <cell r="A258" t="str">
            <v>BP30</v>
          </cell>
          <cell r="B258">
            <v>233</v>
          </cell>
          <cell r="C258" t="str">
            <v>Plat Alumunium 0.2 mm</v>
          </cell>
          <cell r="D258" t="str">
            <v>m²</v>
          </cell>
          <cell r="E258">
            <v>45600</v>
          </cell>
        </row>
        <row r="259">
          <cell r="A259" t="str">
            <v>BP31</v>
          </cell>
          <cell r="B259">
            <v>234</v>
          </cell>
          <cell r="C259" t="str">
            <v>Plat Alumunium 0.3 mm</v>
          </cell>
          <cell r="D259" t="str">
            <v>m²</v>
          </cell>
          <cell r="E259">
            <v>59300</v>
          </cell>
        </row>
        <row r="260">
          <cell r="A260" t="str">
            <v>BP32</v>
          </cell>
          <cell r="B260">
            <v>235</v>
          </cell>
          <cell r="C260" t="str">
            <v>Plat Alumunium 0.4 mm</v>
          </cell>
          <cell r="D260" t="str">
            <v>m²</v>
          </cell>
          <cell r="E260">
            <v>71000</v>
          </cell>
        </row>
        <row r="261">
          <cell r="A261" t="str">
            <v>BP33</v>
          </cell>
          <cell r="B261">
            <v>236</v>
          </cell>
          <cell r="C261" t="str">
            <v>Plat Alumunium 0.5 mm</v>
          </cell>
          <cell r="D261" t="str">
            <v>m²</v>
          </cell>
          <cell r="E261">
            <v>80000</v>
          </cell>
        </row>
        <row r="262">
          <cell r="A262" t="str">
            <v>BP34</v>
          </cell>
          <cell r="B262">
            <v>237</v>
          </cell>
          <cell r="C262" t="str">
            <v>Plat Alumunium 0.6 mm</v>
          </cell>
          <cell r="D262" t="str">
            <v>m²</v>
          </cell>
          <cell r="E262">
            <v>92600</v>
          </cell>
        </row>
        <row r="263">
          <cell r="A263" t="str">
            <v>BP35</v>
          </cell>
          <cell r="B263">
            <v>238</v>
          </cell>
          <cell r="C263" t="str">
            <v>Plat Alumunium 0.1 mm</v>
          </cell>
          <cell r="D263" t="str">
            <v>m²</v>
          </cell>
          <cell r="E263">
            <v>24600</v>
          </cell>
        </row>
        <row r="264">
          <cell r="A264" t="str">
            <v>BP36</v>
          </cell>
          <cell r="B264">
            <v>239</v>
          </cell>
          <cell r="C264" t="str">
            <v>Kusen Alumunium Natural 1.3 mm  t=1,3 mm ( 4 " )</v>
          </cell>
          <cell r="D264" t="str">
            <v>m1</v>
          </cell>
          <cell r="E264">
            <v>30000</v>
          </cell>
        </row>
        <row r="265">
          <cell r="A265" t="str">
            <v>BP37</v>
          </cell>
          <cell r="B265">
            <v>240</v>
          </cell>
          <cell r="C265" t="str">
            <v>Kusen Alumunium Warna 1.3 mm t=1,3 mm ( 4 " )</v>
          </cell>
          <cell r="D265" t="str">
            <v>m1</v>
          </cell>
          <cell r="E265">
            <v>47500</v>
          </cell>
        </row>
        <row r="266">
          <cell r="A266" t="str">
            <v>BP38</v>
          </cell>
          <cell r="B266">
            <v>241</v>
          </cell>
          <cell r="C266" t="str">
            <v xml:space="preserve">Daun Jendela Alumunium Natural ( Tanpa Kaca dan accessories ) </v>
          </cell>
          <cell r="D266" t="str">
            <v>m²</v>
          </cell>
          <cell r="E266">
            <v>10850</v>
          </cell>
        </row>
        <row r="267">
          <cell r="A267" t="str">
            <v>BP39</v>
          </cell>
          <cell r="B267">
            <v>242</v>
          </cell>
          <cell r="C267" t="str">
            <v>Daun Jendela Alumunium Warna ( Tanpa Kaca dan accessories )</v>
          </cell>
          <cell r="D267" t="str">
            <v>m²</v>
          </cell>
          <cell r="E267">
            <v>16000</v>
          </cell>
        </row>
        <row r="268">
          <cell r="A268" t="str">
            <v>BP40</v>
          </cell>
          <cell r="B268">
            <v>243</v>
          </cell>
          <cell r="C268" t="str">
            <v>Daun Pintu Alumunium Natural ( tanpa kaca dan accessories )</v>
          </cell>
          <cell r="D268" t="str">
            <v>m²</v>
          </cell>
          <cell r="E268">
            <v>39000</v>
          </cell>
        </row>
        <row r="269">
          <cell r="A269" t="str">
            <v>BP41</v>
          </cell>
          <cell r="B269">
            <v>244</v>
          </cell>
          <cell r="C269" t="str">
            <v>Daun Pintu Alumunium Warna ( tanpa kaca dan accessories )</v>
          </cell>
          <cell r="D269" t="str">
            <v>m²</v>
          </cell>
          <cell r="E269">
            <v>52000</v>
          </cell>
        </row>
        <row r="270">
          <cell r="A270" t="str">
            <v>BP42</v>
          </cell>
          <cell r="B270">
            <v>245</v>
          </cell>
          <cell r="C270" t="str">
            <v xml:space="preserve">Handle Alumunium ( Tarikan Pintu Alumunium ) </v>
          </cell>
          <cell r="D270" t="str">
            <v>bh</v>
          </cell>
          <cell r="E270">
            <v>50000</v>
          </cell>
        </row>
        <row r="271">
          <cell r="A271" t="str">
            <v>BP43</v>
          </cell>
          <cell r="B271">
            <v>246</v>
          </cell>
          <cell r="C271" t="str">
            <v xml:space="preserve">Kait Angin alumunium </v>
          </cell>
          <cell r="D271" t="str">
            <v>ps</v>
          </cell>
          <cell r="E271">
            <v>60000</v>
          </cell>
        </row>
        <row r="272">
          <cell r="A272" t="str">
            <v>BP44</v>
          </cell>
          <cell r="B272">
            <v>247</v>
          </cell>
          <cell r="C272" t="str">
            <v xml:space="preserve">Karet Asisoris Kusen / Pintu Alumunium </v>
          </cell>
          <cell r="D272" t="str">
            <v>m1</v>
          </cell>
          <cell r="E272">
            <v>3000</v>
          </cell>
        </row>
        <row r="273">
          <cell r="A273" t="str">
            <v>BP45</v>
          </cell>
          <cell r="B273">
            <v>248</v>
          </cell>
          <cell r="C273" t="str">
            <v>Seng Plat BJLS 30 dia. 60 cm  ( 100 m1 )</v>
          </cell>
          <cell r="D273" t="str">
            <v>rool</v>
          </cell>
          <cell r="E273">
            <v>600000</v>
          </cell>
        </row>
        <row r="274">
          <cell r="A274" t="str">
            <v>BP46</v>
          </cell>
          <cell r="B274">
            <v>249</v>
          </cell>
          <cell r="C274" t="str">
            <v>Seng Plat BJLS 30 dia. 90 cm ( 100 m1 )</v>
          </cell>
          <cell r="D274" t="str">
            <v>rool</v>
          </cell>
          <cell r="E274">
            <v>943500</v>
          </cell>
        </row>
        <row r="275">
          <cell r="A275" t="str">
            <v>BP47</v>
          </cell>
          <cell r="B275">
            <v>250</v>
          </cell>
          <cell r="C275" t="str">
            <v>Plat Besi Tipis 1 mm</v>
          </cell>
          <cell r="D275" t="str">
            <v>kg</v>
          </cell>
          <cell r="E275">
            <v>7000</v>
          </cell>
        </row>
        <row r="276">
          <cell r="A276" t="str">
            <v>BP48</v>
          </cell>
          <cell r="B276">
            <v>251</v>
          </cell>
          <cell r="C276" t="str">
            <v>Plat Besi Tipis 0.5 mm</v>
          </cell>
          <cell r="D276" t="str">
            <v>kg</v>
          </cell>
          <cell r="E276">
            <v>7500</v>
          </cell>
        </row>
        <row r="277">
          <cell r="A277" t="str">
            <v>BP49</v>
          </cell>
          <cell r="B277">
            <v>252</v>
          </cell>
          <cell r="C277" t="str">
            <v xml:space="preserve">Plat Besi 2 mm s/d 5 mm </v>
          </cell>
          <cell r="D277" t="str">
            <v>kg</v>
          </cell>
          <cell r="E277">
            <v>6000</v>
          </cell>
        </row>
        <row r="278">
          <cell r="A278" t="str">
            <v>BP50</v>
          </cell>
          <cell r="B278">
            <v>253</v>
          </cell>
          <cell r="C278" t="str">
            <v xml:space="preserve">Plat Besi 6 mm s/d 10 mm </v>
          </cell>
          <cell r="D278" t="str">
            <v>kg</v>
          </cell>
          <cell r="E278">
            <v>6000</v>
          </cell>
        </row>
        <row r="279">
          <cell r="A279" t="str">
            <v>BP51</v>
          </cell>
          <cell r="B279">
            <v>254</v>
          </cell>
          <cell r="C279" t="str">
            <v>Plat Besi 10 mm Ke atas</v>
          </cell>
          <cell r="D279" t="str">
            <v>kg</v>
          </cell>
          <cell r="E279">
            <v>6000</v>
          </cell>
        </row>
        <row r="280">
          <cell r="A280" t="str">
            <v>BP52</v>
          </cell>
          <cell r="B280">
            <v>255</v>
          </cell>
          <cell r="C280" t="str">
            <v>Lem Kuning (aibond)</v>
          </cell>
          <cell r="D280" t="str">
            <v>kg</v>
          </cell>
          <cell r="E280">
            <v>12500</v>
          </cell>
        </row>
        <row r="281">
          <cell r="A281" t="str">
            <v>BP53</v>
          </cell>
          <cell r="B281">
            <v>256</v>
          </cell>
          <cell r="C281" t="str">
            <v>Lem Fox</v>
          </cell>
          <cell r="D281" t="str">
            <v>kg</v>
          </cell>
          <cell r="E281">
            <v>8500</v>
          </cell>
        </row>
        <row r="283">
          <cell r="C283" t="str">
            <v>I.  BAHAN  KACA</v>
          </cell>
        </row>
        <row r="284">
          <cell r="A284" t="str">
            <v>BR01</v>
          </cell>
          <cell r="B284">
            <v>257</v>
          </cell>
          <cell r="C284" t="str">
            <v>Kaca Polos 2 mm ( ASAHI )</v>
          </cell>
          <cell r="D284" t="str">
            <v>m²</v>
          </cell>
          <cell r="E284">
            <v>25000</v>
          </cell>
        </row>
        <row r="285">
          <cell r="A285" t="str">
            <v>BR02</v>
          </cell>
          <cell r="B285">
            <v>258</v>
          </cell>
          <cell r="C285" t="str">
            <v>Kaca Polos 3 mm ( ASAHI )</v>
          </cell>
          <cell r="D285" t="str">
            <v>m²</v>
          </cell>
          <cell r="E285">
            <v>35000</v>
          </cell>
        </row>
        <row r="286">
          <cell r="A286" t="str">
            <v>BR03</v>
          </cell>
          <cell r="B286">
            <v>259</v>
          </cell>
          <cell r="C286" t="str">
            <v>Kaca Polos 5 mm ( ASAHI )</v>
          </cell>
          <cell r="D286" t="str">
            <v>m²</v>
          </cell>
          <cell r="E286">
            <v>55000</v>
          </cell>
        </row>
        <row r="287">
          <cell r="A287" t="str">
            <v>BR04</v>
          </cell>
          <cell r="B287">
            <v>260</v>
          </cell>
          <cell r="C287" t="str">
            <v>Kaca Rayband 5 mm ( ASAHI )</v>
          </cell>
          <cell r="D287" t="str">
            <v>m²</v>
          </cell>
          <cell r="E287">
            <v>70000</v>
          </cell>
        </row>
        <row r="288">
          <cell r="A288" t="str">
            <v>BR05</v>
          </cell>
          <cell r="B288">
            <v>261</v>
          </cell>
          <cell r="C288" t="str">
            <v>Kaca Rayband 8 mm ( ASAHI )</v>
          </cell>
          <cell r="D288" t="str">
            <v>m²</v>
          </cell>
          <cell r="E288">
            <v>200000</v>
          </cell>
        </row>
        <row r="289">
          <cell r="A289" t="str">
            <v>BR06</v>
          </cell>
          <cell r="B289">
            <v>262</v>
          </cell>
          <cell r="C289" t="str">
            <v>Kaca Rayband 12 mm ( ASAHI )</v>
          </cell>
          <cell r="D289" t="str">
            <v>m²</v>
          </cell>
          <cell r="E289">
            <v>325000</v>
          </cell>
        </row>
        <row r="290">
          <cell r="A290" t="str">
            <v>BR07</v>
          </cell>
          <cell r="B290">
            <v>263</v>
          </cell>
          <cell r="C290" t="str">
            <v>Kaca Patri Lokal Terpasang ( ASAHI )</v>
          </cell>
          <cell r="D290" t="str">
            <v>m²</v>
          </cell>
          <cell r="E290">
            <v>525000</v>
          </cell>
        </row>
        <row r="291">
          <cell r="A291" t="str">
            <v>BR08</v>
          </cell>
          <cell r="B291">
            <v>264</v>
          </cell>
          <cell r="C291" t="str">
            <v xml:space="preserve">Kaca Patri EX Luar negeri  terpasang </v>
          </cell>
          <cell r="D291" t="str">
            <v>m²</v>
          </cell>
          <cell r="E291">
            <v>2150000</v>
          </cell>
        </row>
        <row r="292">
          <cell r="A292" t="str">
            <v>BR09</v>
          </cell>
          <cell r="B292">
            <v>265</v>
          </cell>
          <cell r="C292" t="str">
            <v xml:space="preserve">Kaca 6 mm Gravver </v>
          </cell>
          <cell r="D292" t="str">
            <v>m²</v>
          </cell>
          <cell r="E292">
            <v>880000</v>
          </cell>
        </row>
        <row r="293">
          <cell r="A293" t="str">
            <v>BR10</v>
          </cell>
          <cell r="B293">
            <v>266</v>
          </cell>
          <cell r="C293" t="str">
            <v>Glass Block  DN  20 x 20 ( Kedawung )</v>
          </cell>
          <cell r="D293" t="str">
            <v>bh</v>
          </cell>
          <cell r="E293">
            <v>12000</v>
          </cell>
        </row>
        <row r="294">
          <cell r="A294" t="str">
            <v>BR11</v>
          </cell>
          <cell r="B294">
            <v>267</v>
          </cell>
          <cell r="C294" t="str">
            <v>Glass Block  DN  20 x 20 Ex LN</v>
          </cell>
          <cell r="D294" t="str">
            <v>bh</v>
          </cell>
          <cell r="E294">
            <v>50000</v>
          </cell>
        </row>
        <row r="296">
          <cell r="C296" t="str">
            <v>J. BAHAN PAKU DAN MUR BAUT</v>
          </cell>
        </row>
        <row r="297">
          <cell r="A297" t="str">
            <v>BS01</v>
          </cell>
          <cell r="B297">
            <v>268</v>
          </cell>
          <cell r="C297" t="str">
            <v>Paku 1 cm s/d 3 cm</v>
          </cell>
          <cell r="D297" t="str">
            <v>kg</v>
          </cell>
          <cell r="E297">
            <v>7500</v>
          </cell>
        </row>
        <row r="298">
          <cell r="A298" t="str">
            <v>BS02</v>
          </cell>
          <cell r="B298">
            <v>269</v>
          </cell>
          <cell r="C298" t="str">
            <v>Paku 4 cm s/d 7 cm</v>
          </cell>
          <cell r="D298" t="str">
            <v>kg</v>
          </cell>
          <cell r="E298">
            <v>6000</v>
          </cell>
        </row>
        <row r="299">
          <cell r="A299" t="str">
            <v>BS03</v>
          </cell>
          <cell r="B299">
            <v>270</v>
          </cell>
          <cell r="C299" t="str">
            <v>Paku 8 cm s/d 12 cm</v>
          </cell>
          <cell r="D299" t="str">
            <v>kg</v>
          </cell>
          <cell r="E299">
            <v>5500</v>
          </cell>
        </row>
        <row r="300">
          <cell r="A300" t="str">
            <v>BS04</v>
          </cell>
          <cell r="B300">
            <v>271</v>
          </cell>
          <cell r="C300" t="str">
            <v>Paku Beton 2 cm s/d 5 cm</v>
          </cell>
          <cell r="D300" t="str">
            <v>bh</v>
          </cell>
          <cell r="E300">
            <v>1300</v>
          </cell>
        </row>
        <row r="301">
          <cell r="A301" t="str">
            <v>BS05</v>
          </cell>
          <cell r="B301">
            <v>272</v>
          </cell>
          <cell r="C301" t="str">
            <v>Paku Kait Lengkap</v>
          </cell>
          <cell r="D301" t="str">
            <v>bh</v>
          </cell>
          <cell r="E301">
            <v>500</v>
          </cell>
        </row>
        <row r="302">
          <cell r="A302" t="str">
            <v>BS06</v>
          </cell>
          <cell r="B302">
            <v>273</v>
          </cell>
          <cell r="C302" t="str">
            <v>Paku Cacing</v>
          </cell>
          <cell r="D302" t="str">
            <v>kg</v>
          </cell>
          <cell r="E302">
            <v>12500</v>
          </cell>
        </row>
        <row r="303">
          <cell r="A303" t="str">
            <v>BS07</v>
          </cell>
          <cell r="B303">
            <v>274</v>
          </cell>
          <cell r="C303" t="str">
            <v>Besi Beugel kuda - kuda</v>
          </cell>
          <cell r="D303" t="str">
            <v>kg</v>
          </cell>
          <cell r="E303">
            <v>6750</v>
          </cell>
        </row>
        <row r="304">
          <cell r="A304" t="str">
            <v>BS08</v>
          </cell>
          <cell r="B304">
            <v>275</v>
          </cell>
          <cell r="C304" t="str">
            <v>Duk Angker</v>
          </cell>
          <cell r="D304" t="str">
            <v>bh</v>
          </cell>
          <cell r="E304">
            <v>2500</v>
          </cell>
        </row>
        <row r="305">
          <cell r="A305" t="str">
            <v>BS09</v>
          </cell>
          <cell r="B305">
            <v>276</v>
          </cell>
          <cell r="C305" t="str">
            <v>Angker Mur Baut dia.19 / panjang 60 cm</v>
          </cell>
          <cell r="D305" t="str">
            <v>bh</v>
          </cell>
          <cell r="E305">
            <v>28500</v>
          </cell>
        </row>
        <row r="306">
          <cell r="A306" t="str">
            <v>BS10</v>
          </cell>
          <cell r="B306">
            <v>277</v>
          </cell>
          <cell r="C306" t="str">
            <v>Mur Baut HTB dia. 19 s/d 16 (5 cm)</v>
          </cell>
          <cell r="D306" t="str">
            <v>bh</v>
          </cell>
          <cell r="E306">
            <v>5200</v>
          </cell>
        </row>
        <row r="307">
          <cell r="A307" t="str">
            <v>BS11</v>
          </cell>
          <cell r="B307">
            <v>278</v>
          </cell>
          <cell r="C307" t="str">
            <v>Mur Baut Biasa dia.19 s/d 16 (5 cm)</v>
          </cell>
          <cell r="D307" t="str">
            <v>bh</v>
          </cell>
          <cell r="E307">
            <v>3000</v>
          </cell>
        </row>
        <row r="308">
          <cell r="A308" t="str">
            <v>BS12</v>
          </cell>
          <cell r="B308">
            <v>279</v>
          </cell>
          <cell r="C308" t="str">
            <v>Piser dia. 12 s/d 20 cm</v>
          </cell>
          <cell r="D308" t="str">
            <v>bh</v>
          </cell>
          <cell r="E308">
            <v>2500</v>
          </cell>
        </row>
        <row r="310">
          <cell r="C310" t="str">
            <v>K. BAHAN PERPIPAAN</v>
          </cell>
          <cell r="D310" t="str">
            <v>1.²</v>
          </cell>
        </row>
        <row r="311">
          <cell r="A311" t="str">
            <v>BT01</v>
          </cell>
          <cell r="B311">
            <v>280</v>
          </cell>
          <cell r="C311" t="str">
            <v>Besi Pipa untuk Hydrant BSP Ø  1"</v>
          </cell>
          <cell r="D311" t="str">
            <v>bt</v>
          </cell>
          <cell r="E311">
            <v>80500</v>
          </cell>
        </row>
        <row r="312">
          <cell r="A312" t="str">
            <v>BT02</v>
          </cell>
          <cell r="B312">
            <v>281</v>
          </cell>
          <cell r="C312" t="str">
            <v>Besi Pipa untuk Hydrant BSP Ø  1,25"</v>
          </cell>
          <cell r="D312" t="str">
            <v>bt</v>
          </cell>
          <cell r="E312">
            <v>105000</v>
          </cell>
        </row>
        <row r="313">
          <cell r="A313" t="str">
            <v>BT03</v>
          </cell>
          <cell r="B313">
            <v>282</v>
          </cell>
          <cell r="C313" t="str">
            <v>Besi Pipa untuk Hydrant BSP Ø  1,5"</v>
          </cell>
          <cell r="D313" t="str">
            <v>bt</v>
          </cell>
          <cell r="E313">
            <v>117500</v>
          </cell>
        </row>
        <row r="314">
          <cell r="A314" t="str">
            <v>BT04</v>
          </cell>
          <cell r="B314">
            <v>283</v>
          </cell>
          <cell r="C314" t="str">
            <v>Besi Pipa untuk Hydrant BSP Ø 2"</v>
          </cell>
          <cell r="D314" t="str">
            <v>bt</v>
          </cell>
          <cell r="E314">
            <v>165000</v>
          </cell>
        </row>
        <row r="315">
          <cell r="A315" t="str">
            <v>BT05</v>
          </cell>
          <cell r="B315">
            <v>284</v>
          </cell>
          <cell r="C315" t="str">
            <v>Besi Pipa untuk Hydrant BSP Ø 2,5"</v>
          </cell>
          <cell r="D315" t="str">
            <v>bt</v>
          </cell>
          <cell r="E315">
            <v>250000</v>
          </cell>
        </row>
        <row r="316">
          <cell r="A316" t="str">
            <v>BT06</v>
          </cell>
          <cell r="B316">
            <v>285</v>
          </cell>
          <cell r="C316" t="str">
            <v>Besi Pipa untuk Hydrant BSP Ø  3"</v>
          </cell>
          <cell r="D316" t="str">
            <v>bt</v>
          </cell>
          <cell r="E316">
            <v>345500</v>
          </cell>
        </row>
        <row r="317">
          <cell r="A317" t="str">
            <v>BT07</v>
          </cell>
          <cell r="B317">
            <v>286</v>
          </cell>
          <cell r="C317" t="str">
            <v>Besi Pipa untuk Hydrant BSP Ø  4"</v>
          </cell>
          <cell r="D317" t="str">
            <v>bt</v>
          </cell>
          <cell r="E317">
            <v>489500</v>
          </cell>
        </row>
        <row r="318">
          <cell r="A318" t="str">
            <v>BT08</v>
          </cell>
          <cell r="B318">
            <v>287</v>
          </cell>
          <cell r="C318" t="str">
            <v>Besi Pipa untuk Hydrant BSP Ø  6"</v>
          </cell>
          <cell r="D318" t="str">
            <v>bt</v>
          </cell>
          <cell r="E318">
            <v>810000</v>
          </cell>
        </row>
        <row r="319">
          <cell r="A319" t="str">
            <v>BT09</v>
          </cell>
          <cell r="B319">
            <v>288</v>
          </cell>
          <cell r="C319" t="str">
            <v xml:space="preserve">Besi Pipa Hitam Ø 1" t=2 mm </v>
          </cell>
          <cell r="D319" t="str">
            <v>bt</v>
          </cell>
          <cell r="E319">
            <v>54500</v>
          </cell>
        </row>
        <row r="320">
          <cell r="A320" t="str">
            <v>BT10</v>
          </cell>
          <cell r="B320">
            <v>289</v>
          </cell>
          <cell r="C320" t="str">
            <v xml:space="preserve">Besi Pipa Hitam Ø 2" t=2 mm   </v>
          </cell>
          <cell r="D320" t="str">
            <v>bt</v>
          </cell>
          <cell r="E320">
            <v>98000</v>
          </cell>
        </row>
        <row r="321">
          <cell r="A321" t="str">
            <v>BT11</v>
          </cell>
          <cell r="B321">
            <v>290</v>
          </cell>
          <cell r="C321" t="str">
            <v xml:space="preserve">Besi Pipa Hitam Ø 3" t=2 mm </v>
          </cell>
          <cell r="D321" t="str">
            <v>bt</v>
          </cell>
          <cell r="E321">
            <v>175000</v>
          </cell>
        </row>
        <row r="322">
          <cell r="A322" t="str">
            <v>BT12</v>
          </cell>
          <cell r="B322">
            <v>291</v>
          </cell>
          <cell r="C322" t="str">
            <v xml:space="preserve">Besi Pipa Hitam Ø 4" t=2 mm  </v>
          </cell>
          <cell r="D322" t="str">
            <v>bt</v>
          </cell>
          <cell r="E322">
            <v>225000</v>
          </cell>
        </row>
        <row r="323">
          <cell r="A323" t="str">
            <v>BT13</v>
          </cell>
          <cell r="B323">
            <v>292</v>
          </cell>
          <cell r="C323" t="str">
            <v>Besi Pipa Hitam Ø 6" t=2 mm</v>
          </cell>
          <cell r="D323" t="str">
            <v>bt</v>
          </cell>
          <cell r="E323">
            <v>300000</v>
          </cell>
        </row>
        <row r="324">
          <cell r="A324" t="str">
            <v>BT14</v>
          </cell>
          <cell r="B324">
            <v>293</v>
          </cell>
          <cell r="C324" t="str">
            <v>Pipa GIP Medium A Ø 1/2"  ( 6 m1 )</v>
          </cell>
          <cell r="D324" t="str">
            <v>bt</v>
          </cell>
          <cell r="E324">
            <v>55000</v>
          </cell>
        </row>
        <row r="325">
          <cell r="A325" t="str">
            <v>BT15</v>
          </cell>
          <cell r="B325">
            <v>294</v>
          </cell>
          <cell r="C325" t="str">
            <v>Pipa GIP Medium A Ø 3/4"  ( 6 m1 )</v>
          </cell>
          <cell r="D325" t="str">
            <v>bt</v>
          </cell>
          <cell r="E325">
            <v>62500</v>
          </cell>
        </row>
        <row r="326">
          <cell r="A326" t="str">
            <v>BT16</v>
          </cell>
          <cell r="B326">
            <v>295</v>
          </cell>
          <cell r="C326" t="str">
            <v>Pipa GIP Medium A Ø 1"   ( 6 m1 )</v>
          </cell>
          <cell r="D326" t="str">
            <v>bt</v>
          </cell>
          <cell r="E326">
            <v>93000</v>
          </cell>
        </row>
        <row r="327">
          <cell r="A327" t="str">
            <v>BT17</v>
          </cell>
          <cell r="B327">
            <v>296</v>
          </cell>
          <cell r="C327" t="str">
            <v>Pipa GIP Medium A Ø 1 1/4"  ( 6 m1 )</v>
          </cell>
          <cell r="D327" t="str">
            <v>bt</v>
          </cell>
          <cell r="E327">
            <v>116000</v>
          </cell>
        </row>
        <row r="328">
          <cell r="A328" t="str">
            <v>BT18</v>
          </cell>
          <cell r="B328">
            <v>297</v>
          </cell>
          <cell r="C328" t="str">
            <v>Pipa GIP Medium A Ø 1 1/2" ( 6 m1 )</v>
          </cell>
          <cell r="D328" t="str">
            <v>bt</v>
          </cell>
          <cell r="E328">
            <v>139650</v>
          </cell>
        </row>
        <row r="329">
          <cell r="A329" t="str">
            <v>BT19</v>
          </cell>
          <cell r="B329">
            <v>298</v>
          </cell>
          <cell r="C329" t="str">
            <v>Pipa GIP Medium A Ø 1 3/4"( 6 m1 )</v>
          </cell>
          <cell r="D329" t="str">
            <v>bt</v>
          </cell>
          <cell r="E329">
            <v>170000</v>
          </cell>
        </row>
        <row r="330">
          <cell r="A330" t="str">
            <v>BT20</v>
          </cell>
          <cell r="B330">
            <v>299</v>
          </cell>
          <cell r="C330" t="str">
            <v>Pipa GIP Medium A Ø 2"  ( 6 m1 )</v>
          </cell>
          <cell r="D330" t="str">
            <v>bt</v>
          </cell>
          <cell r="E330">
            <v>210000</v>
          </cell>
        </row>
        <row r="331">
          <cell r="A331" t="str">
            <v>BT21</v>
          </cell>
          <cell r="B331">
            <v>300</v>
          </cell>
          <cell r="C331" t="str">
            <v>Pipa GIP Medium A Ø 2 1/2" ( 6 m1 )</v>
          </cell>
          <cell r="D331" t="str">
            <v>bt</v>
          </cell>
          <cell r="E331">
            <v>279500</v>
          </cell>
        </row>
        <row r="332">
          <cell r="A332" t="str">
            <v>BT22</v>
          </cell>
          <cell r="B332">
            <v>301</v>
          </cell>
          <cell r="C332" t="str">
            <v>Pipa GIP Medium A Ø 3"  ( 6 m1 )</v>
          </cell>
          <cell r="D332" t="str">
            <v>bt</v>
          </cell>
          <cell r="E332">
            <v>340000</v>
          </cell>
        </row>
        <row r="333">
          <cell r="A333" t="str">
            <v>BT23</v>
          </cell>
          <cell r="B333">
            <v>302</v>
          </cell>
          <cell r="C333" t="str">
            <v>Pipa GIP Medium A Ø 4"  ( 6 m1 )</v>
          </cell>
          <cell r="D333" t="str">
            <v>bt</v>
          </cell>
          <cell r="E333">
            <v>448000</v>
          </cell>
        </row>
        <row r="334">
          <cell r="A334" t="str">
            <v>BT24</v>
          </cell>
          <cell r="B334">
            <v>303</v>
          </cell>
          <cell r="C334" t="str">
            <v>Macam2 Sambungan GIP Ø 1/2"</v>
          </cell>
          <cell r="D334" t="str">
            <v>bh</v>
          </cell>
          <cell r="E334">
            <v>3000</v>
          </cell>
        </row>
        <row r="335">
          <cell r="A335" t="str">
            <v>BT25</v>
          </cell>
          <cell r="B335">
            <v>304</v>
          </cell>
          <cell r="C335" t="str">
            <v>Macam2 Sambungan GIP Ø 3/4"</v>
          </cell>
          <cell r="D335" t="str">
            <v>bh</v>
          </cell>
          <cell r="E335">
            <v>3900</v>
          </cell>
        </row>
        <row r="336">
          <cell r="A336" t="str">
            <v>BT26</v>
          </cell>
          <cell r="B336">
            <v>305</v>
          </cell>
          <cell r="C336" t="str">
            <v>Macam2 Sambungan GIP Ø 1"</v>
          </cell>
          <cell r="D336" t="str">
            <v>bh</v>
          </cell>
          <cell r="E336">
            <v>6000</v>
          </cell>
        </row>
        <row r="337">
          <cell r="A337" t="str">
            <v>BT27</v>
          </cell>
          <cell r="B337">
            <v>306</v>
          </cell>
          <cell r="C337" t="str">
            <v>Macam2 Sambungan GIP Ø 1 1/4"</v>
          </cell>
          <cell r="D337" t="str">
            <v>bh</v>
          </cell>
          <cell r="E337">
            <v>7500</v>
          </cell>
        </row>
        <row r="338">
          <cell r="A338" t="str">
            <v>BT28</v>
          </cell>
          <cell r="B338">
            <v>307</v>
          </cell>
          <cell r="C338" t="str">
            <v>Macam2 Sambungan GIP Ø 11/2"</v>
          </cell>
          <cell r="D338" t="str">
            <v>bh</v>
          </cell>
          <cell r="E338">
            <v>8500</v>
          </cell>
        </row>
        <row r="339">
          <cell r="A339" t="str">
            <v>BT29</v>
          </cell>
          <cell r="B339">
            <v>308</v>
          </cell>
          <cell r="C339" t="str">
            <v>Macam2 Sambungan GIP Ø 13/4"</v>
          </cell>
          <cell r="D339" t="str">
            <v>bh</v>
          </cell>
          <cell r="E339">
            <v>12600</v>
          </cell>
        </row>
        <row r="340">
          <cell r="A340" t="str">
            <v>BT30</v>
          </cell>
          <cell r="B340">
            <v>309</v>
          </cell>
          <cell r="C340" t="str">
            <v>Macam2 Sambungan GIP Ø 2"</v>
          </cell>
          <cell r="D340" t="str">
            <v>bh</v>
          </cell>
          <cell r="E340">
            <v>17500</v>
          </cell>
        </row>
        <row r="341">
          <cell r="A341" t="str">
            <v>BT31</v>
          </cell>
          <cell r="B341">
            <v>310</v>
          </cell>
          <cell r="C341" t="str">
            <v>Macam2 Sambungan GIP Ø 2 1/2"</v>
          </cell>
          <cell r="D341" t="str">
            <v>bh</v>
          </cell>
          <cell r="E341">
            <v>25000</v>
          </cell>
        </row>
        <row r="342">
          <cell r="A342" t="str">
            <v>BT32</v>
          </cell>
          <cell r="B342">
            <v>311</v>
          </cell>
          <cell r="C342" t="str">
            <v>Macam2 Sambungan GIP Ø 3"</v>
          </cell>
          <cell r="D342" t="str">
            <v>bh</v>
          </cell>
          <cell r="E342">
            <v>30000</v>
          </cell>
        </row>
        <row r="343">
          <cell r="A343" t="str">
            <v>BT33</v>
          </cell>
          <cell r="B343">
            <v>312</v>
          </cell>
          <cell r="C343" t="str">
            <v>Macam2 Sambungan GIP Ø 4"</v>
          </cell>
          <cell r="D343" t="str">
            <v>bh</v>
          </cell>
          <cell r="E343">
            <v>35000</v>
          </cell>
        </row>
        <row r="344">
          <cell r="A344" t="str">
            <v>BT34</v>
          </cell>
          <cell r="B344">
            <v>313</v>
          </cell>
          <cell r="C344" t="str">
            <v xml:space="preserve">Pipa PVC RUCIKA type AW  Ø 1/2" </v>
          </cell>
          <cell r="D344" t="str">
            <v>bt</v>
          </cell>
          <cell r="E344">
            <v>16000</v>
          </cell>
        </row>
        <row r="345">
          <cell r="A345" t="str">
            <v>BT35</v>
          </cell>
          <cell r="B345">
            <v>314</v>
          </cell>
          <cell r="C345" t="str">
            <v xml:space="preserve">Pipa PVC RUCIKA type AW    Ø 3/4" </v>
          </cell>
          <cell r="D345" t="str">
            <v>bt</v>
          </cell>
          <cell r="E345">
            <v>22500</v>
          </cell>
        </row>
        <row r="346">
          <cell r="A346" t="str">
            <v>BT36</v>
          </cell>
          <cell r="B346">
            <v>315</v>
          </cell>
          <cell r="C346" t="str">
            <v xml:space="preserve">Pipa PVC RUCIKA type AW    Ø 1" </v>
          </cell>
          <cell r="D346" t="str">
            <v>bt</v>
          </cell>
          <cell r="E346">
            <v>28000</v>
          </cell>
        </row>
        <row r="347">
          <cell r="A347" t="str">
            <v>BT37</v>
          </cell>
          <cell r="B347">
            <v>316</v>
          </cell>
          <cell r="C347" t="str">
            <v xml:space="preserve">Pipa PVC RUCIKA type AW    Ø 1 1/4" </v>
          </cell>
          <cell r="D347" t="str">
            <v>bt</v>
          </cell>
          <cell r="E347">
            <v>39000</v>
          </cell>
        </row>
        <row r="348">
          <cell r="A348" t="str">
            <v>BT38</v>
          </cell>
          <cell r="B348">
            <v>317</v>
          </cell>
          <cell r="C348" t="str">
            <v xml:space="preserve">Pipa PVC RUCIKA type AW    Ø 1 1/2" </v>
          </cell>
          <cell r="D348" t="str">
            <v>bt</v>
          </cell>
          <cell r="E348">
            <v>49000</v>
          </cell>
        </row>
        <row r="349">
          <cell r="A349" t="str">
            <v>BT39</v>
          </cell>
          <cell r="B349">
            <v>318</v>
          </cell>
          <cell r="C349" t="str">
            <v xml:space="preserve">Pipa PVC RUCIKA type AW    Ø 2" </v>
          </cell>
          <cell r="D349" t="str">
            <v>bt</v>
          </cell>
          <cell r="E349">
            <v>69000</v>
          </cell>
        </row>
        <row r="350">
          <cell r="A350" t="str">
            <v>BT40</v>
          </cell>
          <cell r="B350">
            <v>319</v>
          </cell>
          <cell r="C350" t="str">
            <v xml:space="preserve">Pipa PVC RUCIKA type AW    Ø 2 1/2" </v>
          </cell>
          <cell r="D350" t="str">
            <v>bt</v>
          </cell>
          <cell r="E350">
            <v>88000</v>
          </cell>
        </row>
        <row r="351">
          <cell r="A351" t="str">
            <v>BT41</v>
          </cell>
          <cell r="B351">
            <v>320</v>
          </cell>
          <cell r="C351" t="str">
            <v xml:space="preserve">Pipa PVC RUCIKA type AW    Ø 3" </v>
          </cell>
          <cell r="D351" t="str">
            <v>bt</v>
          </cell>
          <cell r="E351">
            <v>132000</v>
          </cell>
        </row>
        <row r="352">
          <cell r="A352" t="str">
            <v>BT42</v>
          </cell>
          <cell r="B352">
            <v>321</v>
          </cell>
          <cell r="C352" t="str">
            <v xml:space="preserve">Pipa PVC RUCIKA type AW    Ø 4" </v>
          </cell>
          <cell r="D352" t="str">
            <v>bt</v>
          </cell>
          <cell r="E352">
            <v>205000</v>
          </cell>
        </row>
        <row r="353">
          <cell r="A353" t="str">
            <v>BT43</v>
          </cell>
          <cell r="B353">
            <v>322</v>
          </cell>
          <cell r="C353" t="str">
            <v xml:space="preserve">Pipa PVC RUCIKA type AW    Ø 6" </v>
          </cell>
          <cell r="D353" t="str">
            <v>bt</v>
          </cell>
          <cell r="E353">
            <v>395000</v>
          </cell>
        </row>
        <row r="354">
          <cell r="A354" t="str">
            <v>BT44</v>
          </cell>
          <cell r="B354">
            <v>323</v>
          </cell>
          <cell r="C354" t="str">
            <v xml:space="preserve">Pipa PVC RUCIKA type AW    Ø 8" </v>
          </cell>
          <cell r="D354" t="str">
            <v>bt</v>
          </cell>
          <cell r="E354">
            <v>575000</v>
          </cell>
        </row>
        <row r="355">
          <cell r="A355" t="str">
            <v>BT45</v>
          </cell>
          <cell r="B355">
            <v>324</v>
          </cell>
          <cell r="C355" t="str">
            <v>Pipa PVC  MASPION ABU Ø 1/2" (AW)</v>
          </cell>
          <cell r="D355" t="str">
            <v>bt</v>
          </cell>
          <cell r="E355">
            <v>11500</v>
          </cell>
        </row>
        <row r="356">
          <cell r="A356" t="str">
            <v>BT46</v>
          </cell>
          <cell r="B356">
            <v>325</v>
          </cell>
          <cell r="C356" t="str">
            <v>Pipa PVC  MASPION ABU Ø 3/4" (AW)</v>
          </cell>
          <cell r="D356" t="str">
            <v>bt</v>
          </cell>
          <cell r="E356">
            <v>14000</v>
          </cell>
        </row>
        <row r="357">
          <cell r="A357" t="str">
            <v>BT47</v>
          </cell>
          <cell r="B357">
            <v>326</v>
          </cell>
          <cell r="C357" t="str">
            <v>Pipa PVC  MASPION ABU Ø 1" (AW)</v>
          </cell>
          <cell r="D357" t="str">
            <v>bt</v>
          </cell>
          <cell r="E357">
            <v>17800</v>
          </cell>
        </row>
        <row r="358">
          <cell r="A358" t="str">
            <v>BT48</v>
          </cell>
          <cell r="B358">
            <v>327</v>
          </cell>
          <cell r="C358" t="str">
            <v>Pipa PVC  MASPION ABU Ø 1 1/4" (AW)</v>
          </cell>
          <cell r="D358" t="str">
            <v>bt</v>
          </cell>
          <cell r="E358">
            <v>25000</v>
          </cell>
        </row>
        <row r="359">
          <cell r="A359" t="str">
            <v>BT49</v>
          </cell>
          <cell r="B359">
            <v>328</v>
          </cell>
          <cell r="C359" t="str">
            <v>Pipa PVC  MASPION ABU Ø 1 1/2" (AW)</v>
          </cell>
          <cell r="D359" t="str">
            <v>bt</v>
          </cell>
          <cell r="E359">
            <v>33000</v>
          </cell>
        </row>
        <row r="360">
          <cell r="A360" t="str">
            <v>BT50</v>
          </cell>
          <cell r="B360">
            <v>329</v>
          </cell>
          <cell r="C360" t="str">
            <v>Pipa PVC  MASPION ABU Ø 2" (AW)</v>
          </cell>
          <cell r="D360" t="str">
            <v>bt</v>
          </cell>
          <cell r="E360">
            <v>48000</v>
          </cell>
        </row>
        <row r="361">
          <cell r="A361" t="str">
            <v>BT51</v>
          </cell>
          <cell r="B361">
            <v>330</v>
          </cell>
          <cell r="C361" t="str">
            <v>Pipa PVC  MASPION ABU Ø 2 1/2" (AW)</v>
          </cell>
          <cell r="D361" t="str">
            <v>bt</v>
          </cell>
          <cell r="E361">
            <v>61500</v>
          </cell>
        </row>
        <row r="362">
          <cell r="A362" t="str">
            <v>BT52</v>
          </cell>
          <cell r="B362">
            <v>331</v>
          </cell>
          <cell r="C362" t="str">
            <v>Pipa PVC  MASPION ABU Ø 3" (AW)</v>
          </cell>
          <cell r="D362" t="str">
            <v>bt</v>
          </cell>
          <cell r="E362">
            <v>88000</v>
          </cell>
        </row>
        <row r="363">
          <cell r="A363" t="str">
            <v>BT53</v>
          </cell>
          <cell r="B363">
            <v>332</v>
          </cell>
          <cell r="C363" t="str">
            <v>Pipa PVC  MASPION ABU Ø 4" (AW)</v>
          </cell>
          <cell r="D363" t="str">
            <v>bt</v>
          </cell>
          <cell r="E363">
            <v>125000</v>
          </cell>
        </row>
        <row r="364">
          <cell r="A364" t="str">
            <v>BT54</v>
          </cell>
          <cell r="B364">
            <v>333</v>
          </cell>
          <cell r="C364" t="str">
            <v>Macam2 Sambungan Paralon Ø 1/2"</v>
          </cell>
          <cell r="D364" t="str">
            <v>bh</v>
          </cell>
          <cell r="E364">
            <v>1500</v>
          </cell>
        </row>
        <row r="365">
          <cell r="A365" t="str">
            <v>BT55</v>
          </cell>
          <cell r="B365">
            <v>334</v>
          </cell>
          <cell r="C365" t="str">
            <v>Macam2 Sambungan Paralon Ø 3/4"</v>
          </cell>
          <cell r="D365" t="str">
            <v>bh</v>
          </cell>
          <cell r="E365">
            <v>1750</v>
          </cell>
        </row>
        <row r="366">
          <cell r="A366" t="str">
            <v>BT56</v>
          </cell>
          <cell r="B366">
            <v>335</v>
          </cell>
          <cell r="C366" t="str">
            <v>Macam2 Sambungan Paralon Ø 1"</v>
          </cell>
          <cell r="D366" t="str">
            <v>bh</v>
          </cell>
          <cell r="E366">
            <v>2000</v>
          </cell>
        </row>
        <row r="367">
          <cell r="A367" t="str">
            <v>BT57</v>
          </cell>
          <cell r="B367">
            <v>336</v>
          </cell>
          <cell r="C367" t="str">
            <v>Macam2 Sambungan Paralon Ø 1 1/4"</v>
          </cell>
          <cell r="D367" t="str">
            <v>bh</v>
          </cell>
          <cell r="E367">
            <v>3400</v>
          </cell>
        </row>
        <row r="368">
          <cell r="A368" t="str">
            <v>BT58</v>
          </cell>
          <cell r="B368">
            <v>337</v>
          </cell>
          <cell r="C368" t="str">
            <v>Macam2 Sambungan Paralon Ø 1 1/2"</v>
          </cell>
          <cell r="D368" t="str">
            <v>bh</v>
          </cell>
          <cell r="E368">
            <v>3650</v>
          </cell>
        </row>
        <row r="369">
          <cell r="A369" t="str">
            <v>BT59</v>
          </cell>
          <cell r="B369">
            <v>338</v>
          </cell>
          <cell r="C369" t="str">
            <v>Macam2 Sambungan Paralon Ø 1 3/4"</v>
          </cell>
          <cell r="D369" t="str">
            <v>bh</v>
          </cell>
          <cell r="E369">
            <v>4200</v>
          </cell>
        </row>
        <row r="370">
          <cell r="A370" t="str">
            <v>BT60</v>
          </cell>
          <cell r="B370">
            <v>339</v>
          </cell>
          <cell r="C370" t="str">
            <v>Macam2 Sambungan Paralon Ø 2"</v>
          </cell>
          <cell r="D370" t="str">
            <v>bh</v>
          </cell>
          <cell r="E370">
            <v>6000</v>
          </cell>
        </row>
        <row r="371">
          <cell r="A371" t="str">
            <v>BT61</v>
          </cell>
          <cell r="B371">
            <v>340</v>
          </cell>
          <cell r="C371" t="str">
            <v>Macam2 Samb. Paralon Ø 2 1/2"</v>
          </cell>
          <cell r="D371" t="str">
            <v>bh</v>
          </cell>
          <cell r="E371">
            <v>8500</v>
          </cell>
        </row>
        <row r="372">
          <cell r="A372" t="str">
            <v>BT62</v>
          </cell>
          <cell r="B372">
            <v>341</v>
          </cell>
          <cell r="C372" t="str">
            <v>Macam2 Samb. Paralon Ø 3"</v>
          </cell>
          <cell r="D372" t="str">
            <v>bh</v>
          </cell>
          <cell r="E372">
            <v>15000</v>
          </cell>
        </row>
        <row r="373">
          <cell r="A373" t="str">
            <v>BT63</v>
          </cell>
          <cell r="B373">
            <v>342</v>
          </cell>
          <cell r="C373" t="str">
            <v>Macam2 Samb. Paralon Ø 4"</v>
          </cell>
          <cell r="D373" t="str">
            <v>bh</v>
          </cell>
          <cell r="E373">
            <v>21500</v>
          </cell>
        </row>
        <row r="374">
          <cell r="A374" t="str">
            <v>BT64</v>
          </cell>
          <cell r="B374">
            <v>343</v>
          </cell>
          <cell r="C374" t="str">
            <v>Sambungan Pipa PVC Jenis AW 4 " TY</v>
          </cell>
          <cell r="D374" t="str">
            <v>bh</v>
          </cell>
          <cell r="E374">
            <v>51700</v>
          </cell>
        </row>
        <row r="375">
          <cell r="A375" t="str">
            <v>BT65</v>
          </cell>
          <cell r="B375">
            <v>344</v>
          </cell>
          <cell r="C375" t="str">
            <v>Lem Paralon</v>
          </cell>
          <cell r="D375" t="str">
            <v>tb</v>
          </cell>
          <cell r="E375">
            <v>3500</v>
          </cell>
        </row>
        <row r="376">
          <cell r="A376" t="str">
            <v>BT66</v>
          </cell>
          <cell r="B376">
            <v>345</v>
          </cell>
          <cell r="C376" t="str">
            <v>Solatip Leideng</v>
          </cell>
          <cell r="D376" t="str">
            <v>gl</v>
          </cell>
          <cell r="E376">
            <v>1500</v>
          </cell>
        </row>
        <row r="377">
          <cell r="A377" t="str">
            <v>BT67</v>
          </cell>
          <cell r="B377">
            <v>346</v>
          </cell>
          <cell r="C377" t="str">
            <v>Pipa PVC 4" berlobang jenis AW</v>
          </cell>
          <cell r="D377" t="str">
            <v>m1</v>
          </cell>
          <cell r="E377">
            <v>19600</v>
          </cell>
        </row>
        <row r="379">
          <cell r="C379" t="str">
            <v>L. BAHAN SANITAIR</v>
          </cell>
        </row>
        <row r="380">
          <cell r="A380" t="str">
            <v>BV01</v>
          </cell>
          <cell r="B380">
            <v>347</v>
          </cell>
          <cell r="C380" t="str">
            <v>Stop Kran 3/4 " KIT</v>
          </cell>
          <cell r="D380" t="str">
            <v>bh</v>
          </cell>
          <cell r="E380">
            <v>57500</v>
          </cell>
        </row>
        <row r="381">
          <cell r="A381" t="str">
            <v>BV02</v>
          </cell>
          <cell r="B381">
            <v>348</v>
          </cell>
          <cell r="C381" t="str">
            <v>Stop Kran 1 " KIT</v>
          </cell>
          <cell r="D381" t="str">
            <v>bh</v>
          </cell>
          <cell r="E381">
            <v>75000</v>
          </cell>
        </row>
        <row r="382">
          <cell r="A382" t="str">
            <v>BV03</v>
          </cell>
          <cell r="B382">
            <v>349</v>
          </cell>
          <cell r="C382" t="str">
            <v>Stop Kran 1 1/2 " KIT</v>
          </cell>
          <cell r="D382" t="str">
            <v>bh</v>
          </cell>
          <cell r="E382">
            <v>130000</v>
          </cell>
        </row>
        <row r="383">
          <cell r="A383" t="str">
            <v>BV04</v>
          </cell>
          <cell r="B383">
            <v>350</v>
          </cell>
          <cell r="C383" t="str">
            <v>Stop Kran 2 " KIT</v>
          </cell>
          <cell r="D383" t="str">
            <v>bh</v>
          </cell>
          <cell r="E383">
            <v>180000</v>
          </cell>
        </row>
        <row r="384">
          <cell r="A384" t="str">
            <v>BV05</v>
          </cell>
          <cell r="B384">
            <v>351</v>
          </cell>
          <cell r="C384" t="str">
            <v>Stop Kran 2 1/2" KIT</v>
          </cell>
          <cell r="D384" t="str">
            <v>bh</v>
          </cell>
          <cell r="E384">
            <v>450000</v>
          </cell>
        </row>
        <row r="385">
          <cell r="A385" t="str">
            <v>BV06</v>
          </cell>
          <cell r="B385">
            <v>352</v>
          </cell>
          <cell r="C385" t="str">
            <v>Stop Kran 3 " KIT</v>
          </cell>
          <cell r="D385" t="str">
            <v>bh</v>
          </cell>
          <cell r="E385">
            <v>510000</v>
          </cell>
        </row>
        <row r="386">
          <cell r="A386" t="str">
            <v>BV07</v>
          </cell>
          <cell r="B386">
            <v>353</v>
          </cell>
          <cell r="C386" t="str">
            <v>Check Valve 1/2 "</v>
          </cell>
          <cell r="D386" t="str">
            <v>bh</v>
          </cell>
          <cell r="E386">
            <v>45000</v>
          </cell>
        </row>
        <row r="387">
          <cell r="A387" t="str">
            <v>BV08</v>
          </cell>
          <cell r="B387">
            <v>354</v>
          </cell>
          <cell r="C387" t="str">
            <v>Double Neple 1/2 "</v>
          </cell>
          <cell r="D387" t="str">
            <v>bh</v>
          </cell>
          <cell r="E387">
            <v>15000</v>
          </cell>
        </row>
        <row r="388">
          <cell r="A388" t="str">
            <v>BV09</v>
          </cell>
          <cell r="B388">
            <v>355</v>
          </cell>
          <cell r="C388" t="str">
            <v>Water Mur 1/2 "</v>
          </cell>
          <cell r="D388" t="str">
            <v>bh</v>
          </cell>
          <cell r="E388">
            <v>24200</v>
          </cell>
        </row>
        <row r="389">
          <cell r="A389" t="str">
            <v>BV10</v>
          </cell>
          <cell r="B389">
            <v>356</v>
          </cell>
          <cell r="C389" t="str">
            <v>Gate Walve 1/2 "</v>
          </cell>
          <cell r="D389" t="str">
            <v>bh</v>
          </cell>
          <cell r="E389">
            <v>25000</v>
          </cell>
        </row>
        <row r="390">
          <cell r="A390" t="str">
            <v>BV11</v>
          </cell>
          <cell r="B390">
            <v>357</v>
          </cell>
          <cell r="C390" t="str">
            <v xml:space="preserve">Saringan Air Lt KM Stainless Steel </v>
          </cell>
          <cell r="D390" t="str">
            <v>bh</v>
          </cell>
          <cell r="E390">
            <v>25000</v>
          </cell>
        </row>
        <row r="391">
          <cell r="A391" t="str">
            <v>BV12</v>
          </cell>
          <cell r="B391">
            <v>358</v>
          </cell>
          <cell r="C391" t="str">
            <v>Apooer Bath Tube</v>
          </cell>
          <cell r="D391" t="str">
            <v>bh</v>
          </cell>
          <cell r="E391">
            <v>143850</v>
          </cell>
        </row>
        <row r="392">
          <cell r="A392" t="str">
            <v>BV13</v>
          </cell>
          <cell r="B392">
            <v>359</v>
          </cell>
          <cell r="C392" t="str">
            <v>Kran stain less Lokal Kait</v>
          </cell>
          <cell r="D392" t="str">
            <v>bh</v>
          </cell>
          <cell r="E392">
            <v>26400</v>
          </cell>
        </row>
        <row r="393">
          <cell r="A393" t="str">
            <v>BV14</v>
          </cell>
          <cell r="B393">
            <v>360</v>
          </cell>
          <cell r="C393" t="str">
            <v xml:space="preserve">Shower Dengan Tiang </v>
          </cell>
          <cell r="D393" t="str">
            <v>bh</v>
          </cell>
          <cell r="E393">
            <v>135000</v>
          </cell>
        </row>
        <row r="394">
          <cell r="A394" t="str">
            <v>BV15</v>
          </cell>
          <cell r="B394">
            <v>361</v>
          </cell>
          <cell r="C394" t="str">
            <v xml:space="preserve">Shower Tanpa Tiang </v>
          </cell>
          <cell r="D394" t="str">
            <v>bh</v>
          </cell>
          <cell r="E394">
            <v>75000</v>
          </cell>
        </row>
        <row r="395">
          <cell r="A395" t="str">
            <v>BV16</v>
          </cell>
          <cell r="B395">
            <v>362</v>
          </cell>
          <cell r="C395" t="str">
            <v xml:space="preserve">Kran Tembok Sun Eui  dia. 1/2 " </v>
          </cell>
          <cell r="D395" t="str">
            <v>bh</v>
          </cell>
          <cell r="E395">
            <v>50000</v>
          </cell>
        </row>
        <row r="396">
          <cell r="A396" t="str">
            <v>BV17</v>
          </cell>
          <cell r="B396">
            <v>363</v>
          </cell>
          <cell r="C396" t="str">
            <v xml:space="preserve">Kran Tembok ITAP dia. 1/2 " </v>
          </cell>
          <cell r="D396" t="str">
            <v>bh</v>
          </cell>
          <cell r="E396">
            <v>20000</v>
          </cell>
        </row>
        <row r="397">
          <cell r="A397" t="str">
            <v>BV18</v>
          </cell>
          <cell r="B397">
            <v>364</v>
          </cell>
          <cell r="C397" t="str">
            <v xml:space="preserve">Kran Bebek Sun Eui 1/2 " </v>
          </cell>
          <cell r="D397" t="str">
            <v>bh</v>
          </cell>
          <cell r="E397">
            <v>90000</v>
          </cell>
        </row>
        <row r="398">
          <cell r="A398" t="str">
            <v>BV19</v>
          </cell>
          <cell r="B398">
            <v>365</v>
          </cell>
          <cell r="C398" t="str">
            <v>Kran Bebek ITAP 1/2 "</v>
          </cell>
          <cell r="D398" t="str">
            <v>bh</v>
          </cell>
          <cell r="E398">
            <v>30000</v>
          </cell>
        </row>
        <row r="399">
          <cell r="A399" t="str">
            <v>BV20</v>
          </cell>
          <cell r="B399">
            <v>366</v>
          </cell>
          <cell r="C399" t="str">
            <v>Kran Panas Dingin San Eui  Standard</v>
          </cell>
          <cell r="D399" t="str">
            <v>bh</v>
          </cell>
          <cell r="E399">
            <v>125000</v>
          </cell>
        </row>
        <row r="400">
          <cell r="A400" t="str">
            <v>BV21</v>
          </cell>
          <cell r="B400">
            <v>367</v>
          </cell>
          <cell r="C400" t="str">
            <v xml:space="preserve">Bath Cape  Washteren </v>
          </cell>
          <cell r="D400" t="str">
            <v>unit</v>
          </cell>
          <cell r="E400">
            <v>1197000</v>
          </cell>
        </row>
        <row r="401">
          <cell r="A401" t="str">
            <v>BV22</v>
          </cell>
          <cell r="B401">
            <v>368</v>
          </cell>
          <cell r="C401" t="str">
            <v>Tempat Sabun Poslin</v>
          </cell>
          <cell r="D401" t="str">
            <v>bh</v>
          </cell>
          <cell r="E401">
            <v>25000</v>
          </cell>
        </row>
        <row r="402">
          <cell r="A402" t="str">
            <v>BV23</v>
          </cell>
          <cell r="B402">
            <v>369</v>
          </cell>
          <cell r="C402" t="str">
            <v xml:space="preserve">Wastafel Lengkap TOTO LW 230 </v>
          </cell>
          <cell r="D402" t="str">
            <v>unit</v>
          </cell>
          <cell r="E402">
            <v>517500</v>
          </cell>
        </row>
        <row r="403">
          <cell r="A403" t="str">
            <v>BV24</v>
          </cell>
          <cell r="B403">
            <v>370</v>
          </cell>
          <cell r="C403" t="str">
            <v>Wastafel Lengkap INA</v>
          </cell>
          <cell r="D403" t="str">
            <v>unit</v>
          </cell>
          <cell r="E403">
            <v>410000</v>
          </cell>
        </row>
        <row r="404">
          <cell r="A404" t="str">
            <v>BV25</v>
          </cell>
          <cell r="B404">
            <v>371</v>
          </cell>
          <cell r="C404" t="str">
            <v>Closet Jongkok Poslin warna  TOTO</v>
          </cell>
          <cell r="D404" t="str">
            <v>unit</v>
          </cell>
          <cell r="E404">
            <v>140000</v>
          </cell>
        </row>
        <row r="405">
          <cell r="A405" t="str">
            <v>BV26</v>
          </cell>
          <cell r="B405">
            <v>372</v>
          </cell>
          <cell r="C405" t="str">
            <v>Closet Jongkok Standard Putih Poslin TOTO</v>
          </cell>
          <cell r="D405" t="str">
            <v>unit</v>
          </cell>
          <cell r="E405">
            <v>110000</v>
          </cell>
        </row>
        <row r="406">
          <cell r="A406" t="str">
            <v>BV27</v>
          </cell>
          <cell r="B406">
            <v>373</v>
          </cell>
          <cell r="C406" t="str">
            <v>Closet Jongkok Lengkap Sistem Jet TOTO</v>
          </cell>
          <cell r="D406" t="str">
            <v>unit</v>
          </cell>
          <cell r="E406">
            <v>1140000</v>
          </cell>
        </row>
        <row r="407">
          <cell r="A407" t="str">
            <v>BV28</v>
          </cell>
          <cell r="B407">
            <v>374</v>
          </cell>
          <cell r="C407" t="str">
            <v>Closet Duduk Warna Standard  TOTO C 240 Lengkap</v>
          </cell>
          <cell r="D407" t="str">
            <v>unit</v>
          </cell>
          <cell r="E407">
            <v>1050000</v>
          </cell>
        </row>
        <row r="408">
          <cell r="A408" t="str">
            <v>BV29</v>
          </cell>
          <cell r="B408">
            <v>375</v>
          </cell>
          <cell r="C408" t="str">
            <v>Wastafel Bulat Warna Standard Lengkap</v>
          </cell>
          <cell r="D408" t="str">
            <v>unit</v>
          </cell>
          <cell r="E408">
            <v>620000</v>
          </cell>
        </row>
        <row r="409">
          <cell r="A409" t="str">
            <v>BV30</v>
          </cell>
          <cell r="B409">
            <v>376</v>
          </cell>
          <cell r="C409" t="str">
            <v>Closet Duduk Warna Standard lengkap INA</v>
          </cell>
          <cell r="D409" t="str">
            <v>bh</v>
          </cell>
          <cell r="E409">
            <v>875000</v>
          </cell>
        </row>
        <row r="410">
          <cell r="A410" t="str">
            <v>BV31</v>
          </cell>
          <cell r="B410">
            <v>377</v>
          </cell>
          <cell r="C410" t="str">
            <v xml:space="preserve">Urinoar Lengkap TOTO Warna Standard lengkap </v>
          </cell>
          <cell r="D410" t="str">
            <v>unit</v>
          </cell>
          <cell r="E410">
            <v>935000</v>
          </cell>
        </row>
        <row r="411">
          <cell r="A411" t="str">
            <v>BV32</v>
          </cell>
          <cell r="B411">
            <v>378</v>
          </cell>
          <cell r="C411" t="str">
            <v xml:space="preserve">Penyekat Poslin Urinoar TOTO </v>
          </cell>
          <cell r="D411" t="str">
            <v>lbr</v>
          </cell>
          <cell r="E411">
            <v>252000</v>
          </cell>
        </row>
        <row r="412">
          <cell r="A412" t="str">
            <v>BV33</v>
          </cell>
          <cell r="B412">
            <v>379</v>
          </cell>
          <cell r="C412" t="str">
            <v>Kitchen Zink Stainless Standard Lokal ( 1 Lobang )</v>
          </cell>
          <cell r="D412" t="str">
            <v>bh</v>
          </cell>
          <cell r="E412">
            <v>175000</v>
          </cell>
        </row>
        <row r="413">
          <cell r="A413" t="str">
            <v>BV34</v>
          </cell>
          <cell r="B413">
            <v>380</v>
          </cell>
          <cell r="C413" t="str">
            <v>Kitchen Zink Stainless Non Standard Franke ( 1 Lobang )</v>
          </cell>
          <cell r="D413" t="str">
            <v>bh</v>
          </cell>
          <cell r="E413">
            <v>425000</v>
          </cell>
        </row>
        <row r="414">
          <cell r="A414" t="str">
            <v>BV35</v>
          </cell>
          <cell r="B414">
            <v>381</v>
          </cell>
          <cell r="C414" t="str">
            <v>Kitchen Zink Stainless Non Standard Franke ( 2 Lobang )</v>
          </cell>
          <cell r="D414" t="str">
            <v>bh</v>
          </cell>
          <cell r="E414">
            <v>675000</v>
          </cell>
        </row>
        <row r="416">
          <cell r="C416" t="str">
            <v>M. BAHAN PENUTUP ATAP</v>
          </cell>
        </row>
        <row r="417">
          <cell r="A417" t="str">
            <v>BX01</v>
          </cell>
          <cell r="B417">
            <v>382</v>
          </cell>
          <cell r="C417" t="str">
            <v>Atap Plastik Gelombang 80 x 180</v>
          </cell>
          <cell r="D417" t="str">
            <v>lbr</v>
          </cell>
          <cell r="E417">
            <v>12500</v>
          </cell>
        </row>
        <row r="418">
          <cell r="A418" t="str">
            <v>BX02</v>
          </cell>
          <cell r="B418">
            <v>383</v>
          </cell>
          <cell r="C418" t="str">
            <v>Atap Fiber Glass Tipis 80 x 180 (gelombang)</v>
          </cell>
          <cell r="D418" t="str">
            <v>lbr</v>
          </cell>
          <cell r="E418">
            <v>21000</v>
          </cell>
        </row>
        <row r="419">
          <cell r="A419" t="str">
            <v>BX03</v>
          </cell>
          <cell r="B419">
            <v>384</v>
          </cell>
          <cell r="C419" t="str">
            <v>Atap Fiber Glass Tebal 80 x 180 (gelombang)</v>
          </cell>
          <cell r="D419" t="str">
            <v>lbr</v>
          </cell>
          <cell r="E419">
            <v>33500</v>
          </cell>
        </row>
        <row r="420">
          <cell r="A420" t="str">
            <v>BX04</v>
          </cell>
          <cell r="B420">
            <v>385</v>
          </cell>
          <cell r="C420" t="str">
            <v>Atap Aluminium Natural USR 26 ( JAINDO )</v>
          </cell>
          <cell r="D420" t="str">
            <v>m²</v>
          </cell>
          <cell r="E420">
            <v>81400</v>
          </cell>
        </row>
        <row r="421">
          <cell r="A421" t="str">
            <v>BX05</v>
          </cell>
          <cell r="B421">
            <v>386</v>
          </cell>
          <cell r="C421" t="str">
            <v>Atap Aluminium Warna USR 26 ( JAINDO )</v>
          </cell>
          <cell r="D421" t="str">
            <v>m²</v>
          </cell>
          <cell r="E421">
            <v>93500</v>
          </cell>
        </row>
        <row r="422">
          <cell r="A422" t="str">
            <v>BX06</v>
          </cell>
          <cell r="B422">
            <v>387</v>
          </cell>
          <cell r="C422" t="str">
            <v>Atap Asbes Gel. Kecil 4 mm 80 x 180</v>
          </cell>
          <cell r="D422" t="str">
            <v>lbr</v>
          </cell>
          <cell r="E422">
            <v>33500</v>
          </cell>
        </row>
        <row r="423">
          <cell r="A423" t="str">
            <v>BX07</v>
          </cell>
          <cell r="B423">
            <v>388</v>
          </cell>
          <cell r="C423" t="str">
            <v>Atap Asbes Gel. Besar 5 mm 80 x 180</v>
          </cell>
          <cell r="D423" t="str">
            <v>lbr</v>
          </cell>
          <cell r="E423">
            <v>50400</v>
          </cell>
        </row>
        <row r="424">
          <cell r="A424" t="str">
            <v>BX08</v>
          </cell>
          <cell r="B424">
            <v>389</v>
          </cell>
          <cell r="C424" t="str">
            <v>Atap Tegola Kubota, lengkap</v>
          </cell>
          <cell r="D424" t="str">
            <v>m²</v>
          </cell>
          <cell r="E424">
            <v>284000</v>
          </cell>
        </row>
        <row r="425">
          <cell r="A425" t="str">
            <v>BX09</v>
          </cell>
          <cell r="B425">
            <v>390</v>
          </cell>
          <cell r="C425" t="str">
            <v>Atap Tegola Kwalitas Sedang</v>
          </cell>
          <cell r="D425" t="str">
            <v>m²</v>
          </cell>
          <cell r="E425">
            <v>157850</v>
          </cell>
        </row>
        <row r="426">
          <cell r="A426" t="str">
            <v>BX10</v>
          </cell>
          <cell r="B426">
            <v>391</v>
          </cell>
          <cell r="C426" t="str">
            <v>Aluminium foile</v>
          </cell>
          <cell r="D426" t="str">
            <v>m²</v>
          </cell>
          <cell r="E426">
            <v>4500</v>
          </cell>
        </row>
        <row r="427">
          <cell r="A427" t="str">
            <v>BX11</v>
          </cell>
          <cell r="B427">
            <v>392</v>
          </cell>
          <cell r="C427" t="str">
            <v>Atap Genteng Plentong pres Bakar KW 1</v>
          </cell>
          <cell r="D427" t="str">
            <v>bh</v>
          </cell>
          <cell r="E427">
            <v>650</v>
          </cell>
        </row>
        <row r="428">
          <cell r="A428" t="str">
            <v>BX12</v>
          </cell>
          <cell r="B428">
            <v>393</v>
          </cell>
          <cell r="C428" t="str">
            <v xml:space="preserve">Atap Genteng Plentong pres Molen Oven KW1 </v>
          </cell>
          <cell r="D428" t="str">
            <v>bh</v>
          </cell>
          <cell r="E428">
            <v>750</v>
          </cell>
        </row>
        <row r="429">
          <cell r="A429" t="str">
            <v>BX13</v>
          </cell>
          <cell r="B429">
            <v>394</v>
          </cell>
          <cell r="C429" t="str">
            <v>Atap Genteng Flam pres Molen Oven Jatiwangi</v>
          </cell>
          <cell r="D429" t="str">
            <v>bh</v>
          </cell>
          <cell r="E429">
            <v>850</v>
          </cell>
        </row>
        <row r="430">
          <cell r="A430" t="str">
            <v>BX14</v>
          </cell>
          <cell r="B430">
            <v>395</v>
          </cell>
          <cell r="C430" t="str">
            <v>Bubung Genteng pres Bulat Ex Jatiwangi</v>
          </cell>
          <cell r="D430" t="str">
            <v>bh</v>
          </cell>
          <cell r="E430">
            <v>3300</v>
          </cell>
        </row>
        <row r="431">
          <cell r="A431" t="str">
            <v>BX15</v>
          </cell>
          <cell r="B431">
            <v>396</v>
          </cell>
          <cell r="C431" t="str">
            <v>Genteng Bubungan Ex Jatiwangi Segi Tiga</v>
          </cell>
          <cell r="D431" t="str">
            <v>bh</v>
          </cell>
          <cell r="E431">
            <v>2300</v>
          </cell>
        </row>
        <row r="432">
          <cell r="A432" t="str">
            <v>BX16</v>
          </cell>
          <cell r="B432">
            <v>397</v>
          </cell>
          <cell r="C432" t="str">
            <v>Genteng Bubungan Beton</v>
          </cell>
          <cell r="D432" t="str">
            <v>bh</v>
          </cell>
          <cell r="E432">
            <v>5500</v>
          </cell>
        </row>
        <row r="433">
          <cell r="A433" t="str">
            <v>BX17</v>
          </cell>
          <cell r="B433">
            <v>398</v>
          </cell>
          <cell r="C433" t="str">
            <v>Genteng Metal  ( Rainbow Roof )</v>
          </cell>
          <cell r="D433" t="str">
            <v>m²</v>
          </cell>
          <cell r="E433">
            <v>125000</v>
          </cell>
        </row>
        <row r="434">
          <cell r="A434" t="str">
            <v>BX18</v>
          </cell>
          <cell r="B434">
            <v>399</v>
          </cell>
          <cell r="C434" t="str">
            <v xml:space="preserve">Genteng Metal Hana </v>
          </cell>
          <cell r="D434" t="str">
            <v>m²</v>
          </cell>
          <cell r="E434">
            <v>90750</v>
          </cell>
        </row>
        <row r="435">
          <cell r="A435" t="str">
            <v>BX19</v>
          </cell>
          <cell r="B435">
            <v>400</v>
          </cell>
          <cell r="C435" t="str">
            <v>Nok Atas Metal ( Rainbow Roof )</v>
          </cell>
          <cell r="D435" t="str">
            <v>m1</v>
          </cell>
          <cell r="E435">
            <v>81950</v>
          </cell>
        </row>
        <row r="436">
          <cell r="A436" t="str">
            <v>BX20</v>
          </cell>
          <cell r="B436">
            <v>401</v>
          </cell>
          <cell r="C436" t="str">
            <v>Nok Atas Metal Hana</v>
          </cell>
          <cell r="D436" t="str">
            <v>m1</v>
          </cell>
          <cell r="E436">
            <v>44000</v>
          </cell>
        </row>
        <row r="437">
          <cell r="A437" t="str">
            <v>BX21</v>
          </cell>
          <cell r="B437">
            <v>402</v>
          </cell>
          <cell r="C437" t="str">
            <v>Nok Pinggir Metal ( Rainbow Roof )</v>
          </cell>
          <cell r="D437" t="str">
            <v>m1</v>
          </cell>
          <cell r="E437">
            <v>57000</v>
          </cell>
        </row>
        <row r="438">
          <cell r="A438" t="str">
            <v>BX22</v>
          </cell>
          <cell r="B438">
            <v>403</v>
          </cell>
          <cell r="C438" t="str">
            <v>Nok Pinggir Hana</v>
          </cell>
          <cell r="D438" t="str">
            <v>m1</v>
          </cell>
          <cell r="E438">
            <v>44000</v>
          </cell>
        </row>
        <row r="439">
          <cell r="A439" t="str">
            <v>BX23</v>
          </cell>
          <cell r="B439">
            <v>404</v>
          </cell>
          <cell r="C439" t="str">
            <v>Wall Flashing ( Rainbow Roof )</v>
          </cell>
          <cell r="D439" t="str">
            <v>m1</v>
          </cell>
          <cell r="E439">
            <v>57000</v>
          </cell>
        </row>
        <row r="440">
          <cell r="A440" t="str">
            <v>BX24</v>
          </cell>
          <cell r="B440">
            <v>405</v>
          </cell>
          <cell r="C440" t="str">
            <v>Wall Flashing Hana</v>
          </cell>
          <cell r="D440" t="str">
            <v>m1</v>
          </cell>
          <cell r="E440">
            <v>44000</v>
          </cell>
        </row>
        <row r="441">
          <cell r="A441" t="str">
            <v>BX25</v>
          </cell>
          <cell r="B441">
            <v>406</v>
          </cell>
          <cell r="C441" t="str">
            <v>Atap Genteng Beton Warna 14,5/m2</v>
          </cell>
          <cell r="D441" t="str">
            <v>m²</v>
          </cell>
          <cell r="E441">
            <v>52500</v>
          </cell>
        </row>
        <row r="442">
          <cell r="A442" t="str">
            <v>BX26</v>
          </cell>
          <cell r="B442">
            <v>407</v>
          </cell>
          <cell r="C442" t="str">
            <v>Genteng Beton Natural</v>
          </cell>
          <cell r="D442" t="str">
            <v>m²</v>
          </cell>
          <cell r="E442">
            <v>49950</v>
          </cell>
        </row>
        <row r="443">
          <cell r="A443" t="str">
            <v>BX27</v>
          </cell>
          <cell r="B443">
            <v>408</v>
          </cell>
          <cell r="C443" t="str">
            <v>Sirap Kelas I ( 80 / m2 )</v>
          </cell>
          <cell r="D443" t="str">
            <v>bh</v>
          </cell>
          <cell r="E443">
            <v>600</v>
          </cell>
        </row>
        <row r="444">
          <cell r="A444" t="str">
            <v>BX28</v>
          </cell>
          <cell r="B444">
            <v>409</v>
          </cell>
          <cell r="C444" t="str">
            <v>Genteng Keramik Natural Intan 14,5 / m2</v>
          </cell>
          <cell r="D444" t="str">
            <v>m²</v>
          </cell>
          <cell r="E444">
            <v>57200</v>
          </cell>
        </row>
        <row r="445">
          <cell r="A445" t="str">
            <v>BX29</v>
          </cell>
          <cell r="B445">
            <v>410</v>
          </cell>
          <cell r="C445" t="str">
            <v>Genteng Keramik Glasur Standard 14,5 / m2</v>
          </cell>
          <cell r="D445" t="str">
            <v>m²</v>
          </cell>
          <cell r="E445">
            <v>64350</v>
          </cell>
        </row>
        <row r="446">
          <cell r="A446" t="str">
            <v>BX30</v>
          </cell>
          <cell r="B446">
            <v>411</v>
          </cell>
          <cell r="C446" t="str">
            <v>Genteng Keramik Glasur Special 14,5 / m2</v>
          </cell>
          <cell r="D446" t="str">
            <v>m²</v>
          </cell>
          <cell r="E446">
            <v>68200</v>
          </cell>
        </row>
        <row r="447">
          <cell r="A447" t="str">
            <v>BX31</v>
          </cell>
          <cell r="B447">
            <v>412</v>
          </cell>
          <cell r="C447" t="str">
            <v>Genteng Keramik Glasur Premium 14,5 / m2</v>
          </cell>
          <cell r="D447" t="str">
            <v>m²</v>
          </cell>
          <cell r="E447">
            <v>76700</v>
          </cell>
        </row>
        <row r="448">
          <cell r="A448" t="str">
            <v>BX32</v>
          </cell>
          <cell r="B448">
            <v>413</v>
          </cell>
          <cell r="C448" t="str">
            <v>Genteng Murando Natural 1m2 = 20 bh</v>
          </cell>
          <cell r="D448" t="str">
            <v>bh</v>
          </cell>
          <cell r="E448">
            <v>1500</v>
          </cell>
        </row>
        <row r="449">
          <cell r="A449" t="str">
            <v>BX33</v>
          </cell>
          <cell r="B449">
            <v>414</v>
          </cell>
          <cell r="C449" t="str">
            <v>Genteng Murando Glasur 1m2 = 20 bh</v>
          </cell>
          <cell r="D449" t="str">
            <v>bh</v>
          </cell>
          <cell r="E449">
            <v>2200</v>
          </cell>
        </row>
        <row r="450">
          <cell r="A450" t="str">
            <v>BX34</v>
          </cell>
          <cell r="B450">
            <v>415</v>
          </cell>
          <cell r="C450" t="str">
            <v>Bubung Murando Natural</v>
          </cell>
          <cell r="D450" t="str">
            <v>bh</v>
          </cell>
          <cell r="E450">
            <v>2500</v>
          </cell>
        </row>
        <row r="451">
          <cell r="A451" t="str">
            <v>BX35</v>
          </cell>
          <cell r="B451">
            <v>416</v>
          </cell>
          <cell r="C451" t="str">
            <v>Bubung Murando Glasur</v>
          </cell>
          <cell r="D451" t="str">
            <v>bh</v>
          </cell>
          <cell r="E451">
            <v>5500</v>
          </cell>
        </row>
        <row r="452">
          <cell r="A452" t="str">
            <v>BX36</v>
          </cell>
          <cell r="B452">
            <v>417</v>
          </cell>
          <cell r="C452" t="str">
            <v>Bubungan Genteng Keramik</v>
          </cell>
          <cell r="D452" t="str">
            <v>bh</v>
          </cell>
          <cell r="E452">
            <v>5000</v>
          </cell>
        </row>
        <row r="454">
          <cell r="C454" t="str">
            <v>N. BAHAN MEKANIKAL</v>
          </cell>
        </row>
        <row r="455">
          <cell r="A455" t="str">
            <v>BZ01</v>
          </cell>
          <cell r="B455">
            <v>418</v>
          </cell>
          <cell r="C455" t="str">
            <v>Jockey Pump kap. 80 gln / menit 100 m1  ( 18,6 kW )</v>
          </cell>
          <cell r="D455" t="str">
            <v>unit</v>
          </cell>
          <cell r="E455">
            <v>35000000</v>
          </cell>
        </row>
        <row r="456">
          <cell r="A456" t="str">
            <v>BZ02</v>
          </cell>
          <cell r="B456">
            <v>419</v>
          </cell>
          <cell r="C456" t="str">
            <v>Electrical Pump kap. 750 gln / menit 120 m1  ( 90 kW )</v>
          </cell>
          <cell r="D456" t="str">
            <v>unit</v>
          </cell>
          <cell r="E456">
            <v>120000000</v>
          </cell>
        </row>
        <row r="457">
          <cell r="A457" t="str">
            <v>BZ03</v>
          </cell>
          <cell r="B457">
            <v>420</v>
          </cell>
          <cell r="C457" t="str">
            <v>Diesel Pump kap. 750 gln / menit 120 m1  ( 105 kW )</v>
          </cell>
          <cell r="D457" t="str">
            <v>unit</v>
          </cell>
          <cell r="E457">
            <v>300000000</v>
          </cell>
        </row>
        <row r="458">
          <cell r="A458" t="str">
            <v>BZ04</v>
          </cell>
          <cell r="B458">
            <v>421</v>
          </cell>
          <cell r="C458" t="str">
            <v xml:space="preserve">Presure Tank kap. 500 liter lengkap </v>
          </cell>
          <cell r="D458" t="str">
            <v>unit</v>
          </cell>
          <cell r="E458">
            <v>17500000</v>
          </cell>
        </row>
        <row r="459">
          <cell r="A459" t="str">
            <v>BZ05</v>
          </cell>
          <cell r="B459">
            <v>422</v>
          </cell>
          <cell r="C459" t="str">
            <v>Hydran Box dalam Gedung  (lengkap)</v>
          </cell>
          <cell r="D459" t="str">
            <v>unit</v>
          </cell>
          <cell r="E459">
            <v>3100000</v>
          </cell>
        </row>
        <row r="460">
          <cell r="A460" t="str">
            <v>BZ06</v>
          </cell>
          <cell r="B460">
            <v>423</v>
          </cell>
          <cell r="C460" t="str">
            <v>Fire House 1.5 x 30 m + nose</v>
          </cell>
          <cell r="D460" t="str">
            <v>unit</v>
          </cell>
          <cell r="E460">
            <v>2500000</v>
          </cell>
        </row>
        <row r="461">
          <cell r="A461" t="str">
            <v>BZ07</v>
          </cell>
          <cell r="B461">
            <v>424</v>
          </cell>
          <cell r="C461" t="str">
            <v>Exhouse Fan H 360 W 60 x 60 cm</v>
          </cell>
          <cell r="D461" t="str">
            <v>unit</v>
          </cell>
          <cell r="E461">
            <v>3500000</v>
          </cell>
        </row>
        <row r="462">
          <cell r="A462" t="str">
            <v>BZ08</v>
          </cell>
          <cell r="B462">
            <v>425</v>
          </cell>
          <cell r="C462" t="str">
            <v xml:space="preserve">Exhouse Fan H 380 W CFM 55 x 55 cm </v>
          </cell>
          <cell r="D462" t="str">
            <v>unit</v>
          </cell>
          <cell r="E462">
            <v>3100000</v>
          </cell>
        </row>
        <row r="463">
          <cell r="A463" t="str">
            <v>BZ09</v>
          </cell>
          <cell r="B463">
            <v>426</v>
          </cell>
          <cell r="C463" t="str">
            <v xml:space="preserve">Exhouse Fan H 100 W 40 x 40 cm </v>
          </cell>
          <cell r="D463" t="str">
            <v>unit</v>
          </cell>
          <cell r="E463">
            <v>600000</v>
          </cell>
        </row>
        <row r="464">
          <cell r="A464" t="str">
            <v>BZ10</v>
          </cell>
          <cell r="B464">
            <v>427</v>
          </cell>
          <cell r="C464" t="str">
            <v>AC Split 3 PK Setara TOSHIBA</v>
          </cell>
          <cell r="D464" t="str">
            <v>unit</v>
          </cell>
          <cell r="E464">
            <v>8750000</v>
          </cell>
        </row>
        <row r="465">
          <cell r="A465" t="str">
            <v>BZ11</v>
          </cell>
          <cell r="B465">
            <v>428</v>
          </cell>
          <cell r="C465" t="str">
            <v>AC Split  2 PK Setara TOSHIBA</v>
          </cell>
          <cell r="D465" t="str">
            <v>unit</v>
          </cell>
          <cell r="E465">
            <v>6500000</v>
          </cell>
        </row>
        <row r="466">
          <cell r="A466" t="str">
            <v>BZ12</v>
          </cell>
          <cell r="B466">
            <v>429</v>
          </cell>
          <cell r="C466" t="str">
            <v>AC Split  1 PK Setara TOSHIBA</v>
          </cell>
          <cell r="D466" t="str">
            <v>unit</v>
          </cell>
          <cell r="E466">
            <v>3500000</v>
          </cell>
        </row>
        <row r="467">
          <cell r="A467" t="str">
            <v>BZ13</v>
          </cell>
          <cell r="B467">
            <v>430</v>
          </cell>
          <cell r="C467" t="str">
            <v>Mesin AC Split  DAIKIN ( Indoor / Outdoor Unit )</v>
          </cell>
          <cell r="D467" t="str">
            <v xml:space="preserve">1 BTU </v>
          </cell>
          <cell r="E467">
            <v>1500</v>
          </cell>
        </row>
        <row r="470">
          <cell r="C470" t="str">
            <v>O. BAHAN ELEKTRIKAL</v>
          </cell>
          <cell r="D470">
            <v>1.5</v>
          </cell>
        </row>
        <row r="471">
          <cell r="A471" t="str">
            <v>BZ16</v>
          </cell>
          <cell r="B471">
            <v>431</v>
          </cell>
          <cell r="C471" t="str">
            <v>Kabel NYA  1x 1.5  Prima (1 rol = 50 m')</v>
          </cell>
          <cell r="D471" t="str">
            <v>ROLL</v>
          </cell>
          <cell r="E471">
            <v>51500</v>
          </cell>
        </row>
        <row r="472">
          <cell r="A472" t="str">
            <v>BZ17</v>
          </cell>
          <cell r="B472">
            <v>432</v>
          </cell>
          <cell r="C472" t="str">
            <v>Kabel NYA  1x 2.5  Prima (1 rol = 50 m')</v>
          </cell>
          <cell r="D472" t="str">
            <v>ROLL</v>
          </cell>
          <cell r="E472">
            <v>72000</v>
          </cell>
        </row>
        <row r="473">
          <cell r="A473" t="str">
            <v>BZ18</v>
          </cell>
          <cell r="B473">
            <v>433</v>
          </cell>
          <cell r="C473" t="str">
            <v>Kabel NYM 2 x 1.5 Prima (1 rol = 50 m')</v>
          </cell>
          <cell r="D473" t="str">
            <v>m'</v>
          </cell>
          <cell r="E473">
            <v>1500</v>
          </cell>
        </row>
        <row r="474">
          <cell r="A474" t="str">
            <v>BZ19</v>
          </cell>
          <cell r="B474">
            <v>434</v>
          </cell>
          <cell r="C474" t="str">
            <v>Kabel NYM 3 x 1.5 Prima (1 rol = 50 m')</v>
          </cell>
          <cell r="D474" t="str">
            <v>m'</v>
          </cell>
          <cell r="E474">
            <v>2500</v>
          </cell>
        </row>
        <row r="475">
          <cell r="A475" t="str">
            <v>BZ20</v>
          </cell>
          <cell r="B475">
            <v>435</v>
          </cell>
          <cell r="C475" t="str">
            <v>Kabel NYM 2 x 2.5 Prima (1 rol = 50 m')</v>
          </cell>
          <cell r="D475" t="str">
            <v>m'</v>
          </cell>
          <cell r="E475">
            <v>2000</v>
          </cell>
        </row>
        <row r="476">
          <cell r="A476" t="str">
            <v>BZ21</v>
          </cell>
          <cell r="B476">
            <v>436</v>
          </cell>
          <cell r="C476" t="str">
            <v>Kabel NYM 3 x 2.5 Prima (1 rol = 50 m')</v>
          </cell>
          <cell r="D476" t="str">
            <v>m'</v>
          </cell>
          <cell r="E476">
            <v>3500</v>
          </cell>
        </row>
        <row r="477">
          <cell r="A477" t="str">
            <v>BZ22</v>
          </cell>
          <cell r="B477">
            <v>437</v>
          </cell>
          <cell r="C477" t="str">
            <v>Kabel NYM 4 x 2.5 Prima (1 rol = 50 m')</v>
          </cell>
          <cell r="D477" t="str">
            <v>m'</v>
          </cell>
          <cell r="E477">
            <v>3000</v>
          </cell>
        </row>
        <row r="478">
          <cell r="A478" t="str">
            <v>BZ23</v>
          </cell>
          <cell r="B478">
            <v>438</v>
          </cell>
          <cell r="C478" t="str">
            <v>Kabel NYM 2 x 4    Prima (1 rol = 50 m')</v>
          </cell>
          <cell r="D478" t="str">
            <v>m'</v>
          </cell>
          <cell r="E478">
            <v>2500</v>
          </cell>
        </row>
        <row r="479">
          <cell r="A479" t="str">
            <v>BZ24</v>
          </cell>
          <cell r="B479">
            <v>439</v>
          </cell>
          <cell r="C479" t="str">
            <v>Kabel NYM 3 x 4    Prima (1 rol = 50 m')</v>
          </cell>
          <cell r="D479" t="str">
            <v>m'</v>
          </cell>
          <cell r="E479">
            <v>5750</v>
          </cell>
        </row>
        <row r="480">
          <cell r="A480" t="str">
            <v>BZ25</v>
          </cell>
          <cell r="B480">
            <v>440</v>
          </cell>
          <cell r="C480" t="str">
            <v>Kabel NYM 4 x 4    Prima (1 rol = 50 m')</v>
          </cell>
          <cell r="D480" t="str">
            <v>m'</v>
          </cell>
          <cell r="E480">
            <v>8000</v>
          </cell>
        </row>
        <row r="481">
          <cell r="A481" t="str">
            <v>BZ26</v>
          </cell>
          <cell r="B481">
            <v>441</v>
          </cell>
          <cell r="C481" t="str">
            <v>Kabel NYM 2 x 6    Supreme (1 rol = 50 m')</v>
          </cell>
          <cell r="D481" t="str">
            <v>m'</v>
          </cell>
          <cell r="E481">
            <v>4500</v>
          </cell>
        </row>
        <row r="482">
          <cell r="A482" t="str">
            <v>BZ27</v>
          </cell>
          <cell r="B482">
            <v>442</v>
          </cell>
          <cell r="C482" t="str">
            <v>Kabel NYM 3 x 6    Supreme (1 rol = 50 m')</v>
          </cell>
          <cell r="D482" t="str">
            <v>m'</v>
          </cell>
          <cell r="E482">
            <v>6000</v>
          </cell>
        </row>
        <row r="483">
          <cell r="A483" t="str">
            <v>BZ28</v>
          </cell>
          <cell r="B483">
            <v>443</v>
          </cell>
          <cell r="C483" t="str">
            <v>Kabel NYM 4 x 6    Supreme (1 rol = 50 m')</v>
          </cell>
          <cell r="D483" t="str">
            <v>m'</v>
          </cell>
          <cell r="E483">
            <v>8000</v>
          </cell>
        </row>
        <row r="484">
          <cell r="A484" t="str">
            <v>BZ29</v>
          </cell>
          <cell r="B484">
            <v>444</v>
          </cell>
          <cell r="C484" t="str">
            <v>Kabel NYM 2 x 10  Supreme (1 rol = 50 m')</v>
          </cell>
          <cell r="D484" t="str">
            <v>m'</v>
          </cell>
          <cell r="E484">
            <v>7500</v>
          </cell>
        </row>
        <row r="485">
          <cell r="A485" t="str">
            <v>BZ30</v>
          </cell>
          <cell r="B485">
            <v>445</v>
          </cell>
          <cell r="C485" t="str">
            <v>Kabel NYM 3 x 10  Supreme (1 rol = 50 m')</v>
          </cell>
          <cell r="D485" t="str">
            <v>m'</v>
          </cell>
          <cell r="E485">
            <v>10000</v>
          </cell>
        </row>
        <row r="486">
          <cell r="A486" t="str">
            <v>BZ31</v>
          </cell>
          <cell r="B486">
            <v>446</v>
          </cell>
          <cell r="C486" t="str">
            <v>Kabel NYM 4 x 10  Supreme (1 rol = 50 m')</v>
          </cell>
          <cell r="D486" t="str">
            <v>m'</v>
          </cell>
          <cell r="E486">
            <v>11000</v>
          </cell>
        </row>
        <row r="487">
          <cell r="A487" t="str">
            <v>BZ32</v>
          </cell>
          <cell r="B487">
            <v>447</v>
          </cell>
          <cell r="C487" t="str">
            <v>Kabel NYM 4 x 16  Supreme (1 rol = 50 m')</v>
          </cell>
          <cell r="D487" t="str">
            <v>m'</v>
          </cell>
          <cell r="E487">
            <v>15000</v>
          </cell>
        </row>
        <row r="488">
          <cell r="A488" t="str">
            <v>BZ33</v>
          </cell>
          <cell r="B488">
            <v>448</v>
          </cell>
          <cell r="C488" t="str">
            <v>Kabel NYY 2  x 4    Supreme (1 rol = 50 m')</v>
          </cell>
          <cell r="D488" t="str">
            <v>m'</v>
          </cell>
          <cell r="E488">
            <v>4500</v>
          </cell>
        </row>
        <row r="489">
          <cell r="A489" t="str">
            <v>BZ34</v>
          </cell>
          <cell r="B489">
            <v>449</v>
          </cell>
          <cell r="C489" t="str">
            <v>Kabel NYY 3  x 4    Supreme (1 rol = 50 m')</v>
          </cell>
          <cell r="D489" t="str">
            <v>m'</v>
          </cell>
          <cell r="E489">
            <v>6000</v>
          </cell>
        </row>
        <row r="490">
          <cell r="A490" t="str">
            <v>BZ35</v>
          </cell>
          <cell r="B490">
            <v>450</v>
          </cell>
          <cell r="C490" t="str">
            <v>Kabel NYY 4  x 4    Supreme (1 rol = 50 m')</v>
          </cell>
          <cell r="D490" t="str">
            <v>m'</v>
          </cell>
          <cell r="E490">
            <v>10000</v>
          </cell>
        </row>
        <row r="491">
          <cell r="A491" t="str">
            <v>BZ36</v>
          </cell>
          <cell r="B491">
            <v>451</v>
          </cell>
          <cell r="C491" t="str">
            <v>Kabel NYY 2  x 6    Supreme (1 rol = 50 m')</v>
          </cell>
          <cell r="D491" t="str">
            <v>m'</v>
          </cell>
          <cell r="E491">
            <v>4500</v>
          </cell>
        </row>
        <row r="492">
          <cell r="A492" t="str">
            <v>BZ37</v>
          </cell>
          <cell r="B492">
            <v>452</v>
          </cell>
          <cell r="C492" t="str">
            <v>Kabel NYY 3  x 6    Supreme (1 rol = 50 m')</v>
          </cell>
          <cell r="D492" t="str">
            <v>m'</v>
          </cell>
          <cell r="E492">
            <v>7500</v>
          </cell>
        </row>
        <row r="493">
          <cell r="A493" t="str">
            <v>BZ38</v>
          </cell>
          <cell r="B493">
            <v>453</v>
          </cell>
          <cell r="C493" t="str">
            <v>Kabel NYY 4  x 6    Supreme (1 rol = 50 m')</v>
          </cell>
          <cell r="D493" t="str">
            <v>m'</v>
          </cell>
          <cell r="E493">
            <v>9250</v>
          </cell>
        </row>
        <row r="494">
          <cell r="A494" t="str">
            <v>BZ39</v>
          </cell>
          <cell r="B494">
            <v>454</v>
          </cell>
          <cell r="C494" t="str">
            <v>Kabel NYY 2 x 10   Supreme (1 rol = 50 m')</v>
          </cell>
          <cell r="D494" t="str">
            <v>m'</v>
          </cell>
          <cell r="E494">
            <v>8000</v>
          </cell>
        </row>
        <row r="495">
          <cell r="A495" t="str">
            <v>BZ40</v>
          </cell>
          <cell r="B495">
            <v>455</v>
          </cell>
          <cell r="C495" t="str">
            <v>Kabel NYY 3 x 10   Supreme (1 rol = 50 m')</v>
          </cell>
          <cell r="D495" t="str">
            <v>m'</v>
          </cell>
          <cell r="E495">
            <v>11000</v>
          </cell>
        </row>
        <row r="496">
          <cell r="A496" t="str">
            <v>BZ41</v>
          </cell>
          <cell r="B496">
            <v>456</v>
          </cell>
          <cell r="C496" t="str">
            <v>Kabel NYY 4 x 10   Supreme (1 rol = 50 m')</v>
          </cell>
          <cell r="D496" t="str">
            <v>m'</v>
          </cell>
          <cell r="E496">
            <v>13500</v>
          </cell>
        </row>
        <row r="497">
          <cell r="A497" t="str">
            <v>BZ42</v>
          </cell>
          <cell r="B497">
            <v>457</v>
          </cell>
          <cell r="C497" t="str">
            <v>Kabel NYY 4 x 16   Supreme (1 rol = 50 m')</v>
          </cell>
          <cell r="D497" t="str">
            <v>m'</v>
          </cell>
          <cell r="E497">
            <v>21500</v>
          </cell>
        </row>
        <row r="498">
          <cell r="A498" t="str">
            <v>BZ43</v>
          </cell>
          <cell r="B498">
            <v>458</v>
          </cell>
          <cell r="C498" t="str">
            <v>NSFB FUJI EA - 100 A</v>
          </cell>
          <cell r="D498" t="str">
            <v>bh</v>
          </cell>
          <cell r="E498">
            <v>425500</v>
          </cell>
        </row>
        <row r="499">
          <cell r="A499" t="str">
            <v>BZ44</v>
          </cell>
          <cell r="B499">
            <v>459</v>
          </cell>
          <cell r="C499" t="str">
            <v>NSFB FUJI EA - 150 A</v>
          </cell>
          <cell r="D499" t="str">
            <v>bh</v>
          </cell>
          <cell r="E499">
            <v>1100000</v>
          </cell>
        </row>
        <row r="500">
          <cell r="A500" t="str">
            <v>BZ45</v>
          </cell>
          <cell r="B500">
            <v>460</v>
          </cell>
          <cell r="C500" t="str">
            <v>Rumah Panel 30 x 60 cm (kosong)</v>
          </cell>
          <cell r="D500" t="str">
            <v>unt</v>
          </cell>
          <cell r="E500">
            <v>75000</v>
          </cell>
        </row>
        <row r="501">
          <cell r="A501" t="str">
            <v>BZ46</v>
          </cell>
          <cell r="B501">
            <v>461</v>
          </cell>
          <cell r="C501" t="str">
            <v>Skring Kas 2 grop Biasa</v>
          </cell>
          <cell r="D501" t="str">
            <v>unt</v>
          </cell>
          <cell r="E501">
            <v>86500</v>
          </cell>
        </row>
        <row r="502">
          <cell r="A502" t="str">
            <v>BZ47</v>
          </cell>
          <cell r="B502">
            <v>462</v>
          </cell>
          <cell r="C502" t="str">
            <v>Skring Kas 3 grop Biasa</v>
          </cell>
          <cell r="D502" t="str">
            <v>unt</v>
          </cell>
          <cell r="E502">
            <v>109500</v>
          </cell>
        </row>
        <row r="503">
          <cell r="A503" t="str">
            <v>BZ48</v>
          </cell>
          <cell r="B503">
            <v>463</v>
          </cell>
          <cell r="C503" t="str">
            <v>Skring Kas 5 grop Biasa</v>
          </cell>
          <cell r="D503" t="str">
            <v>unt</v>
          </cell>
          <cell r="E503">
            <v>230000</v>
          </cell>
        </row>
        <row r="504">
          <cell r="A504" t="str">
            <v>BZ49</v>
          </cell>
          <cell r="B504">
            <v>464</v>
          </cell>
          <cell r="C504" t="str">
            <v>MCB 1 PAS</v>
          </cell>
          <cell r="D504" t="str">
            <v>bh</v>
          </cell>
          <cell r="E504">
            <v>25500</v>
          </cell>
        </row>
        <row r="505">
          <cell r="A505" t="str">
            <v>BZ50</v>
          </cell>
          <cell r="B505">
            <v>465</v>
          </cell>
          <cell r="C505" t="str">
            <v>MCB 3 PAS</v>
          </cell>
          <cell r="D505" t="str">
            <v>bh</v>
          </cell>
          <cell r="E505">
            <v>32000</v>
          </cell>
        </row>
        <row r="506">
          <cell r="A506" t="str">
            <v>BZ51</v>
          </cell>
          <cell r="B506">
            <v>466</v>
          </cell>
          <cell r="C506" t="str">
            <v>Tahanan 50 A Merk Fuji</v>
          </cell>
          <cell r="D506" t="str">
            <v>bh</v>
          </cell>
          <cell r="E506">
            <v>259000</v>
          </cell>
        </row>
        <row r="507">
          <cell r="A507" t="str">
            <v>BZ53</v>
          </cell>
          <cell r="B507">
            <v>467</v>
          </cell>
          <cell r="C507" t="str">
            <v>Saklar Broko Tunggal Standard ( 1 Phase )</v>
          </cell>
          <cell r="D507" t="str">
            <v>bh</v>
          </cell>
          <cell r="E507">
            <v>12000</v>
          </cell>
        </row>
        <row r="509">
          <cell r="A509" t="str">
            <v>BZ54</v>
          </cell>
          <cell r="B509">
            <v>468</v>
          </cell>
          <cell r="C509" t="str">
            <v>Saklar Broko Seri Standard ( 1 Phase )</v>
          </cell>
          <cell r="D509" t="str">
            <v>bh</v>
          </cell>
          <cell r="E509">
            <v>12000</v>
          </cell>
        </row>
        <row r="510">
          <cell r="A510" t="str">
            <v>BZ55</v>
          </cell>
          <cell r="B510">
            <v>469</v>
          </cell>
          <cell r="C510" t="str">
            <v>Stop Kontak Broko Standard ( 1 Phase )</v>
          </cell>
          <cell r="D510" t="str">
            <v>bh</v>
          </cell>
          <cell r="E510">
            <v>13500</v>
          </cell>
        </row>
        <row r="511">
          <cell r="A511" t="str">
            <v>BZ56</v>
          </cell>
          <cell r="B511">
            <v>470</v>
          </cell>
          <cell r="C511" t="str">
            <v xml:space="preserve">Stop Kontak Broko 3 Phase ( Out Bow )  </v>
          </cell>
          <cell r="D511" t="str">
            <v>bh</v>
          </cell>
          <cell r="E511">
            <v>44550</v>
          </cell>
        </row>
        <row r="512">
          <cell r="A512" t="str">
            <v>BZ57</v>
          </cell>
          <cell r="B512">
            <v>471</v>
          </cell>
          <cell r="C512" t="str">
            <v xml:space="preserve">Stop Kontak Broko 3 Phase ( In Bow )  </v>
          </cell>
          <cell r="D512" t="str">
            <v>bh</v>
          </cell>
          <cell r="E512">
            <v>75900</v>
          </cell>
        </row>
        <row r="513">
          <cell r="A513" t="str">
            <v>BZ58</v>
          </cell>
          <cell r="B513">
            <v>472</v>
          </cell>
          <cell r="C513" t="str">
            <v xml:space="preserve">Stop Kontak Handle 3 Phase  </v>
          </cell>
          <cell r="D513" t="str">
            <v>bh</v>
          </cell>
          <cell r="E513">
            <v>44500</v>
          </cell>
        </row>
        <row r="514">
          <cell r="A514" t="str">
            <v>BZ59</v>
          </cell>
          <cell r="B514">
            <v>473</v>
          </cell>
          <cell r="C514" t="str">
            <v>Instalasi Titik Lampu / Stop Kontak ( Upah dan Alat )</v>
          </cell>
          <cell r="D514" t="str">
            <v>ttk</v>
          </cell>
          <cell r="E514">
            <v>90800</v>
          </cell>
        </row>
        <row r="515">
          <cell r="A515" t="str">
            <v>BZ60</v>
          </cell>
          <cell r="B515">
            <v>474</v>
          </cell>
          <cell r="C515" t="str">
            <v>Lampu pijar 25 Watt s/d 100 Watt</v>
          </cell>
          <cell r="D515" t="str">
            <v>bh</v>
          </cell>
          <cell r="E515">
            <v>4750</v>
          </cell>
        </row>
        <row r="516">
          <cell r="A516" t="str">
            <v>BZ61</v>
          </cell>
          <cell r="B516">
            <v>475</v>
          </cell>
          <cell r="C516" t="str">
            <v>Lampu Neon TL Philip 20 W</v>
          </cell>
          <cell r="D516" t="str">
            <v>bh</v>
          </cell>
          <cell r="E516">
            <v>13500</v>
          </cell>
        </row>
        <row r="517">
          <cell r="A517" t="str">
            <v>BZ62</v>
          </cell>
          <cell r="B517">
            <v>476</v>
          </cell>
          <cell r="C517" t="str">
            <v>Lampu Neon TL Philip 40 W</v>
          </cell>
          <cell r="D517" t="str">
            <v>bh</v>
          </cell>
          <cell r="E517">
            <v>18000</v>
          </cell>
        </row>
        <row r="518">
          <cell r="A518" t="str">
            <v>BZ63</v>
          </cell>
          <cell r="B518">
            <v>477</v>
          </cell>
          <cell r="C518" t="str">
            <v>Trapo TL 20 W ( Philip )</v>
          </cell>
          <cell r="D518" t="str">
            <v>bh</v>
          </cell>
          <cell r="E518">
            <v>20000</v>
          </cell>
        </row>
        <row r="519">
          <cell r="A519" t="str">
            <v>BZ64</v>
          </cell>
          <cell r="B519">
            <v>478</v>
          </cell>
          <cell r="C519" t="str">
            <v>Trapo TL 40 W ( Philip )</v>
          </cell>
          <cell r="D519" t="str">
            <v>bh</v>
          </cell>
          <cell r="E519">
            <v>21000</v>
          </cell>
        </row>
        <row r="520">
          <cell r="A520" t="str">
            <v>BZ65</v>
          </cell>
          <cell r="B520">
            <v>479</v>
          </cell>
          <cell r="C520" t="str">
            <v>Trapo TL 20 W ( Sinar )</v>
          </cell>
          <cell r="D520" t="str">
            <v>bh</v>
          </cell>
          <cell r="E520">
            <v>17500</v>
          </cell>
        </row>
        <row r="521">
          <cell r="A521" t="str">
            <v>BZ66</v>
          </cell>
          <cell r="B521">
            <v>480</v>
          </cell>
          <cell r="C521" t="str">
            <v>Trapo TL 40 W ( Sinar )</v>
          </cell>
          <cell r="D521" t="str">
            <v>bh</v>
          </cell>
          <cell r="E521">
            <v>16600</v>
          </cell>
        </row>
        <row r="522">
          <cell r="A522" t="str">
            <v>BZ67</v>
          </cell>
          <cell r="B522">
            <v>481</v>
          </cell>
          <cell r="C522" t="str">
            <v>Stater Neon Philip</v>
          </cell>
          <cell r="D522" t="str">
            <v>bh</v>
          </cell>
          <cell r="E522">
            <v>2750</v>
          </cell>
        </row>
        <row r="523">
          <cell r="A523" t="str">
            <v>BZ68</v>
          </cell>
          <cell r="B523">
            <v>482</v>
          </cell>
          <cell r="C523" t="str">
            <v>Stater Neon Biasa</v>
          </cell>
          <cell r="D523" t="str">
            <v>bh</v>
          </cell>
          <cell r="E523">
            <v>1400</v>
          </cell>
        </row>
        <row r="524">
          <cell r="A524" t="str">
            <v>BZ69</v>
          </cell>
          <cell r="B524">
            <v>483</v>
          </cell>
          <cell r="C524" t="str">
            <v>Rumah TL In Bow / Out Bow 2 x 20 W ( Kosongan )</v>
          </cell>
          <cell r="D524" t="str">
            <v>bh</v>
          </cell>
          <cell r="E524">
            <v>57200</v>
          </cell>
        </row>
        <row r="525">
          <cell r="A525" t="str">
            <v>BZ70</v>
          </cell>
          <cell r="B525">
            <v>484</v>
          </cell>
          <cell r="C525" t="str">
            <v>Down Light + SL 25 W</v>
          </cell>
          <cell r="D525" t="str">
            <v>bh</v>
          </cell>
          <cell r="E525">
            <v>151000</v>
          </cell>
        </row>
        <row r="526">
          <cell r="A526" t="str">
            <v>BZ71</v>
          </cell>
          <cell r="B526">
            <v>485</v>
          </cell>
          <cell r="C526" t="str">
            <v>Lampu SL Philip 25 W</v>
          </cell>
          <cell r="D526" t="str">
            <v>bh</v>
          </cell>
          <cell r="E526">
            <v>66600</v>
          </cell>
        </row>
        <row r="527">
          <cell r="A527" t="str">
            <v>BZ72</v>
          </cell>
          <cell r="B527">
            <v>486</v>
          </cell>
          <cell r="C527" t="str">
            <v>Lampu Sirkel TL 20 W Lengkap</v>
          </cell>
          <cell r="D527" t="str">
            <v>bh</v>
          </cell>
          <cell r="E527">
            <v>34650</v>
          </cell>
        </row>
        <row r="528">
          <cell r="A528" t="str">
            <v>BZ73</v>
          </cell>
          <cell r="B528">
            <v>487</v>
          </cell>
          <cell r="C528" t="str">
            <v>Lampu Mercuri 80 W</v>
          </cell>
          <cell r="D528" t="str">
            <v>bh</v>
          </cell>
          <cell r="E528">
            <v>60000</v>
          </cell>
        </row>
        <row r="529">
          <cell r="A529" t="str">
            <v>BZ74</v>
          </cell>
          <cell r="B529">
            <v>488</v>
          </cell>
          <cell r="C529" t="str">
            <v xml:space="preserve">Lampu Taman + Tiang + Lampu 1 Buah </v>
          </cell>
          <cell r="D529" t="str">
            <v>bh</v>
          </cell>
          <cell r="E529">
            <v>160000</v>
          </cell>
        </row>
        <row r="530">
          <cell r="A530" t="str">
            <v>BZ75</v>
          </cell>
          <cell r="B530">
            <v>489</v>
          </cell>
          <cell r="C530" t="str">
            <v>Lampu Baret 30 cm + Neon</v>
          </cell>
          <cell r="D530" t="str">
            <v>bh</v>
          </cell>
          <cell r="E530">
            <v>112700</v>
          </cell>
        </row>
        <row r="531">
          <cell r="A531" t="str">
            <v>BZ76</v>
          </cell>
          <cell r="B531">
            <v>490</v>
          </cell>
          <cell r="C531" t="str">
            <v xml:space="preserve">Lampu Neon Arcrilik 2 x 40 W lengkap </v>
          </cell>
          <cell r="D531" t="str">
            <v>bh</v>
          </cell>
          <cell r="E531">
            <v>394350</v>
          </cell>
        </row>
        <row r="532">
          <cell r="A532" t="str">
            <v>BZ77</v>
          </cell>
          <cell r="B532">
            <v>491</v>
          </cell>
          <cell r="C532" t="str">
            <v>Jarum Penangkal Petir 16</v>
          </cell>
          <cell r="D532" t="str">
            <v>bh</v>
          </cell>
          <cell r="E532">
            <v>52900</v>
          </cell>
        </row>
        <row r="533">
          <cell r="A533" t="str">
            <v>BZ78</v>
          </cell>
          <cell r="B533">
            <v>492</v>
          </cell>
          <cell r="C533" t="str">
            <v>Kawat BC ( Tembaga )</v>
          </cell>
          <cell r="D533" t="str">
            <v>kg</v>
          </cell>
          <cell r="E533">
            <v>11550</v>
          </cell>
        </row>
        <row r="534">
          <cell r="A534" t="str">
            <v>BZ79</v>
          </cell>
          <cell r="B534">
            <v>493</v>
          </cell>
          <cell r="C534" t="str">
            <v>Pentanahan Penangkal Petir</v>
          </cell>
          <cell r="D534" t="str">
            <v>ttk</v>
          </cell>
          <cell r="E534">
            <v>222750</v>
          </cell>
        </row>
        <row r="535">
          <cell r="A535" t="str">
            <v>BZ80</v>
          </cell>
          <cell r="B535">
            <v>494</v>
          </cell>
          <cell r="C535" t="str">
            <v>Pentanahan Panel</v>
          </cell>
          <cell r="D535" t="str">
            <v>ttk</v>
          </cell>
          <cell r="E535">
            <v>96250</v>
          </cell>
        </row>
        <row r="537">
          <cell r="C537" t="str">
            <v>P. BAHAN ALAT PENGANTUNG DAN KUNCI</v>
          </cell>
        </row>
        <row r="538">
          <cell r="A538" t="str">
            <v>CC01</v>
          </cell>
          <cell r="B538">
            <v>495</v>
          </cell>
          <cell r="C538" t="str">
            <v>Kunci Silinder ALFA untuk Pintu Alumunium</v>
          </cell>
          <cell r="D538" t="str">
            <v>bh</v>
          </cell>
          <cell r="E538">
            <v>150000</v>
          </cell>
        </row>
        <row r="539">
          <cell r="A539" t="str">
            <v>CC02</v>
          </cell>
          <cell r="B539">
            <v>496</v>
          </cell>
          <cell r="C539" t="str">
            <v>Tarikan Pintu Alumunium</v>
          </cell>
          <cell r="D539" t="str">
            <v>bh</v>
          </cell>
          <cell r="E539">
            <v>150000</v>
          </cell>
        </row>
        <row r="540">
          <cell r="A540" t="str">
            <v>CC03</v>
          </cell>
          <cell r="B540">
            <v>497</v>
          </cell>
          <cell r="C540" t="str">
            <v xml:space="preserve">Kunci 2 Slaag ROYAL </v>
          </cell>
          <cell r="D540" t="str">
            <v>bh</v>
          </cell>
          <cell r="E540">
            <v>45000</v>
          </cell>
        </row>
        <row r="541">
          <cell r="A541" t="str">
            <v>CC04</v>
          </cell>
          <cell r="B541">
            <v>498</v>
          </cell>
          <cell r="C541" t="str">
            <v>Rel Henderson Lengkap</v>
          </cell>
          <cell r="D541" t="str">
            <v>bh</v>
          </cell>
          <cell r="E541">
            <v>453000</v>
          </cell>
        </row>
        <row r="542">
          <cell r="A542" t="str">
            <v>CC05</v>
          </cell>
          <cell r="B542">
            <v>499</v>
          </cell>
          <cell r="C542" t="str">
            <v>Rel Maraton I Pintu</v>
          </cell>
          <cell r="D542" t="str">
            <v>unt</v>
          </cell>
          <cell r="E542">
            <v>50000</v>
          </cell>
        </row>
        <row r="543">
          <cell r="A543" t="str">
            <v>CC06</v>
          </cell>
          <cell r="B543">
            <v>500</v>
          </cell>
          <cell r="C543" t="str">
            <v xml:space="preserve">Kunci 2 Slaag Silinder SEIS Asli type 210 s/d type 226 </v>
          </cell>
          <cell r="D543" t="str">
            <v>bh</v>
          </cell>
          <cell r="E543">
            <v>156000</v>
          </cell>
        </row>
        <row r="544">
          <cell r="A544" t="str">
            <v>CC07</v>
          </cell>
          <cell r="B544">
            <v>501</v>
          </cell>
          <cell r="C544" t="str">
            <v>Kunci 2 Slaag Ancor Asli</v>
          </cell>
          <cell r="D544" t="str">
            <v>bh</v>
          </cell>
          <cell r="E544">
            <v>65000</v>
          </cell>
        </row>
        <row r="545">
          <cell r="A545" t="str">
            <v>CC08</v>
          </cell>
          <cell r="B545">
            <v>502</v>
          </cell>
          <cell r="C545" t="str">
            <v>Kunci 2 Slaag ISO</v>
          </cell>
          <cell r="D545" t="str">
            <v>bh</v>
          </cell>
          <cell r="E545">
            <v>75000</v>
          </cell>
        </row>
        <row r="546">
          <cell r="A546" t="str">
            <v>CC09</v>
          </cell>
          <cell r="B546">
            <v>503</v>
          </cell>
          <cell r="C546" t="str">
            <v xml:space="preserve">Kunci KM Bulat Kualitas Biasa </v>
          </cell>
          <cell r="D546" t="str">
            <v>bh</v>
          </cell>
          <cell r="E546">
            <v>30000</v>
          </cell>
        </row>
        <row r="547">
          <cell r="A547" t="str">
            <v>CC10</v>
          </cell>
          <cell r="B547">
            <v>504</v>
          </cell>
          <cell r="C547" t="str">
            <v xml:space="preserve">Kunci  KM Bulat ALFA </v>
          </cell>
          <cell r="D547" t="str">
            <v>bh</v>
          </cell>
          <cell r="E547">
            <v>40000</v>
          </cell>
        </row>
        <row r="548">
          <cell r="A548" t="str">
            <v>CC11</v>
          </cell>
          <cell r="B548">
            <v>505</v>
          </cell>
          <cell r="C548" t="str">
            <v xml:space="preserve">Kunci 2 Slaag Silinder Utama Standard </v>
          </cell>
          <cell r="D548" t="str">
            <v>bh</v>
          </cell>
          <cell r="E548">
            <v>190000</v>
          </cell>
        </row>
        <row r="549">
          <cell r="A549" t="str">
            <v>CC12</v>
          </cell>
          <cell r="B549">
            <v>506</v>
          </cell>
          <cell r="C549" t="str">
            <v xml:space="preserve">Kunci Gembok Besar </v>
          </cell>
          <cell r="D549" t="str">
            <v>bh</v>
          </cell>
          <cell r="E549">
            <v>45000</v>
          </cell>
        </row>
        <row r="550">
          <cell r="A550" t="str">
            <v>CC13</v>
          </cell>
          <cell r="B550">
            <v>507</v>
          </cell>
          <cell r="C550" t="str">
            <v xml:space="preserve">Kunci 2 Slaag Kuda Terbang </v>
          </cell>
          <cell r="D550" t="str">
            <v>bh</v>
          </cell>
          <cell r="E550">
            <v>40000</v>
          </cell>
        </row>
        <row r="551">
          <cell r="A551" t="str">
            <v>CC14</v>
          </cell>
          <cell r="B551">
            <v>508</v>
          </cell>
          <cell r="C551" t="str">
            <v>Espangolet</v>
          </cell>
          <cell r="D551" t="str">
            <v>ps</v>
          </cell>
          <cell r="E551">
            <v>22500</v>
          </cell>
        </row>
        <row r="552">
          <cell r="A552" t="str">
            <v>CC15</v>
          </cell>
          <cell r="B552">
            <v>509</v>
          </cell>
          <cell r="C552" t="str">
            <v>Grendel 15 cm</v>
          </cell>
          <cell r="D552" t="str">
            <v>bh</v>
          </cell>
          <cell r="E552">
            <v>8000</v>
          </cell>
        </row>
        <row r="553">
          <cell r="A553" t="str">
            <v>CC16</v>
          </cell>
          <cell r="B553">
            <v>510</v>
          </cell>
          <cell r="C553" t="str">
            <v>Grendel 5 cm</v>
          </cell>
          <cell r="D553" t="str">
            <v>bh</v>
          </cell>
          <cell r="E553">
            <v>2000</v>
          </cell>
        </row>
        <row r="554">
          <cell r="A554" t="str">
            <v>CC17</v>
          </cell>
          <cell r="B554">
            <v>511</v>
          </cell>
          <cell r="C554" t="str">
            <v>Hak Angin Kait Jendela Biasa</v>
          </cell>
          <cell r="D554" t="str">
            <v>ps</v>
          </cell>
          <cell r="E554">
            <v>3000</v>
          </cell>
        </row>
        <row r="555">
          <cell r="A555" t="str">
            <v>CC18</v>
          </cell>
          <cell r="B555">
            <v>512</v>
          </cell>
          <cell r="C555" t="str">
            <v>Hak Angin Jendela Antik</v>
          </cell>
          <cell r="D555" t="str">
            <v>ps</v>
          </cell>
          <cell r="E555">
            <v>13000</v>
          </cell>
        </row>
        <row r="556">
          <cell r="A556" t="str">
            <v>CC19</v>
          </cell>
          <cell r="B556">
            <v>513</v>
          </cell>
          <cell r="C556" t="str">
            <v>Hak Angin Sendok Stainless / Kuningan</v>
          </cell>
          <cell r="D556" t="str">
            <v>bh</v>
          </cell>
          <cell r="E556">
            <v>17500</v>
          </cell>
        </row>
        <row r="557">
          <cell r="A557" t="str">
            <v>CC20</v>
          </cell>
          <cell r="B557">
            <v>514</v>
          </cell>
          <cell r="C557" t="str">
            <v>Nako Lengkap Tralis 1 Daun</v>
          </cell>
          <cell r="D557" t="str">
            <v>dn</v>
          </cell>
          <cell r="E557">
            <v>10000</v>
          </cell>
        </row>
        <row r="558">
          <cell r="A558" t="str">
            <v>CC21</v>
          </cell>
          <cell r="B558">
            <v>515</v>
          </cell>
          <cell r="C558" t="str">
            <v>Sloot Pintu berikut  Rantai</v>
          </cell>
          <cell r="D558" t="str">
            <v>bh</v>
          </cell>
          <cell r="E558">
            <v>17500</v>
          </cell>
        </row>
        <row r="559">
          <cell r="A559" t="str">
            <v>CC22</v>
          </cell>
          <cell r="B559">
            <v>516</v>
          </cell>
          <cell r="C559" t="str">
            <v>Sloot Jendela Tunggal</v>
          </cell>
          <cell r="D559" t="str">
            <v>bh</v>
          </cell>
          <cell r="E559">
            <v>6500</v>
          </cell>
        </row>
        <row r="560">
          <cell r="A560" t="str">
            <v>CC23</v>
          </cell>
          <cell r="B560">
            <v>517</v>
          </cell>
          <cell r="C560" t="str">
            <v>Engsel Pintu Unilon Standard</v>
          </cell>
          <cell r="D560" t="str">
            <v>ps</v>
          </cell>
          <cell r="E560">
            <v>7000</v>
          </cell>
        </row>
        <row r="561">
          <cell r="A561" t="str">
            <v>CC24</v>
          </cell>
          <cell r="B561">
            <v>518</v>
          </cell>
          <cell r="C561" t="str">
            <v>Engsel Jendela Unilon</v>
          </cell>
          <cell r="D561" t="str">
            <v>ps</v>
          </cell>
          <cell r="E561">
            <v>6300</v>
          </cell>
        </row>
        <row r="562">
          <cell r="A562" t="str">
            <v>CC25</v>
          </cell>
          <cell r="B562">
            <v>519</v>
          </cell>
          <cell r="C562" t="str">
            <v>Engsel Patrun</v>
          </cell>
          <cell r="D562" t="str">
            <v>ps</v>
          </cell>
          <cell r="E562">
            <v>4000</v>
          </cell>
        </row>
        <row r="563">
          <cell r="A563" t="str">
            <v>CC26</v>
          </cell>
          <cell r="B563">
            <v>520</v>
          </cell>
          <cell r="C563" t="str">
            <v>Engsel Harmonika</v>
          </cell>
          <cell r="D563" t="str">
            <v>m1</v>
          </cell>
          <cell r="E563">
            <v>8500</v>
          </cell>
        </row>
        <row r="564">
          <cell r="A564" t="str">
            <v>CC27</v>
          </cell>
          <cell r="B564">
            <v>521</v>
          </cell>
          <cell r="C564" t="str">
            <v>Door Closer Kelas Standard ( Kelas Sedang )</v>
          </cell>
          <cell r="D564" t="str">
            <v>unt</v>
          </cell>
          <cell r="E564">
            <v>95000</v>
          </cell>
        </row>
        <row r="565">
          <cell r="A565" t="str">
            <v>CC28</v>
          </cell>
          <cell r="B565">
            <v>522</v>
          </cell>
          <cell r="C565" t="str">
            <v>Door Closer Kelas Standard ( Kelas Baik )</v>
          </cell>
          <cell r="D565" t="str">
            <v>unt</v>
          </cell>
          <cell r="E565">
            <v>350000</v>
          </cell>
        </row>
        <row r="566">
          <cell r="A566" t="str">
            <v>CC29</v>
          </cell>
          <cell r="B566">
            <v>523</v>
          </cell>
          <cell r="C566" t="str">
            <v>Door Closer Kelas Rendah</v>
          </cell>
          <cell r="D566" t="str">
            <v>unt</v>
          </cell>
          <cell r="E566">
            <v>80000</v>
          </cell>
        </row>
        <row r="567">
          <cell r="A567" t="str">
            <v>CC30</v>
          </cell>
          <cell r="B567">
            <v>524</v>
          </cell>
          <cell r="C567" t="str">
            <v>Tarikan Almari Rata - rata</v>
          </cell>
          <cell r="D567" t="str">
            <v>bh</v>
          </cell>
          <cell r="E567">
            <v>7000</v>
          </cell>
        </row>
        <row r="568">
          <cell r="A568" t="str">
            <v>CC31</v>
          </cell>
          <cell r="B568">
            <v>525</v>
          </cell>
          <cell r="C568" t="str">
            <v>Seng BJLS 30 lebar 60cm (1 rol 50 m' )</v>
          </cell>
          <cell r="D568" t="str">
            <v>m1</v>
          </cell>
          <cell r="E568">
            <v>13500</v>
          </cell>
        </row>
        <row r="569">
          <cell r="A569" t="str">
            <v>CC32</v>
          </cell>
          <cell r="B569">
            <v>526</v>
          </cell>
          <cell r="C569" t="str">
            <v>Seng BJLS 30 lebar 90cm (1 rol 50 m' )</v>
          </cell>
          <cell r="D569" t="str">
            <v>m1</v>
          </cell>
          <cell r="E569">
            <v>18000</v>
          </cell>
        </row>
        <row r="571">
          <cell r="C571" t="str">
            <v>Q. BAHAN PENGIKAT UNTUK KONTRUKSI JALAN</v>
          </cell>
        </row>
        <row r="572">
          <cell r="A572" t="str">
            <v>CE01</v>
          </cell>
          <cell r="B572">
            <v>527</v>
          </cell>
          <cell r="C572" t="str">
            <v>Hotmix Jadi berikut alat dan bahan bakar ( T = 5 cm  =&gt; 9 m2 )</v>
          </cell>
          <cell r="D572" t="str">
            <v>ton</v>
          </cell>
          <cell r="E572">
            <v>400000</v>
          </cell>
        </row>
        <row r="573">
          <cell r="A573" t="str">
            <v>CE02</v>
          </cell>
          <cell r="B573">
            <v>528</v>
          </cell>
          <cell r="C573" t="str">
            <v>Aspal ( ESO ) 1 Drum 150 Kg</v>
          </cell>
          <cell r="D573" t="str">
            <v>kg</v>
          </cell>
          <cell r="E573">
            <v>3800</v>
          </cell>
        </row>
        <row r="574">
          <cell r="A574" t="str">
            <v>CE03</v>
          </cell>
          <cell r="B574">
            <v>529</v>
          </cell>
          <cell r="C574" t="str">
            <v>Aspal Curah</v>
          </cell>
          <cell r="D574" t="str">
            <v>kg</v>
          </cell>
          <cell r="E574">
            <v>3000</v>
          </cell>
        </row>
        <row r="575">
          <cell r="A575" t="str">
            <v>CE04</v>
          </cell>
          <cell r="B575">
            <v>530</v>
          </cell>
          <cell r="C575" t="str">
            <v>Aspal RC 70 ( Cilacap )</v>
          </cell>
          <cell r="D575" t="str">
            <v>kg</v>
          </cell>
          <cell r="E575">
            <v>4400</v>
          </cell>
        </row>
        <row r="577">
          <cell r="C577" t="str">
            <v>R. BAHAN PENGHISAP AIR SUMUR DALAM</v>
          </cell>
        </row>
        <row r="578">
          <cell r="A578" t="str">
            <v>CG01</v>
          </cell>
          <cell r="B578">
            <v>531</v>
          </cell>
          <cell r="C578" t="str">
            <v>Pompa Kodok</v>
          </cell>
          <cell r="D578" t="str">
            <v>unit</v>
          </cell>
          <cell r="E578">
            <v>105000</v>
          </cell>
        </row>
        <row r="579">
          <cell r="A579" t="str">
            <v>CG02</v>
          </cell>
          <cell r="B579">
            <v>532</v>
          </cell>
          <cell r="C579" t="str">
            <v xml:space="preserve">Pompa Dragon Tegal </v>
          </cell>
          <cell r="D579" t="str">
            <v>unit</v>
          </cell>
          <cell r="E579">
            <v>125000</v>
          </cell>
        </row>
        <row r="580">
          <cell r="A580" t="str">
            <v>CG03</v>
          </cell>
          <cell r="B580">
            <v>533</v>
          </cell>
          <cell r="C580" t="str">
            <v xml:space="preserve">Pompa Dragon Asli </v>
          </cell>
          <cell r="D580" t="str">
            <v>unit</v>
          </cell>
          <cell r="E580">
            <v>250000</v>
          </cell>
        </row>
        <row r="581">
          <cell r="A581" t="str">
            <v>CG04</v>
          </cell>
          <cell r="B581">
            <v>534</v>
          </cell>
          <cell r="C581" t="str">
            <v>Mesin Pompa Air 100 W - Sanyo</v>
          </cell>
          <cell r="D581" t="str">
            <v>unit</v>
          </cell>
          <cell r="E581">
            <v>490000</v>
          </cell>
        </row>
        <row r="582">
          <cell r="A582" t="str">
            <v>CG05</v>
          </cell>
          <cell r="B582">
            <v>535</v>
          </cell>
          <cell r="C582" t="str">
            <v>Mesin Pompa Air 150 W - Sanyo</v>
          </cell>
          <cell r="D582" t="str">
            <v>unit</v>
          </cell>
          <cell r="E582">
            <v>690000</v>
          </cell>
        </row>
        <row r="583">
          <cell r="A583" t="str">
            <v>CG06</v>
          </cell>
          <cell r="B583">
            <v>536</v>
          </cell>
          <cell r="C583" t="str">
            <v>Pompa Zet pump 250 W - Sanyo</v>
          </cell>
          <cell r="D583" t="str">
            <v>unit</v>
          </cell>
          <cell r="E583">
            <v>2750000</v>
          </cell>
        </row>
        <row r="584">
          <cell r="A584" t="str">
            <v>CG07</v>
          </cell>
          <cell r="B584">
            <v>537</v>
          </cell>
          <cell r="C584" t="str">
            <v>Pompa Zet pump 450 W - Sanyo</v>
          </cell>
          <cell r="D584" t="str">
            <v>unit</v>
          </cell>
          <cell r="E584">
            <v>4500000</v>
          </cell>
        </row>
        <row r="585">
          <cell r="A585" t="str">
            <v>CG08</v>
          </cell>
          <cell r="B585">
            <v>538</v>
          </cell>
          <cell r="C585" t="str">
            <v>Pompa Submersible kap. 150 liter/menit 3 kW</v>
          </cell>
          <cell r="D585" t="str">
            <v>unit</v>
          </cell>
          <cell r="E585">
            <v>18500000</v>
          </cell>
        </row>
        <row r="586">
          <cell r="A586" t="str">
            <v>CG09</v>
          </cell>
          <cell r="B586">
            <v>539</v>
          </cell>
          <cell r="C586" t="str">
            <v xml:space="preserve">Gear Pump kap. 60 liter/menit </v>
          </cell>
          <cell r="D586" t="str">
            <v>unit</v>
          </cell>
          <cell r="E586">
            <v>10500000</v>
          </cell>
        </row>
        <row r="587">
          <cell r="A587" t="str">
            <v>CG10</v>
          </cell>
          <cell r="B587">
            <v>540</v>
          </cell>
          <cell r="C587" t="str">
            <v xml:space="preserve">Deep Well dengan kelengkapannya kap. 150 liter/menit </v>
          </cell>
          <cell r="D587" t="str">
            <v>unit</v>
          </cell>
          <cell r="E587">
            <v>155000000</v>
          </cell>
        </row>
        <row r="588">
          <cell r="A588" t="str">
            <v>CG11</v>
          </cell>
          <cell r="B588">
            <v>541</v>
          </cell>
          <cell r="C588" t="str">
            <v xml:space="preserve">Hand Oil Pump </v>
          </cell>
          <cell r="D588" t="str">
            <v>unit</v>
          </cell>
          <cell r="E588">
            <v>3150000</v>
          </cell>
        </row>
        <row r="590">
          <cell r="C590" t="str">
            <v>S. BAHAN PENAMPUNG AIR</v>
          </cell>
        </row>
        <row r="591">
          <cell r="A591" t="str">
            <v>CI01</v>
          </cell>
          <cell r="B591">
            <v>542</v>
          </cell>
          <cell r="C591" t="str">
            <v>Tangki Air Fiber Glass 0.5 m3 ( Excel )</v>
          </cell>
          <cell r="D591" t="str">
            <v>bh</v>
          </cell>
          <cell r="E591">
            <v>350000</v>
          </cell>
        </row>
        <row r="592">
          <cell r="A592" t="str">
            <v>CI02</v>
          </cell>
          <cell r="B592">
            <v>543</v>
          </cell>
          <cell r="C592" t="str">
            <v>Tangki Air Fiber Glass 1 m3 ( Excel )</v>
          </cell>
          <cell r="D592" t="str">
            <v>bh</v>
          </cell>
          <cell r="E592">
            <v>560000</v>
          </cell>
        </row>
        <row r="593">
          <cell r="A593" t="str">
            <v>CI03</v>
          </cell>
          <cell r="B593">
            <v>544</v>
          </cell>
          <cell r="C593" t="str">
            <v>Tangki Air Fiber Glass 2 m3 ( Excel )</v>
          </cell>
          <cell r="D593" t="str">
            <v>bh</v>
          </cell>
          <cell r="E593">
            <v>1250000</v>
          </cell>
        </row>
        <row r="594">
          <cell r="A594" t="str">
            <v>CI04</v>
          </cell>
          <cell r="B594">
            <v>545</v>
          </cell>
          <cell r="C594" t="str">
            <v>Bak KM Fiber 60 x 60</v>
          </cell>
          <cell r="D594" t="str">
            <v>bh</v>
          </cell>
          <cell r="E594">
            <v>75000</v>
          </cell>
        </row>
        <row r="595">
          <cell r="A595" t="str">
            <v>CI05</v>
          </cell>
          <cell r="B595">
            <v>546</v>
          </cell>
          <cell r="C595" t="str">
            <v>Bak Taraso WC 40 x 40</v>
          </cell>
          <cell r="D595" t="str">
            <v>bh</v>
          </cell>
          <cell r="E595">
            <v>22500</v>
          </cell>
        </row>
        <row r="596">
          <cell r="A596" t="str">
            <v>CI06</v>
          </cell>
          <cell r="B596">
            <v>547</v>
          </cell>
          <cell r="C596" t="str">
            <v>Bak KM Taraso 60 x 60</v>
          </cell>
          <cell r="D596" t="str">
            <v>bh</v>
          </cell>
          <cell r="E596">
            <v>55000</v>
          </cell>
        </row>
        <row r="598">
          <cell r="C598" t="str">
            <v>T. BIAYA QUALITY CONTROL , IZIN - IZIN, PENGUKURAN</v>
          </cell>
        </row>
        <row r="599">
          <cell r="C599" t="str">
            <v xml:space="preserve">    BIASA DAN BIAYA PENYAMBUNGAN</v>
          </cell>
        </row>
        <row r="600">
          <cell r="A600" t="str">
            <v>CJ01</v>
          </cell>
          <cell r="B600">
            <v>548</v>
          </cell>
          <cell r="C600" t="str">
            <v>Penyambungan Listrik PLN</v>
          </cell>
          <cell r="D600" t="str">
            <v>1w</v>
          </cell>
          <cell r="E600">
            <v>600</v>
          </cell>
        </row>
        <row r="601">
          <cell r="A601" t="str">
            <v>CJ02</v>
          </cell>
          <cell r="B601">
            <v>549</v>
          </cell>
          <cell r="C601" t="str">
            <v>IMB Bertingkat Rata - rata (Rumah / Kantor)</v>
          </cell>
          <cell r="D601" t="str">
            <v>m²</v>
          </cell>
          <cell r="E601">
            <v>19500</v>
          </cell>
        </row>
        <row r="602">
          <cell r="A602" t="str">
            <v>CJ03</v>
          </cell>
          <cell r="B602">
            <v>550</v>
          </cell>
          <cell r="C602" t="str">
            <v>IMB tidak bertingkat Rata - rata (Rumah / Kantor)</v>
          </cell>
          <cell r="D602" t="str">
            <v>m²</v>
          </cell>
          <cell r="E602">
            <v>17500</v>
          </cell>
        </row>
        <row r="603">
          <cell r="A603" t="str">
            <v>CJ04</v>
          </cell>
          <cell r="B603">
            <v>551</v>
          </cell>
          <cell r="C603" t="str">
            <v>IMB Bertingkat Rata - rata (untuk Usaha)</v>
          </cell>
          <cell r="D603" t="str">
            <v>m²</v>
          </cell>
          <cell r="E603">
            <v>22000</v>
          </cell>
        </row>
        <row r="604">
          <cell r="A604" t="str">
            <v>CJ05</v>
          </cell>
          <cell r="B604">
            <v>552</v>
          </cell>
          <cell r="C604" t="str">
            <v>IMB tidak bertingkat Rata - rata (untuk Usaha)</v>
          </cell>
          <cell r="D604" t="str">
            <v>m²</v>
          </cell>
          <cell r="E604">
            <v>19500</v>
          </cell>
        </row>
        <row r="605">
          <cell r="A605" t="str">
            <v>CJ06</v>
          </cell>
          <cell r="B605">
            <v>553</v>
          </cell>
          <cell r="C605" t="str">
            <v>Sondir Rata - rata</v>
          </cell>
          <cell r="D605" t="str">
            <v>1 ttk</v>
          </cell>
          <cell r="E605">
            <v>185000</v>
          </cell>
        </row>
        <row r="606">
          <cell r="A606" t="str">
            <v>CJ07</v>
          </cell>
          <cell r="B606">
            <v>554</v>
          </cell>
          <cell r="C606" t="str">
            <v>Pengukuran Site + Patok</v>
          </cell>
          <cell r="D606" t="str">
            <v>m²</v>
          </cell>
          <cell r="E606">
            <v>900</v>
          </cell>
        </row>
        <row r="607">
          <cell r="A607" t="str">
            <v>CJ08</v>
          </cell>
          <cell r="B607">
            <v>555</v>
          </cell>
          <cell r="C607" t="str">
            <v>Biaya Tes Jalan ( quality control )</v>
          </cell>
          <cell r="D607" t="str">
            <v>ttk</v>
          </cell>
          <cell r="E607">
            <v>75000</v>
          </cell>
        </row>
        <row r="609">
          <cell r="A609" t="str">
            <v>CJ09</v>
          </cell>
          <cell r="B609">
            <v>556</v>
          </cell>
          <cell r="C609" t="str">
            <v>Biaya Tes 1 Macam Beton</v>
          </cell>
          <cell r="D609" t="str">
            <v>1 spl</v>
          </cell>
          <cell r="E609">
            <v>164000</v>
          </cell>
        </row>
        <row r="610">
          <cell r="A610" t="str">
            <v>CJ10</v>
          </cell>
          <cell r="B610">
            <v>557</v>
          </cell>
          <cell r="C610" t="str">
            <v>Biaya Pengujian Bahan Agregat</v>
          </cell>
          <cell r="D610" t="str">
            <v>1 spl</v>
          </cell>
          <cell r="E610">
            <v>56900</v>
          </cell>
        </row>
        <row r="611">
          <cell r="A611" t="str">
            <v>CJ11</v>
          </cell>
          <cell r="B611">
            <v>558</v>
          </cell>
          <cell r="C611" t="str">
            <v>Biaya Pengujian Listrik + gambar + trafo &amp; Adm</v>
          </cell>
          <cell r="D611" t="str">
            <v>1 watt</v>
          </cell>
          <cell r="E611">
            <v>350</v>
          </cell>
        </row>
        <row r="612">
          <cell r="A612" t="str">
            <v>CJ12</v>
          </cell>
          <cell r="B612">
            <v>559</v>
          </cell>
          <cell r="C612" t="str">
            <v>Izin Sumur Artesis Lengkap</v>
          </cell>
          <cell r="D612" t="str">
            <v>unit</v>
          </cell>
          <cell r="E612">
            <v>5000000</v>
          </cell>
        </row>
        <row r="613">
          <cell r="A613" t="str">
            <v>CJ13</v>
          </cell>
          <cell r="B613">
            <v>560</v>
          </cell>
          <cell r="C613" t="str">
            <v>Penyambungan PDAM untuk rumah</v>
          </cell>
          <cell r="D613" t="str">
            <v>unit</v>
          </cell>
          <cell r="E613">
            <v>550000</v>
          </cell>
        </row>
        <row r="614">
          <cell r="A614" t="str">
            <v>CJ14</v>
          </cell>
          <cell r="B614">
            <v>561</v>
          </cell>
          <cell r="C614" t="str">
            <v>Geolistrik</v>
          </cell>
          <cell r="D614" t="str">
            <v>1 ttk</v>
          </cell>
          <cell r="E614">
            <v>275000</v>
          </cell>
        </row>
        <row r="616">
          <cell r="C616" t="str">
            <v>U. ALAT TUKANG.</v>
          </cell>
        </row>
        <row r="617">
          <cell r="A617" t="str">
            <v>CL01</v>
          </cell>
          <cell r="B617">
            <v>562</v>
          </cell>
          <cell r="C617" t="str">
            <v>Palu 0,5 kg</v>
          </cell>
          <cell r="D617" t="str">
            <v>bh</v>
          </cell>
          <cell r="E617">
            <v>20000</v>
          </cell>
        </row>
        <row r="618">
          <cell r="A618" t="str">
            <v>CL02</v>
          </cell>
          <cell r="B618">
            <v>563</v>
          </cell>
          <cell r="C618" t="str">
            <v>Cangkul</v>
          </cell>
          <cell r="D618" t="str">
            <v>bh</v>
          </cell>
          <cell r="E618">
            <v>22500</v>
          </cell>
        </row>
        <row r="619">
          <cell r="A619" t="str">
            <v>CL03</v>
          </cell>
          <cell r="B619">
            <v>564</v>
          </cell>
          <cell r="C619" t="str">
            <v>Singkup</v>
          </cell>
          <cell r="D619" t="str">
            <v>bh</v>
          </cell>
          <cell r="E619">
            <v>27500</v>
          </cell>
        </row>
        <row r="620">
          <cell r="A620" t="str">
            <v>CL04</v>
          </cell>
          <cell r="B620">
            <v>565</v>
          </cell>
          <cell r="C620" t="str">
            <v>Sekrop</v>
          </cell>
          <cell r="D620" t="str">
            <v>bh</v>
          </cell>
          <cell r="E620">
            <v>34000</v>
          </cell>
        </row>
        <row r="621">
          <cell r="A621" t="str">
            <v>CL05</v>
          </cell>
          <cell r="B621">
            <v>566</v>
          </cell>
          <cell r="C621" t="str">
            <v>Pengki</v>
          </cell>
          <cell r="D621" t="str">
            <v>bh</v>
          </cell>
          <cell r="E621">
            <v>1800</v>
          </cell>
        </row>
        <row r="622">
          <cell r="A622" t="str">
            <v>CL06</v>
          </cell>
          <cell r="B622">
            <v>567</v>
          </cell>
          <cell r="C622" t="str">
            <v>Linggis</v>
          </cell>
          <cell r="D622" t="str">
            <v>bh</v>
          </cell>
          <cell r="E622">
            <v>20000</v>
          </cell>
        </row>
        <row r="623">
          <cell r="A623" t="str">
            <v>CL07</v>
          </cell>
          <cell r="B623">
            <v>568</v>
          </cell>
          <cell r="C623" t="str">
            <v>Rool Meter 30 meter ( Bahan Plastik )</v>
          </cell>
          <cell r="D623" t="str">
            <v>bh</v>
          </cell>
          <cell r="E623">
            <v>45000</v>
          </cell>
        </row>
        <row r="624">
          <cell r="A624" t="str">
            <v>CL08</v>
          </cell>
          <cell r="B624">
            <v>569</v>
          </cell>
          <cell r="C624" t="str">
            <v>Rool Meter 5 meter ( Bahan Besi )</v>
          </cell>
          <cell r="D624" t="str">
            <v>bh</v>
          </cell>
          <cell r="E624">
            <v>10000</v>
          </cell>
        </row>
        <row r="625">
          <cell r="A625" t="str">
            <v>CL09</v>
          </cell>
          <cell r="B625">
            <v>570</v>
          </cell>
          <cell r="C625" t="str">
            <v xml:space="preserve">Selang Plastik untuk Water Pas dia. 0.5 cm </v>
          </cell>
          <cell r="D625" t="str">
            <v>bh</v>
          </cell>
          <cell r="E625">
            <v>1000</v>
          </cell>
        </row>
        <row r="626">
          <cell r="A626" t="str">
            <v>CL10</v>
          </cell>
          <cell r="B626">
            <v>571</v>
          </cell>
          <cell r="C626" t="str">
            <v xml:space="preserve"> Water Pas Alumuniumm 60 cm </v>
          </cell>
          <cell r="D626" t="str">
            <v>bh</v>
          </cell>
          <cell r="E626">
            <v>50000</v>
          </cell>
        </row>
        <row r="628">
          <cell r="C628" t="str">
            <v xml:space="preserve">V. STANDARD RATA - RATA SEWA ALAT BESAR , ALAT MEKANIK </v>
          </cell>
        </row>
        <row r="629">
          <cell r="C629" t="str">
            <v xml:space="preserve">      TRUK, KENDARAAN RODA 4 &amp; LAINNYA</v>
          </cell>
        </row>
        <row r="630">
          <cell r="A630" t="str">
            <v>CN01</v>
          </cell>
          <cell r="B630">
            <v>572</v>
          </cell>
          <cell r="C630" t="str">
            <v>Sewa Mesin Gilas 8 Ton s/d 10 ton</v>
          </cell>
          <cell r="D630" t="str">
            <v>hari</v>
          </cell>
          <cell r="E630">
            <v>150000</v>
          </cell>
        </row>
        <row r="631">
          <cell r="A631" t="str">
            <v>CN02</v>
          </cell>
          <cell r="B631">
            <v>573</v>
          </cell>
          <cell r="C631" t="str">
            <v>Tirud Roller 3 Jam / hari</v>
          </cell>
          <cell r="D631" t="str">
            <v>hari</v>
          </cell>
          <cell r="E631">
            <v>165000</v>
          </cell>
        </row>
        <row r="632">
          <cell r="A632" t="str">
            <v>CN03</v>
          </cell>
          <cell r="B632">
            <v>574</v>
          </cell>
          <cell r="C632" t="str">
            <v>Tamdam Roller 6 - 8 Ton 5 Jam / hr</v>
          </cell>
          <cell r="D632" t="str">
            <v>hari</v>
          </cell>
          <cell r="E632">
            <v>245000</v>
          </cell>
        </row>
        <row r="633">
          <cell r="A633" t="str">
            <v>CN04</v>
          </cell>
          <cell r="B633">
            <v>575</v>
          </cell>
          <cell r="C633" t="str">
            <v>Tamdam Roller 8 - 10 Ton 5 Jam / hr</v>
          </cell>
          <cell r="D633" t="str">
            <v>hari</v>
          </cell>
          <cell r="E633">
            <v>230000</v>
          </cell>
        </row>
        <row r="634">
          <cell r="A634" t="str">
            <v>CN05</v>
          </cell>
          <cell r="B634">
            <v>576</v>
          </cell>
          <cell r="C634" t="str">
            <v>Roller Viberator - Ped 1 Ton 4 Jam /hr</v>
          </cell>
          <cell r="D634" t="str">
            <v>hari</v>
          </cell>
          <cell r="E634">
            <v>210000</v>
          </cell>
        </row>
        <row r="635">
          <cell r="A635" t="str">
            <v>CN06</v>
          </cell>
          <cell r="B635">
            <v>577</v>
          </cell>
          <cell r="C635" t="str">
            <v>Roller Viberator - Self 7 Ton 5 Jam /hr</v>
          </cell>
          <cell r="D635" t="str">
            <v>hari</v>
          </cell>
          <cell r="E635">
            <v>250000</v>
          </cell>
        </row>
        <row r="636">
          <cell r="A636" t="str">
            <v>CN07</v>
          </cell>
          <cell r="B636">
            <v>578</v>
          </cell>
          <cell r="C636" t="str">
            <v>Roller 3 Wheeled - 8 Ton 5 Jam /hr</v>
          </cell>
          <cell r="D636" t="str">
            <v>hari</v>
          </cell>
          <cell r="E636">
            <v>145000</v>
          </cell>
        </row>
        <row r="637">
          <cell r="A637" t="str">
            <v>CN08</v>
          </cell>
          <cell r="B637">
            <v>579</v>
          </cell>
          <cell r="C637" t="str">
            <v>Roller Pneumatic  8 - 15 Ton 5 Jam /hr</v>
          </cell>
          <cell r="D637" t="str">
            <v>hari</v>
          </cell>
          <cell r="E637">
            <v>250000</v>
          </cell>
        </row>
        <row r="638">
          <cell r="A638" t="str">
            <v>CN09</v>
          </cell>
          <cell r="B638">
            <v>580</v>
          </cell>
          <cell r="C638" t="str">
            <v>Loader Wheeled 5 Jam /hr</v>
          </cell>
          <cell r="D638" t="str">
            <v>hari</v>
          </cell>
          <cell r="E638">
            <v>350000</v>
          </cell>
        </row>
        <row r="639">
          <cell r="A639" t="str">
            <v>CN10</v>
          </cell>
          <cell r="B639">
            <v>581</v>
          </cell>
          <cell r="C639" t="str">
            <v>Sewa Kran 30 Ton</v>
          </cell>
          <cell r="D639" t="str">
            <v>hari</v>
          </cell>
          <cell r="E639">
            <v>1800000</v>
          </cell>
        </row>
        <row r="640">
          <cell r="A640" t="str">
            <v>CN11</v>
          </cell>
          <cell r="B640">
            <v>582</v>
          </cell>
          <cell r="C640" t="str">
            <v>Sewa Exavator Backhoe 5 Jam /hari</v>
          </cell>
          <cell r="D640" t="str">
            <v>hari</v>
          </cell>
          <cell r="E640">
            <v>525000</v>
          </cell>
        </row>
        <row r="641">
          <cell r="A641" t="str">
            <v>CN12</v>
          </cell>
          <cell r="B641">
            <v>583</v>
          </cell>
          <cell r="C641" t="str">
            <v>Sewa Draklint</v>
          </cell>
          <cell r="D641" t="str">
            <v>jam</v>
          </cell>
          <cell r="E641">
            <v>125000</v>
          </cell>
        </row>
        <row r="642">
          <cell r="A642" t="str">
            <v>CN13</v>
          </cell>
          <cell r="B642">
            <v>584</v>
          </cell>
          <cell r="C642" t="str">
            <v>Whell Loader</v>
          </cell>
          <cell r="D642" t="str">
            <v>jam</v>
          </cell>
          <cell r="E642">
            <v>150000</v>
          </cell>
        </row>
        <row r="643">
          <cell r="A643" t="str">
            <v>CN14</v>
          </cell>
          <cell r="B643">
            <v>585</v>
          </cell>
          <cell r="C643" t="str">
            <v>Buldozer 4 Jam /hr</v>
          </cell>
          <cell r="D643" t="str">
            <v>hari</v>
          </cell>
          <cell r="E643">
            <v>575000</v>
          </cell>
        </row>
        <row r="644">
          <cell r="A644" t="str">
            <v>CN15</v>
          </cell>
          <cell r="B644">
            <v>586</v>
          </cell>
          <cell r="C644" t="str">
            <v>Ecavator Hydr 1 m3</v>
          </cell>
          <cell r="D644" t="str">
            <v>hari</v>
          </cell>
          <cell r="E644">
            <v>550000</v>
          </cell>
        </row>
        <row r="645">
          <cell r="A645" t="str">
            <v>CN16</v>
          </cell>
          <cell r="B645">
            <v>587</v>
          </cell>
          <cell r="C645" t="str">
            <v>Backu</v>
          </cell>
          <cell r="D645" t="str">
            <v>hari</v>
          </cell>
          <cell r="E645">
            <v>85000</v>
          </cell>
        </row>
        <row r="646">
          <cell r="A646" t="str">
            <v>CN17</v>
          </cell>
          <cell r="B646">
            <v>588</v>
          </cell>
          <cell r="C646" t="str">
            <v>Motor Grader 5 Jam /hr</v>
          </cell>
          <cell r="D646" t="str">
            <v>jam</v>
          </cell>
          <cell r="E646">
            <v>525000</v>
          </cell>
        </row>
        <row r="647">
          <cell r="A647" t="str">
            <v>CN18</v>
          </cell>
          <cell r="B647">
            <v>589</v>
          </cell>
          <cell r="C647" t="str">
            <v>Pheumatic Drill Hammer 3 Jam / hr</v>
          </cell>
          <cell r="D647" t="str">
            <v>hari</v>
          </cell>
          <cell r="E647">
            <v>175000</v>
          </cell>
        </row>
        <row r="648">
          <cell r="A648" t="str">
            <v>CN19</v>
          </cell>
          <cell r="B648">
            <v>590</v>
          </cell>
          <cell r="C648" t="str">
            <v>Vibro Roller</v>
          </cell>
          <cell r="D648" t="str">
            <v>hari</v>
          </cell>
          <cell r="E648">
            <v>150000</v>
          </cell>
        </row>
        <row r="649">
          <cell r="A649" t="str">
            <v>CN20</v>
          </cell>
          <cell r="B649">
            <v>591</v>
          </cell>
          <cell r="C649" t="str">
            <v>Stone Crusher</v>
          </cell>
          <cell r="D649" t="str">
            <v>hari</v>
          </cell>
          <cell r="E649">
            <v>175000</v>
          </cell>
        </row>
        <row r="650">
          <cell r="A650" t="str">
            <v>CN21</v>
          </cell>
          <cell r="B650">
            <v>592</v>
          </cell>
          <cell r="C650" t="str">
            <v>AMP</v>
          </cell>
          <cell r="D650" t="str">
            <v>hari</v>
          </cell>
          <cell r="E650">
            <v>225000</v>
          </cell>
        </row>
        <row r="651">
          <cell r="A651" t="str">
            <v>CN22</v>
          </cell>
          <cell r="B651">
            <v>593</v>
          </cell>
          <cell r="C651" t="str">
            <v>Teractor Equament 2 Jam /hr</v>
          </cell>
          <cell r="D651" t="str">
            <v>hari</v>
          </cell>
          <cell r="E651">
            <v>75000</v>
          </cell>
        </row>
        <row r="652">
          <cell r="A652" t="str">
            <v>CN23</v>
          </cell>
          <cell r="B652">
            <v>594</v>
          </cell>
          <cell r="C652" t="str">
            <v>Screning Plent 5 Jam /hr</v>
          </cell>
          <cell r="D652" t="str">
            <v>hari</v>
          </cell>
          <cell r="E652">
            <v>300000</v>
          </cell>
        </row>
        <row r="653">
          <cell r="A653" t="str">
            <v>CN24</v>
          </cell>
          <cell r="B653">
            <v>595</v>
          </cell>
          <cell r="C653" t="str">
            <v>Asphal Finisher</v>
          </cell>
          <cell r="D653" t="str">
            <v>hari</v>
          </cell>
          <cell r="E653">
            <v>225000</v>
          </cell>
        </row>
        <row r="654">
          <cell r="A654" t="str">
            <v>CN25</v>
          </cell>
          <cell r="B654">
            <v>596</v>
          </cell>
          <cell r="C654" t="str">
            <v>Asphal Melting Kalte</v>
          </cell>
          <cell r="D654" t="str">
            <v>hari</v>
          </cell>
          <cell r="E654">
            <v>125000</v>
          </cell>
        </row>
        <row r="655">
          <cell r="A655" t="str">
            <v>CN26</v>
          </cell>
          <cell r="B655">
            <v>597</v>
          </cell>
          <cell r="C655" t="str">
            <v>Asphal Spayer</v>
          </cell>
          <cell r="D655" t="str">
            <v>hari</v>
          </cell>
          <cell r="E655">
            <v>100000</v>
          </cell>
        </row>
        <row r="656">
          <cell r="A656" t="str">
            <v>CN27</v>
          </cell>
          <cell r="B656">
            <v>598</v>
          </cell>
          <cell r="C656" t="str">
            <v>Asphal MIxing Plant</v>
          </cell>
          <cell r="D656" t="str">
            <v>hari</v>
          </cell>
          <cell r="E656">
            <v>225000</v>
          </cell>
        </row>
        <row r="657">
          <cell r="A657" t="str">
            <v>CN28</v>
          </cell>
          <cell r="B657">
            <v>599</v>
          </cell>
          <cell r="C657" t="str">
            <v>Sprayer,Self - Prop. 10001 4 Jam/hr</v>
          </cell>
          <cell r="D657" t="str">
            <v>hari</v>
          </cell>
          <cell r="E657">
            <v>250000</v>
          </cell>
        </row>
        <row r="658">
          <cell r="A658" t="str">
            <v>CN29</v>
          </cell>
          <cell r="B658">
            <v>600</v>
          </cell>
          <cell r="C658" t="str">
            <v>Tamper, Viberator Plate 3 Jam /hari</v>
          </cell>
          <cell r="D658" t="str">
            <v>hari</v>
          </cell>
          <cell r="E658">
            <v>200000</v>
          </cell>
        </row>
        <row r="659">
          <cell r="A659" t="str">
            <v>CN30</v>
          </cell>
          <cell r="B659">
            <v>601</v>
          </cell>
          <cell r="C659" t="str">
            <v>Crusher / SCR</v>
          </cell>
          <cell r="D659" t="str">
            <v>hari</v>
          </cell>
          <cell r="E659">
            <v>750000</v>
          </cell>
        </row>
        <row r="660">
          <cell r="A660" t="str">
            <v>CN31</v>
          </cell>
          <cell r="B660">
            <v>602</v>
          </cell>
          <cell r="C660" t="str">
            <v>Concrete Mixer 0.125 m3</v>
          </cell>
          <cell r="D660" t="str">
            <v>hari</v>
          </cell>
          <cell r="E660">
            <v>60000</v>
          </cell>
        </row>
        <row r="661">
          <cell r="A661" t="str">
            <v>CN32</v>
          </cell>
          <cell r="B661">
            <v>603</v>
          </cell>
          <cell r="C661" t="str">
            <v>Concrete Mixer 0.5 m3</v>
          </cell>
          <cell r="D661" t="str">
            <v>hari</v>
          </cell>
          <cell r="E661">
            <v>86000</v>
          </cell>
        </row>
        <row r="662">
          <cell r="A662" t="str">
            <v>CN33</v>
          </cell>
          <cell r="B662">
            <v>604</v>
          </cell>
          <cell r="C662" t="str">
            <v>Concrete Viberator</v>
          </cell>
          <cell r="D662" t="str">
            <v>hari</v>
          </cell>
          <cell r="E662">
            <v>60000</v>
          </cell>
        </row>
        <row r="663">
          <cell r="A663" t="str">
            <v>CN34</v>
          </cell>
          <cell r="B663">
            <v>605</v>
          </cell>
          <cell r="C663" t="str">
            <v>Pick Up</v>
          </cell>
          <cell r="D663" t="str">
            <v>hari</v>
          </cell>
          <cell r="E663">
            <v>175000</v>
          </cell>
        </row>
        <row r="665">
          <cell r="A665" t="str">
            <v>CN35</v>
          </cell>
          <cell r="B665">
            <v>606</v>
          </cell>
          <cell r="C665" t="str">
            <v>Dump Truck 3.5 Ton</v>
          </cell>
          <cell r="D665" t="str">
            <v>hari</v>
          </cell>
          <cell r="E665">
            <v>250000</v>
          </cell>
        </row>
        <row r="666">
          <cell r="A666" t="str">
            <v>CN36</v>
          </cell>
          <cell r="B666">
            <v>607</v>
          </cell>
          <cell r="C666" t="str">
            <v>Dump Truck 5 Ton 4 Jam /hr</v>
          </cell>
          <cell r="D666" t="str">
            <v>hari</v>
          </cell>
          <cell r="E666">
            <v>300000</v>
          </cell>
        </row>
        <row r="667">
          <cell r="A667" t="str">
            <v>CN37</v>
          </cell>
          <cell r="B667">
            <v>608</v>
          </cell>
          <cell r="C667" t="str">
            <v>Flatbed Truck 3.5 Ton</v>
          </cell>
          <cell r="D667" t="str">
            <v>hari</v>
          </cell>
          <cell r="E667">
            <v>240000</v>
          </cell>
        </row>
        <row r="668">
          <cell r="A668" t="str">
            <v>CN38</v>
          </cell>
          <cell r="B668">
            <v>609</v>
          </cell>
          <cell r="C668" t="str">
            <v>Truck 3/4 ( Colt Disel )</v>
          </cell>
          <cell r="D668" t="str">
            <v>hari</v>
          </cell>
          <cell r="E668">
            <v>250000</v>
          </cell>
        </row>
        <row r="669">
          <cell r="A669" t="str">
            <v>CN39</v>
          </cell>
          <cell r="B669">
            <v>610</v>
          </cell>
          <cell r="C669" t="str">
            <v>Truck Fuso</v>
          </cell>
          <cell r="D669" t="str">
            <v>hari</v>
          </cell>
          <cell r="E669">
            <v>600000</v>
          </cell>
        </row>
        <row r="670">
          <cell r="A670" t="str">
            <v>CN40</v>
          </cell>
          <cell r="B670">
            <v>611</v>
          </cell>
          <cell r="C670" t="str">
            <v>Mesin Las Listrik 18 pk  8 jam</v>
          </cell>
          <cell r="D670" t="str">
            <v>hari</v>
          </cell>
          <cell r="E670">
            <v>100000</v>
          </cell>
        </row>
        <row r="671">
          <cell r="A671" t="str">
            <v>CN41</v>
          </cell>
          <cell r="B671">
            <v>612</v>
          </cell>
          <cell r="C671" t="str">
            <v>Mesin Pompa Air  3 "</v>
          </cell>
          <cell r="D671" t="str">
            <v>hari</v>
          </cell>
          <cell r="E671">
            <v>75000</v>
          </cell>
        </row>
        <row r="672">
          <cell r="A672" t="str">
            <v>CN42</v>
          </cell>
          <cell r="B672">
            <v>613</v>
          </cell>
          <cell r="C672" t="str">
            <v>Stamper 8 Jam</v>
          </cell>
          <cell r="D672" t="str">
            <v>hari</v>
          </cell>
          <cell r="E672">
            <v>80000</v>
          </cell>
        </row>
        <row r="673">
          <cell r="A673" t="str">
            <v>CN43</v>
          </cell>
          <cell r="B673">
            <v>614</v>
          </cell>
          <cell r="C673" t="str">
            <v>Compresor Air</v>
          </cell>
          <cell r="D673" t="str">
            <v>hari</v>
          </cell>
          <cell r="E673">
            <v>75000</v>
          </cell>
        </row>
        <row r="674">
          <cell r="A674" t="str">
            <v>CN44</v>
          </cell>
          <cell r="B674">
            <v>615</v>
          </cell>
          <cell r="C674" t="str">
            <v>Pump Water ( 5 cm ) 30 m3 / hari</v>
          </cell>
          <cell r="D674" t="str">
            <v>hari</v>
          </cell>
          <cell r="E674">
            <v>50000</v>
          </cell>
        </row>
        <row r="675">
          <cell r="A675" t="str">
            <v>CN45</v>
          </cell>
          <cell r="B675">
            <v>616</v>
          </cell>
          <cell r="C675" t="str">
            <v>Trailler, Towed 1 Ton 3 Jam/hr</v>
          </cell>
          <cell r="D675" t="str">
            <v>hari</v>
          </cell>
          <cell r="E675">
            <v>50000</v>
          </cell>
        </row>
        <row r="676">
          <cell r="A676" t="str">
            <v>CN46</v>
          </cell>
          <cell r="B676">
            <v>617</v>
          </cell>
          <cell r="C676" t="str">
            <v>Water Tank Truck 2 Jam/hr</v>
          </cell>
          <cell r="D676" t="str">
            <v>hari</v>
          </cell>
          <cell r="E676">
            <v>150000</v>
          </cell>
        </row>
        <row r="678">
          <cell r="C678" t="str">
            <v>X. BAHAN BAKAR DAN PELUMAS</v>
          </cell>
        </row>
        <row r="679">
          <cell r="A679" t="str">
            <v>CP01</v>
          </cell>
          <cell r="B679">
            <v>618</v>
          </cell>
          <cell r="C679" t="str">
            <v>Minyak Tanah</v>
          </cell>
          <cell r="D679" t="str">
            <v>lt</v>
          </cell>
          <cell r="E679">
            <v>850</v>
          </cell>
        </row>
        <row r="680">
          <cell r="A680" t="str">
            <v>CP02</v>
          </cell>
          <cell r="B680">
            <v>619</v>
          </cell>
          <cell r="C680" t="str">
            <v>Kayu Bakar Dari Kayu  Karet</v>
          </cell>
          <cell r="D680" t="str">
            <v>m³</v>
          </cell>
          <cell r="E680">
            <v>49500</v>
          </cell>
        </row>
        <row r="681">
          <cell r="A681" t="str">
            <v>CP03</v>
          </cell>
          <cell r="B681">
            <v>620</v>
          </cell>
          <cell r="C681" t="str">
            <v>Bahan Bakar Residu</v>
          </cell>
          <cell r="D681" t="str">
            <v>lt</v>
          </cell>
          <cell r="E681">
            <v>500</v>
          </cell>
        </row>
        <row r="682">
          <cell r="A682" t="str">
            <v>CP04</v>
          </cell>
          <cell r="B682">
            <v>621</v>
          </cell>
          <cell r="C682" t="str">
            <v>Minyak Solar</v>
          </cell>
          <cell r="D682" t="str">
            <v>lt</v>
          </cell>
          <cell r="E682">
            <v>1650</v>
          </cell>
        </row>
        <row r="683">
          <cell r="A683" t="str">
            <v>CP05</v>
          </cell>
          <cell r="B683">
            <v>622</v>
          </cell>
          <cell r="C683" t="str">
            <v>Bensin Premium</v>
          </cell>
          <cell r="D683" t="str">
            <v>lt</v>
          </cell>
          <cell r="E683">
            <v>1810</v>
          </cell>
        </row>
        <row r="684">
          <cell r="A684" t="str">
            <v>CP06</v>
          </cell>
          <cell r="B684">
            <v>623</v>
          </cell>
          <cell r="C684" t="str">
            <v>Plus Oil</v>
          </cell>
          <cell r="D684" t="str">
            <v>lt</v>
          </cell>
          <cell r="E684">
            <v>800</v>
          </cell>
        </row>
        <row r="685">
          <cell r="A685" t="str">
            <v>CP07</v>
          </cell>
          <cell r="B685">
            <v>624</v>
          </cell>
          <cell r="C685" t="str">
            <v>Oli Mesran 40 SAE</v>
          </cell>
          <cell r="D685" t="str">
            <v>lt</v>
          </cell>
          <cell r="E685">
            <v>16000</v>
          </cell>
        </row>
        <row r="686">
          <cell r="A686" t="str">
            <v>CP08</v>
          </cell>
          <cell r="B686">
            <v>625</v>
          </cell>
          <cell r="C686" t="str">
            <v>Elpiji / botol</v>
          </cell>
          <cell r="D686" t="str">
            <v>15 kg</v>
          </cell>
          <cell r="E686">
            <v>35000</v>
          </cell>
        </row>
        <row r="687">
          <cell r="A687" t="str">
            <v>CP09</v>
          </cell>
          <cell r="B687">
            <v>626</v>
          </cell>
          <cell r="C687" t="str">
            <v>Asitilin / botol</v>
          </cell>
          <cell r="D687" t="str">
            <v>15.1 kg</v>
          </cell>
          <cell r="E687">
            <v>51000</v>
          </cell>
        </row>
        <row r="688">
          <cell r="A688" t="str">
            <v>CP10</v>
          </cell>
          <cell r="B688">
            <v>627</v>
          </cell>
          <cell r="C688" t="str">
            <v>Angin ( 02 ) / botol</v>
          </cell>
          <cell r="D688" t="str">
            <v>btl</v>
          </cell>
          <cell r="E688">
            <v>32500</v>
          </cell>
        </row>
        <row r="689">
          <cell r="A689" t="str">
            <v>CP11</v>
          </cell>
          <cell r="B689">
            <v>628</v>
          </cell>
          <cell r="C689" t="str">
            <v>Kawat Las Listrik</v>
          </cell>
          <cell r="D689" t="str">
            <v>kg</v>
          </cell>
          <cell r="E689">
            <v>10000</v>
          </cell>
        </row>
        <row r="690">
          <cell r="A690" t="str">
            <v>CP12</v>
          </cell>
          <cell r="B690">
            <v>629</v>
          </cell>
          <cell r="C690" t="str">
            <v>Karbit</v>
          </cell>
          <cell r="D690" t="str">
            <v>kg</v>
          </cell>
          <cell r="E690">
            <v>5000</v>
          </cell>
        </row>
        <row r="693">
          <cell r="A693" t="str">
            <v>ZZ99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ITULASI Revisi"/>
      <sheetName val="RAB KIOS 8 blok"/>
      <sheetName val="RAB LAPAK 8 Blok"/>
      <sheetName val="RAB LAPAK Pasar Tradisional"/>
      <sheetName val="RAB LAPAK PKL"/>
      <sheetName val="RAB LAPAK PKL (48 &amp; 40)"/>
      <sheetName val="RAB LAPAK Buah"/>
      <sheetName val="RAB PENGELOLA"/>
      <sheetName val="RAB Ruko"/>
      <sheetName val="Mesjid"/>
      <sheetName val="INFRASTRUKTUR"/>
      <sheetName val="BAHAN"/>
      <sheetName val="UPAH"/>
      <sheetName val="ANALISA"/>
      <sheetName val="SATUAN"/>
      <sheetName val="BOQ"/>
      <sheetName val="Perhit. besi "/>
      <sheetName val="ANALS INFRA"/>
      <sheetName val="BAHAN (2)"/>
      <sheetName val="UPAH (2)"/>
      <sheetName val="ANALISA (2)"/>
      <sheetName val="SATUAN (2)"/>
      <sheetName val="Perhit. besi  (2)"/>
      <sheetName val="BAHAN (3)"/>
      <sheetName val="UPAH (3)"/>
      <sheetName val="ANALISA (3)"/>
      <sheetName val="SATUAN (3)"/>
      <sheetName val="Perhit. besi  (3)"/>
      <sheetName val="BAHAN (4)"/>
      <sheetName val="UPAH (4)"/>
      <sheetName val="ANALISA (4)"/>
      <sheetName val="SATUAN (4)"/>
      <sheetName val="Perhit. besi  (4)"/>
      <sheetName val="Kusen,pintu,jendela kamper"/>
      <sheetName val="Kusen,pintu,jendela kamper (2)"/>
      <sheetName val="BAHAN (5)"/>
      <sheetName val="UPAH (5)"/>
      <sheetName val="ANALISA (5)"/>
      <sheetName val="SATUAN (5)"/>
      <sheetName val="Perhit. besi  (5)"/>
      <sheetName val="23juni"/>
      <sheetName val="22juni"/>
      <sheetName val="21juni"/>
      <sheetName val="20juni"/>
      <sheetName val="19juni"/>
      <sheetName val="18juni"/>
      <sheetName val="17juni"/>
      <sheetName val="16juni"/>
      <sheetName val="15juni"/>
      <sheetName val="14juni"/>
      <sheetName val="13juni"/>
      <sheetName val="12juni"/>
      <sheetName val="11juni"/>
      <sheetName val="10juni"/>
      <sheetName val="9juni"/>
      <sheetName val="8juni"/>
      <sheetName val="7juni"/>
      <sheetName val="6juni"/>
      <sheetName val="5juni"/>
      <sheetName val="4juni"/>
      <sheetName val="3juni"/>
      <sheetName val="2juni"/>
      <sheetName val="1juni"/>
      <sheetName val="31mei"/>
      <sheetName val="30mei"/>
      <sheetName val="29mei"/>
      <sheetName val="28mei"/>
      <sheetName val="27mei"/>
      <sheetName val="26mei"/>
      <sheetName val="25mei"/>
      <sheetName val="24mei"/>
      <sheetName val="23mei"/>
      <sheetName val="22mei"/>
      <sheetName val="21mei"/>
      <sheetName val="20mei"/>
      <sheetName val="19mei"/>
      <sheetName val="18mei"/>
      <sheetName val="17mei"/>
      <sheetName val="16mei"/>
      <sheetName val="15mei"/>
      <sheetName val="14mei"/>
      <sheetName val="13mei"/>
      <sheetName val="12mei"/>
      <sheetName val="11mei"/>
      <sheetName val="10mei"/>
      <sheetName val="9mei"/>
      <sheetName val="8mei"/>
      <sheetName val="7mei"/>
      <sheetName val="6mei"/>
      <sheetName val="5mei"/>
      <sheetName val="4mei"/>
      <sheetName val="3mei"/>
      <sheetName val="2mei"/>
      <sheetName val="1mei"/>
      <sheetName val="30apr"/>
      <sheetName val="29apr"/>
      <sheetName val="28apr"/>
      <sheetName val="27apr"/>
      <sheetName val="26apr"/>
      <sheetName val="25apr"/>
      <sheetName val="24apr"/>
      <sheetName val="23apr"/>
      <sheetName val="22apr"/>
      <sheetName val="21apr"/>
      <sheetName val="20apr"/>
      <sheetName val="19apr"/>
      <sheetName val="18apr"/>
      <sheetName val="17apr"/>
      <sheetName val="16apr"/>
      <sheetName val="15apr"/>
      <sheetName val="14apr"/>
      <sheetName val="13apr"/>
      <sheetName val="12apr"/>
      <sheetName val="11apr"/>
      <sheetName val="10apr"/>
      <sheetName val="9apr"/>
      <sheetName val="8apr"/>
      <sheetName val="7apr"/>
      <sheetName val="6apr"/>
      <sheetName val="5apr"/>
      <sheetName val="4apr"/>
      <sheetName val="3apr"/>
      <sheetName val="2apr"/>
      <sheetName val="1apr"/>
      <sheetName val="31mar"/>
      <sheetName val="30mar"/>
      <sheetName val="29mar"/>
      <sheetName val="28mar"/>
      <sheetName val="27mar"/>
      <sheetName val="26mar"/>
      <sheetName val="25mar"/>
      <sheetName val="24mar"/>
      <sheetName val="23mar"/>
      <sheetName val="22mar"/>
      <sheetName val="21mar"/>
      <sheetName val="20mar"/>
      <sheetName val="19mar"/>
      <sheetName val="18mar"/>
      <sheetName val="17mar"/>
      <sheetName val="16mar"/>
      <sheetName val="15mar"/>
      <sheetName val="14mar"/>
      <sheetName val="13mar"/>
      <sheetName val="12mar"/>
      <sheetName val="11mar"/>
      <sheetName val="10mar"/>
      <sheetName val="9mar"/>
      <sheetName val="8mar"/>
      <sheetName val="7mar"/>
      <sheetName val="6mar"/>
      <sheetName val="5mar"/>
      <sheetName val="4mar"/>
      <sheetName val="CCO 0120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99">
          <cell r="G99">
            <v>36523</v>
          </cell>
        </row>
        <row r="234">
          <cell r="J234">
            <v>63100</v>
          </cell>
        </row>
        <row r="235">
          <cell r="H235">
            <v>551464.5</v>
          </cell>
        </row>
        <row r="346">
          <cell r="H346">
            <v>58927.5</v>
          </cell>
          <cell r="I346">
            <v>21800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Total"/>
      <sheetName val="RAB Persiapan"/>
      <sheetName val="RAB Bangunan Pengelola"/>
      <sheetName val="RAB Bangunan Masjid"/>
      <sheetName val="RAB Bangunan Ruko B3"/>
      <sheetName val="RAB Bangunan Ruko B7"/>
      <sheetName val="RAB Bangunan Ruko B8"/>
      <sheetName val="RAB Bangunan Ruko B9"/>
      <sheetName val="HRG BHN"/>
      <sheetName val="ANALS ARS"/>
      <sheetName val="ANALS KY"/>
      <sheetName val="ANALS ME"/>
      <sheetName val="E"/>
      <sheetName val="Kusen,pintu,jendela kamper"/>
      <sheetName val="Analisa (2)"/>
      <sheetName val="Daftar Bahan"/>
      <sheetName val="sanitary"/>
      <sheetName val="RAB Bangunan Lapak K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BU-DATA1"/>
      <sheetName val="BU-DATA"/>
      <sheetName val="MGGUAN"/>
      <sheetName val="HARIAN"/>
      <sheetName val="M-C (2)"/>
      <sheetName val="mc (2)"/>
      <sheetName val="M-C (1)"/>
      <sheetName val="mc (1)"/>
      <sheetName val="M-C0"/>
      <sheetName val="mc0"/>
      <sheetName val="JAD.PELAKSANAAN"/>
      <sheetName val="rekap"/>
      <sheetName val="Sat~Pek"/>
      <sheetName val="Anggaran"/>
      <sheetName val="Analys"/>
      <sheetName val="Sat~Bahu"/>
      <sheetName val="Analis alat"/>
      <sheetName val="Sat_Bahu"/>
      <sheetName val="Harsat Bahan"/>
      <sheetName val="CH"/>
      <sheetName val="HRG BHN"/>
      <sheetName val="Harsat"/>
      <sheetName val="PEMBANTAIAN"/>
      <sheetName val="BAHAN~"/>
      <sheetName val="ANALIS"/>
      <sheetName val="BAHAN&amp;UPAH 2013"/>
      <sheetName val="hs_str"/>
      <sheetName val="Sat Bahu"/>
      <sheetName val="HARGA"/>
      <sheetName val="Alat"/>
      <sheetName val="MOS"/>
      <sheetName val="Analisa"/>
      <sheetName val="RAB "/>
      <sheetName val="BABY"/>
      <sheetName val="BACK"/>
      <sheetName val="HARGA BAHAN"/>
      <sheetName val="conc-mix"/>
      <sheetName val="H.Satuan"/>
      <sheetName val="Harga S Dasar UNTUK IDISI"/>
      <sheetName val="isian"/>
      <sheetName val="Sheet1"/>
      <sheetName val="Sheet3"/>
      <sheetName val="RAB"/>
      <sheetName val="KODE"/>
      <sheetName val="4-Basic Price"/>
      <sheetName val="DAFTAR HARGA"/>
      <sheetName val="Harsat Upah"/>
      <sheetName val="Anl"/>
      <sheetName val="SINGK"/>
      <sheetName val="Equip"/>
      <sheetName val="bahan"/>
      <sheetName val="M-C_(2)1"/>
      <sheetName val="mc_(2)1"/>
      <sheetName val="M-C_(1)1"/>
      <sheetName val="mc_(1)1"/>
      <sheetName val="JAD_PELAKSANAAN1"/>
      <sheetName val="Analis_alat1"/>
      <sheetName val="M-C_(2)"/>
      <sheetName val="mc_(2)"/>
      <sheetName val="M-C_(1)"/>
      <sheetName val="mc_(1)"/>
      <sheetName val="JAD_PELAKSANAAN"/>
      <sheetName val="Analis_alat"/>
      <sheetName val="bank data"/>
      <sheetName val="PERSON"/>
      <sheetName val="DL - Adm 1(SRT PNWRN HAL. 1)"/>
      <sheetName val="F Khsus KPP"/>
      <sheetName val="DL-UT4(PNYTAAN PRSHAAN PSONIL)"/>
      <sheetName val="peng.perusahaan baru2008"/>
      <sheetName val="Div3"/>
      <sheetName val="RECAH RESERVOIR"/>
      <sheetName val="Pengalaman"/>
      <sheetName val="UPAH"/>
      <sheetName val="K210"/>
      <sheetName val="Analisa Upah Bahan"/>
      <sheetName val="Harga Satuan 2011"/>
      <sheetName val="Bhn"/>
      <sheetName val="E2"/>
      <sheetName val="Mobilisasi"/>
      <sheetName val="L 1"/>
      <sheetName val="Df-Kuan"/>
      <sheetName val="PO-2"/>
      <sheetName val="ARAB"/>
      <sheetName val="DAF.ALAT"/>
      <sheetName val="Harsat_Bahan"/>
      <sheetName val="BAHAN&amp;UPAH_2013"/>
      <sheetName val="Upah Bahan"/>
      <sheetName val=" UPAH BAHAN"/>
      <sheetName val="JOB'S"/>
      <sheetName val="Data"/>
      <sheetName val="BENETE"/>
      <sheetName val="U&amp;Bh"/>
      <sheetName val="SBhn"/>
      <sheetName val="SATUAN_upah_bahan"/>
      <sheetName val="REKAPITULASI"/>
      <sheetName val="DAF.KUANTITAS"/>
      <sheetName val="TERBILANG"/>
      <sheetName val="Sheet15"/>
      <sheetName val="HargAlat-Upah"/>
      <sheetName val="Rinc. Harg.BHN"/>
      <sheetName val="Daf 1"/>
      <sheetName val="Material"/>
      <sheetName val="lh"/>
      <sheetName val="boq"/>
      <sheetName val="HSBU ANA"/>
      <sheetName val="PRELI_CAP"/>
      <sheetName val="R A B"/>
      <sheetName val="upah_borong"/>
      <sheetName val="satuan_pek"/>
      <sheetName val="dasboard"/>
      <sheetName val="Perhitungan RAB"/>
      <sheetName val="Stn_Upah"/>
      <sheetName val="Peralatan"/>
      <sheetName val="Harga Satuan"/>
      <sheetName val="8LT 12"/>
      <sheetName val="satpek"/>
      <sheetName val="MASTER Alat"/>
      <sheetName val="Comm_Code_Rates"/>
      <sheetName val="Exhibit C for SME"/>
      <sheetName val="RAB PRIAGUNG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"/>
      <sheetName val="asal"/>
      <sheetName val="bil"/>
      <sheetName val="bahan"/>
      <sheetName val="Sheet1"/>
      <sheetName val="overte"/>
      <sheetName val="Saluran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2">
          <cell r="I72">
            <v>44851.85</v>
          </cell>
        </row>
        <row r="146">
          <cell r="I146">
            <v>949.56</v>
          </cell>
        </row>
        <row r="220">
          <cell r="I220">
            <v>152690.67000000001</v>
          </cell>
        </row>
        <row r="294">
          <cell r="I294">
            <v>25400</v>
          </cell>
        </row>
        <row r="368">
          <cell r="I368">
            <v>322958</v>
          </cell>
        </row>
        <row r="442">
          <cell r="I442">
            <v>221552.32</v>
          </cell>
        </row>
        <row r="516">
          <cell r="I516">
            <v>228823.92</v>
          </cell>
        </row>
        <row r="590">
          <cell r="I590">
            <v>75687.5</v>
          </cell>
        </row>
        <row r="664">
          <cell r="I664">
            <v>32539.4</v>
          </cell>
        </row>
        <row r="738">
          <cell r="I738">
            <v>254916.15</v>
          </cell>
        </row>
        <row r="812">
          <cell r="I812">
            <v>212541.15</v>
          </cell>
        </row>
        <row r="886">
          <cell r="I886">
            <v>84896.67</v>
          </cell>
        </row>
        <row r="960">
          <cell r="I960">
            <v>4810.16</v>
          </cell>
        </row>
        <row r="1034">
          <cell r="I1034">
            <v>273165.67</v>
          </cell>
        </row>
        <row r="1108">
          <cell r="I1108">
            <v>279457.5</v>
          </cell>
        </row>
        <row r="1182">
          <cell r="I1182">
            <v>285180</v>
          </cell>
        </row>
        <row r="1256">
          <cell r="I1256">
            <v>308319.83</v>
          </cell>
        </row>
        <row r="1330">
          <cell r="I1330">
            <v>332546.67</v>
          </cell>
        </row>
        <row r="1404">
          <cell r="I1404">
            <v>294932.53000000003</v>
          </cell>
        </row>
        <row r="1478">
          <cell r="I1478">
            <v>309483.33</v>
          </cell>
        </row>
        <row r="1552">
          <cell r="I1552">
            <v>2998859.78</v>
          </cell>
        </row>
        <row r="1626">
          <cell r="I1626">
            <v>16382.06</v>
          </cell>
        </row>
        <row r="1701">
          <cell r="I1701">
            <v>65252.06</v>
          </cell>
        </row>
        <row r="1775">
          <cell r="I1775">
            <v>96559.44</v>
          </cell>
        </row>
        <row r="1849">
          <cell r="I1849">
            <v>59752.99</v>
          </cell>
        </row>
        <row r="1923">
          <cell r="I1923">
            <v>155070.78</v>
          </cell>
        </row>
        <row r="1997">
          <cell r="I1997">
            <v>72055</v>
          </cell>
        </row>
        <row r="2071">
          <cell r="I2071">
            <v>16226.4</v>
          </cell>
        </row>
        <row r="2145">
          <cell r="I2145">
            <v>779776.67</v>
          </cell>
        </row>
        <row r="2219">
          <cell r="I2219">
            <v>754462.83</v>
          </cell>
        </row>
        <row r="2293">
          <cell r="I2293">
            <v>743697</v>
          </cell>
        </row>
        <row r="2367">
          <cell r="I2367">
            <v>771326.67</v>
          </cell>
        </row>
        <row r="2441">
          <cell r="I2441">
            <v>423124.8</v>
          </cell>
        </row>
        <row r="2515">
          <cell r="I2515">
            <v>21933.32</v>
          </cell>
        </row>
        <row r="2589">
          <cell r="I2589">
            <v>32348.32</v>
          </cell>
        </row>
        <row r="2663">
          <cell r="I2663">
            <v>604.09</v>
          </cell>
        </row>
        <row r="2737">
          <cell r="I2737">
            <v>535204</v>
          </cell>
        </row>
        <row r="2811">
          <cell r="I2811">
            <v>48375.519999999997</v>
          </cell>
        </row>
        <row r="2884">
          <cell r="I2884">
            <v>7302.67</v>
          </cell>
        </row>
        <row r="2957">
          <cell r="I2957">
            <v>1968.8</v>
          </cell>
        </row>
        <row r="3031">
          <cell r="I3031">
            <v>1371009.19</v>
          </cell>
        </row>
        <row r="3105">
          <cell r="I3105">
            <v>404.26666666666665</v>
          </cell>
        </row>
        <row r="3176">
          <cell r="I3176">
            <v>29513.305555555555</v>
          </cell>
        </row>
        <row r="3248">
          <cell r="I3248">
            <v>44968.78</v>
          </cell>
        </row>
        <row r="3322">
          <cell r="I3322">
            <v>74602</v>
          </cell>
        </row>
        <row r="3396">
          <cell r="I3396">
            <v>277758</v>
          </cell>
        </row>
        <row r="3469">
          <cell r="I3469">
            <v>258255</v>
          </cell>
        </row>
        <row r="3543">
          <cell r="I3543">
            <v>633400</v>
          </cell>
        </row>
        <row r="3614">
          <cell r="I3614">
            <v>519733.33333333331</v>
          </cell>
        </row>
        <row r="3685">
          <cell r="I3685">
            <v>39199.813333333332</v>
          </cell>
        </row>
        <row r="3833">
          <cell r="I3833">
            <v>54298.39</v>
          </cell>
        </row>
        <row r="3978">
          <cell r="I3978">
            <v>18446.060000000001</v>
          </cell>
        </row>
        <row r="4053">
          <cell r="I4053">
            <v>114559.6</v>
          </cell>
        </row>
        <row r="4128">
          <cell r="I4128">
            <v>81231</v>
          </cell>
        </row>
        <row r="4350">
          <cell r="I4350">
            <v>67596</v>
          </cell>
        </row>
        <row r="4424">
          <cell r="I4424">
            <v>315358</v>
          </cell>
        </row>
        <row r="4646">
          <cell r="I4646">
            <v>1281625</v>
          </cell>
        </row>
        <row r="4868">
          <cell r="I4868">
            <v>266233.33</v>
          </cell>
        </row>
        <row r="4942">
          <cell r="I4942">
            <v>255392.32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F "/>
      <sheetName val="Table Profil"/>
      <sheetName val="Castella "/>
      <sheetName val="Cutting List"/>
    </sheetNames>
    <sheetDataSet>
      <sheetData sheetId="0"/>
      <sheetData sheetId="1"/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AB"/>
      <sheetName val="HARGA SAT"/>
      <sheetName val="QUARY"/>
      <sheetName val="RB"/>
      <sheetName val="Sheet1"/>
      <sheetName val="GORONG2"/>
      <sheetName val="PLAT"/>
      <sheetName val="DIREKSIKEET"/>
      <sheetName val="ANALISA"/>
      <sheetName val="DPP"/>
      <sheetName val="DMPU"/>
      <sheetName val="METODE"/>
      <sheetName val="SCHDULLE"/>
      <sheetName val="ALAT"/>
      <sheetName val="PERS INTI"/>
      <sheetName val="Sheet3"/>
    </sheetNames>
    <sheetDataSet>
      <sheetData sheetId="0" refreshError="1">
        <row r="10">
          <cell r="B10" t="str">
            <v>Cianjur, 24 April 2007</v>
          </cell>
        </row>
        <row r="12">
          <cell r="B12" t="str">
            <v>Penawar</v>
          </cell>
        </row>
        <row r="13">
          <cell r="B13" t="str">
            <v>CV. NUSANTARA ABADI</v>
          </cell>
        </row>
        <row r="19">
          <cell r="B19" t="str">
            <v>H. NANDAN ISKANDAR</v>
          </cell>
        </row>
        <row r="20">
          <cell r="B20" t="str">
            <v>Direktur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UPAH"/>
      <sheetName val="ANALISA"/>
      <sheetName val="SATUAN"/>
      <sheetName val="rab-mekarsa"/>
      <sheetName val="REKAPITULASI"/>
      <sheetName val="HIT-VOLUME"/>
      <sheetName val="REKAPITULASI (2)"/>
      <sheetName val="REKAPITULASI (3)"/>
      <sheetName val="rab-MEKAR"/>
      <sheetName val="VOL-MEKAR)"/>
      <sheetName val="RAB -CIKAL"/>
      <sheetName val="rekap-CIKAL"/>
      <sheetName val="VOL-CIKAL"/>
      <sheetName val="DATA"/>
      <sheetName val="RAB-DTP-mekarsari FINAL"/>
    </sheetNames>
    <sheetDataSet>
      <sheetData sheetId="0"/>
      <sheetData sheetId="1">
        <row r="24">
          <cell r="G24">
            <v>22000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AA"/>
      <sheetName val="asal"/>
      <sheetName val="bahan"/>
      <sheetName val="kubang"/>
      <sheetName val="tro.hidayatullah"/>
      <sheetName val="hanapiah"/>
      <sheetName val="imam tajudin"/>
      <sheetName val="suroso"/>
      <sheetName val="siti jenab"/>
      <sheetName val="siliwangi"/>
      <sheetName val="dr.muwardi"/>
      <sheetName val="h.ashyari"/>
      <sheetName val="sukataris"/>
      <sheetName val="Cbn-hlr"/>
      <sheetName val="rancagoong"/>
      <sheetName val="abdullah"/>
      <sheetName val="blk - gombong"/>
      <sheetName val="slamet"/>
      <sheetName val="analisa"/>
    </sheetNames>
    <sheetDataSet>
      <sheetData sheetId="0" refreshError="1"/>
      <sheetData sheetId="1" refreshError="1"/>
      <sheetData sheetId="2" refreshError="1">
        <row r="94">
          <cell r="E94">
            <v>89500</v>
          </cell>
        </row>
        <row r="95">
          <cell r="E95">
            <v>50000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274">
          <cell r="I4274">
            <v>93470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REKAP-Feil"/>
      <sheetName val="RAB-Cut"/>
      <sheetName val="Perhitungan Besi"/>
      <sheetName val="Harsat Upah"/>
      <sheetName val="Harsat Bahan"/>
      <sheetName val="Harsat-Alat"/>
      <sheetName val="Harsat Pek"/>
      <sheetName val="Anl-BM"/>
      <sheetName val="Analisa"/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G11" t="str">
            <v>KOTA :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LK"/>
      <sheetName val="ANALISA"/>
      <sheetName val="Sheet1"/>
      <sheetName val="gg 50"/>
      <sheetName val="Plat 1 m"/>
    </sheetNames>
    <sheetDataSet>
      <sheetData sheetId="0" refreshError="1"/>
      <sheetData sheetId="1" refreshError="1"/>
      <sheetData sheetId="2" refreshError="1">
        <row r="1102">
          <cell r="I1102">
            <v>10000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Analis Tambahan"/>
      <sheetName val="analis marka"/>
      <sheetName val="analis marka REVISI"/>
      <sheetName val="Sat~Bahu"/>
      <sheetName val="Analis alat"/>
      <sheetName val="Analys"/>
      <sheetName val="Sheet1"/>
      <sheetName val="Sat~Pek"/>
      <sheetName val="ANALISA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">
          <cell r="H5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infrastruktur"/>
      <sheetName val="RAB"/>
      <sheetName val="analisa"/>
      <sheetName val="sat-pek"/>
      <sheetName val="upah"/>
      <sheetName val="Bahan"/>
      <sheetName val="Bahan (2)"/>
      <sheetName val="analisa (2)"/>
      <sheetName val="analisa (3)"/>
      <sheetName val="Sat~Bahu"/>
      <sheetName val="bahan&amp;upah"/>
      <sheetName val="Analisa Harga"/>
      <sheetName val="Upah Bahan"/>
      <sheetName val="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Jadwal"/>
      <sheetName val="mc"/>
      <sheetName val="qc"/>
      <sheetName val="Bhn"/>
      <sheetName val="Bobot"/>
      <sheetName val="Lh"/>
      <sheetName val="L. Hr"/>
      <sheetName val="Lm"/>
      <sheetName val="kaper"/>
      <sheetName val="L. Mgg"/>
      <sheetName val="L_ Hr"/>
      <sheetName val="upah"/>
      <sheetName val="Analisa Harga"/>
      <sheetName val="Upah&amp;Bhn"/>
      <sheetName val="Analisa"/>
      <sheetName val="Harga Dasar"/>
      <sheetName val="REKAP_ARSITEKTUR."/>
      <sheetName val="TABEL LABOR"/>
      <sheetName val="BABY"/>
      <sheetName val="BACK"/>
      <sheetName val="HARGA BAHAN"/>
      <sheetName val="conc-mix"/>
      <sheetName val="HB"/>
      <sheetName val="rekap bahan dan alat"/>
      <sheetName val="MDL"/>
      <sheetName val="HARGA"/>
      <sheetName val="NP"/>
      <sheetName val="Jadual"/>
      <sheetName val="MIS ALHARERAT PUSAT"/>
      <sheetName val="UPAH DAN BAHAN"/>
      <sheetName val="Material"/>
      <sheetName val="H.Satuan"/>
      <sheetName val="REK"/>
      <sheetName val="Sat~Bahu"/>
      <sheetName val="Meto"/>
      <sheetName val="3-DIV5"/>
      <sheetName val="1.Unit Price"/>
      <sheetName val="Harga Bahan &amp; Upah"/>
      <sheetName val="Daf-Har-Pening"/>
      <sheetName val="TS"/>
      <sheetName val="BQ ARS"/>
      <sheetName val="L__Hr2"/>
      <sheetName val="L__Mgg1"/>
      <sheetName val="L__Hr3"/>
      <sheetName val="L__Hr"/>
      <sheetName val="L__Mgg"/>
      <sheetName val="L__Hr1"/>
      <sheetName val="D3"/>
      <sheetName val="D4"/>
      <sheetName val="D5"/>
      <sheetName val="D6"/>
      <sheetName val="D7"/>
      <sheetName val="D8"/>
      <sheetName val="10.1 (1)"/>
      <sheetName val="10.1 (3)"/>
      <sheetName val="10.1 (4)"/>
      <sheetName val="anal_hs"/>
      <sheetName val="rekap"/>
      <sheetName val="Abk (ok!)"/>
      <sheetName val="3-DIV3"/>
      <sheetName val="Harsat Bahan"/>
      <sheetName val="Kuan&amp;Hrg"/>
      <sheetName val="RAB ME"/>
      <sheetName val="3-DIV4"/>
      <sheetName val="Peralatan"/>
      <sheetName val="SEX"/>
      <sheetName val="KET"/>
      <sheetName val="UPAH-BAHAN"/>
      <sheetName val="Upah "/>
      <sheetName val="har-sat"/>
      <sheetName val="BAHAN"/>
      <sheetName val="INPUT"/>
      <sheetName val="MAT"/>
      <sheetName val="BQ1"/>
      <sheetName val="Balok"/>
      <sheetName val="Data"/>
      <sheetName val="Sheet2"/>
      <sheetName val="HARGA DSR"/>
      <sheetName val="harsat"/>
      <sheetName val="Dft Hrg"/>
      <sheetName val="HSBU ANA"/>
      <sheetName val="AC WIL SERANG"/>
      <sheetName val="Harsat Upah"/>
      <sheetName val="Harsat Pekerjaan"/>
      <sheetName val="Volume"/>
      <sheetName val=" UPAH BAHAN"/>
      <sheetName val="sat jadi"/>
      <sheetName val="Harga Bahan &amp; Upah "/>
      <sheetName val="350"/>
      <sheetName val="upah bahan"/>
      <sheetName val="SATUAN"/>
      <sheetName val="BETON"/>
      <sheetName val="Sheet8"/>
      <sheetName val="PKM_DRAMAGA"/>
      <sheetName val="Coef"/>
      <sheetName val="Master Edit"/>
      <sheetName val="h-013211-2"/>
      <sheetName val="AnBayarUtama"/>
      <sheetName val="metode "/>
      <sheetName val="KEDUNG GOONG"/>
      <sheetName val="URUTAN BUKA"/>
      <sheetName val="HARGA (2)"/>
      <sheetName val="An-Alat"/>
      <sheetName val="lampiran"/>
      <sheetName val="Har Sat"/>
      <sheetName val="UPAH PEKERJA"/>
      <sheetName val="UPAH &amp; BAHAN"/>
      <sheetName val="Analisa-H"/>
      <sheetName val="DAFTAR HARGA"/>
      <sheetName val="HSP"/>
      <sheetName val="B.T"/>
      <sheetName val="Time Scedule"/>
      <sheetName val="boq lel"/>
      <sheetName val="Material-mr"/>
      <sheetName val="pricing"/>
      <sheetName val="MAP"/>
      <sheetName val="UMUM-PU"/>
      <sheetName val="Rumus"/>
      <sheetName val="Sheet1"/>
      <sheetName val="Hrg_Sat"/>
      <sheetName val="Basicprice"/>
      <sheetName val="DRUP (ASLI)"/>
      <sheetName val="Laporan Harian Cibodas"/>
      <sheetName val="ANALISA (2)"/>
      <sheetName val="ANALISA (5)"/>
      <sheetName val="DAFTAR HARGA BAHAN "/>
      <sheetName val="Harga Satuan"/>
      <sheetName val="18. MOB (2)"/>
      <sheetName val="Cik-SPKhwu"/>
      <sheetName val="bhn "/>
      <sheetName val="HRGA SATUAN UPAH-BAHAN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79">
          <cell r="R79" t="str">
            <v>S U S E N O</v>
          </cell>
        </row>
      </sheetData>
      <sheetData sheetId="7" refreshError="1">
        <row r="79">
          <cell r="R79" t="str">
            <v>S U S E N O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vered_Sheet1"/>
      <sheetName val="000000"/>
      <sheetName val="Analys"/>
      <sheetName val="Harsat Upah"/>
      <sheetName val="Harsat Bahan"/>
      <sheetName val="GSG"/>
      <sheetName val="rekap2"/>
      <sheetName val="Analisa"/>
      <sheetName val="Harsat Pekerjaan"/>
      <sheetName val="RAB"/>
      <sheetName val="L. Hr"/>
      <sheetName val="BQ"/>
      <sheetName val="Rekapitulasi"/>
      <sheetName val="BASIC PRICE "/>
      <sheetName val="Upah"/>
      <sheetName val="BAHAN"/>
      <sheetName val="SBDY"/>
      <sheetName val="A-ars"/>
      <sheetName val="Rekap"/>
      <sheetName val="Harsat_Upah"/>
      <sheetName val="Harsat_Bahan"/>
      <sheetName val="Harsat_Pekerjaan"/>
      <sheetName val="L__Hr"/>
      <sheetName val="Harsat_Upah1"/>
      <sheetName val="Harsat_Bahan1"/>
      <sheetName val="Harsat_Pekerjaan1"/>
      <sheetName val="L__Hr1"/>
      <sheetName val="HARGA"/>
      <sheetName val="HARGA (2)"/>
      <sheetName val="KY"/>
      <sheetName val="LINK"/>
      <sheetName val="Upah "/>
      <sheetName val="5"/>
      <sheetName val="3"/>
      <sheetName val="RAB KBPM"/>
      <sheetName val="terendah"/>
      <sheetName val="UPAH&amp;BHN"/>
      <sheetName val="ISIAN"/>
      <sheetName val="LELANG TAHAP I"/>
      <sheetName val="B_U"/>
      <sheetName val="KOEF"/>
      <sheetName val="Agregat Halus &amp; Kasar"/>
      <sheetName val="Material"/>
      <sheetName val="SEX"/>
      <sheetName val="QUARRY"/>
      <sheetName val="DIV.3"/>
      <sheetName val="3-DIV5"/>
      <sheetName val="1.Unit Price"/>
      <sheetName val="8LT 12"/>
      <sheetName val="Upah_Bahan"/>
      <sheetName val="DATA"/>
      <sheetName val="Pengalaman 7 th (2)"/>
      <sheetName val="Harsat_Upah2"/>
      <sheetName val="Harsat_Bahan2"/>
      <sheetName val="Harsat_Pekerjaan2"/>
      <sheetName val="RINCIAN TERMYN"/>
      <sheetName val="EI"/>
      <sheetName val="HB "/>
      <sheetName val="3-DIV3"/>
      <sheetName val="KET"/>
      <sheetName val="UPAH PRINT"/>
      <sheetName val="L 1"/>
      <sheetName val="Estimate"/>
      <sheetName val="KEDUNG GOONG"/>
      <sheetName val="Basic Price"/>
      <sheetName val="boq"/>
      <sheetName val=" UPAH"/>
      <sheetName val="Sat~Bahu"/>
      <sheetName val="Analis Harga"/>
      <sheetName val="permoh"/>
      <sheetName val="DATA BASE"/>
      <sheetName val="NP"/>
      <sheetName val="ANL BOW"/>
      <sheetName val="nota penjelasan"/>
      <sheetName val="An-Alat"/>
      <sheetName val="3-DIV2"/>
      <sheetName val="Isolasi Luar Dalam"/>
      <sheetName val="Isolasi Luar"/>
      <sheetName val="terjemah"/>
      <sheetName val="TKDN"/>
      <sheetName val="sc"/>
      <sheetName val="REKAP RAB REVIEW"/>
      <sheetName val="RAB REVIEW PIP2B"/>
      <sheetName val="REKAP INT"/>
      <sheetName val="RAB INT"/>
      <sheetName val="RAB REVIEW PIP2B (CCO)"/>
      <sheetName val="RAB INT (CCO)"/>
      <sheetName val="REKAP (CCO)"/>
      <sheetName val="SAT_PEK ME"/>
      <sheetName val="SAT_PEK_1"/>
      <sheetName val="ANALISA_ME"/>
      <sheetName val="analisa INT"/>
      <sheetName val="KG BESI &amp; LUAS BKST"/>
      <sheetName val="BAHAN ME"/>
      <sheetName val="BAHAN INT"/>
      <sheetName val="Sheet3"/>
      <sheetName val="Kuantitas &amp; Harga"/>
      <sheetName val="Hrg Pipa"/>
      <sheetName val="ANAL-"/>
      <sheetName val="Sales"/>
      <sheetName val="Cover"/>
      <sheetName val="Analisa-SNI"/>
      <sheetName val="REK"/>
      <sheetName val="lab"/>
      <sheetName val="Upah &amp; Bahan"/>
      <sheetName val="harga.bahan"/>
      <sheetName val="rekap13"/>
      <sheetName val="HarSat"/>
      <sheetName val="kkp pph 21"/>
      <sheetName val="II"/>
      <sheetName val="III"/>
      <sheetName val="Cover Daf-2"/>
      <sheetName val="BH-UP"/>
      <sheetName val="RAP"/>
      <sheetName val="k341k612"/>
      <sheetName val="Harga Bahan &amp; Upah "/>
      <sheetName val="HSP"/>
      <sheetName val="ANALIS"/>
      <sheetName val="Analisa Harga Satuan"/>
      <sheetName val="l.Gln "/>
      <sheetName val="Harsat Bahan Penawaran"/>
      <sheetName val="H-Dasar"/>
      <sheetName val="Pakta Integritas"/>
      <sheetName val="CH"/>
      <sheetName val="H.Satuan"/>
      <sheetName val="Harsat_Upah3"/>
      <sheetName val="Harsat_Bahan3"/>
      <sheetName val="Harsat_Pekerjaan3"/>
      <sheetName val="Pengalaman_7_th_(2)"/>
      <sheetName val="L__Hr2"/>
      <sheetName val="RINCIAN_TERMYN"/>
      <sheetName val="Hrg_Pipa"/>
      <sheetName val="BASIC_PRICE_"/>
      <sheetName val="HARGA_(2)"/>
      <sheetName val="Upah_"/>
      <sheetName val="RAB_KBPM"/>
      <sheetName val="LELANG_TAHAP_I"/>
      <sheetName val="Harsat_Upah4"/>
      <sheetName val="Harsat_Bahan4"/>
      <sheetName val="Harsat_Pekerjaan4"/>
      <sheetName val="Pengalaman_7_th_(2)1"/>
      <sheetName val="L__Hr3"/>
      <sheetName val="RINCIAN_TERMYN1"/>
      <sheetName val="Hrg_Pipa1"/>
      <sheetName val="BASIC_PRICE_1"/>
      <sheetName val="HARGA_(2)1"/>
      <sheetName val="Upah_1"/>
      <sheetName val="RAB_KBPM1"/>
      <sheetName val="LELANG_TAHAP_I1"/>
      <sheetName val="Harsat_Upah5"/>
      <sheetName val="Harsat_Bahan5"/>
      <sheetName val="Harsat_Pekerjaan5"/>
      <sheetName val="Pengalaman_7_th_(2)2"/>
      <sheetName val="L__Hr4"/>
      <sheetName val="RINCIAN_TERMYN2"/>
      <sheetName val="Hrg_Pipa2"/>
      <sheetName val="BASIC_PRICE_2"/>
      <sheetName val="HARGA_(2)2"/>
      <sheetName val="Upah_2"/>
      <sheetName val="RAB_KBPM2"/>
      <sheetName val="LELANG_TAHAP_I2"/>
      <sheetName val="Harsat_Upah6"/>
      <sheetName val="Harsat_Bahan6"/>
      <sheetName val="Harsat_Pekerjaan6"/>
      <sheetName val="Pengalaman_7_th_(2)3"/>
      <sheetName val="L__Hr5"/>
      <sheetName val="RINCIAN_TERMYN3"/>
      <sheetName val="Hrg_Pipa3"/>
      <sheetName val="BASIC_PRICE_3"/>
      <sheetName val="HARGA_(2)3"/>
      <sheetName val="Upah_3"/>
      <sheetName val="RAB_KBPM3"/>
      <sheetName val="LELANG_TAHAP_I3"/>
      <sheetName val="Div5.2(1)"/>
      <sheetName val="DHSBU"/>
      <sheetName val="LS_Rutin"/>
      <sheetName val="D7"/>
      <sheetName val="Est"/>
      <sheetName val="Misc"/>
      <sheetName val="General"/>
      <sheetName val="HRG BHN"/>
      <sheetName val="DATA REHAB JEMBATAN"/>
      <sheetName val="C-Flow RAP"/>
      <sheetName val="Harga Dasar"/>
      <sheetName val="harga satuan"/>
      <sheetName val="Rumus"/>
      <sheetName val="analisa 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KODE</v>
          </cell>
          <cell r="B8">
            <v>0</v>
          </cell>
          <cell r="C8">
            <v>0</v>
          </cell>
          <cell r="D8" t="str">
            <v>SAT</v>
          </cell>
          <cell r="E8" t="str">
            <v>HARGA SAT.</v>
          </cell>
        </row>
        <row r="9">
          <cell r="E9" t="str">
            <v>Rp.</v>
          </cell>
        </row>
        <row r="10">
          <cell r="B10" t="str">
            <v>1</v>
          </cell>
          <cell r="C10" t="str">
            <v>2</v>
          </cell>
          <cell r="D10" t="str">
            <v>3</v>
          </cell>
          <cell r="E10" t="str">
            <v>4</v>
          </cell>
        </row>
        <row r="12">
          <cell r="B12" t="str">
            <v>A</v>
          </cell>
          <cell r="C12" t="str">
            <v>AGREGAT KASAR, BAHAN PEREKAT &amp; BAHAN JADINYA</v>
          </cell>
        </row>
        <row r="13">
          <cell r="A13" t="str">
            <v>BA01</v>
          </cell>
          <cell r="B13">
            <v>1</v>
          </cell>
          <cell r="C13" t="str">
            <v xml:space="preserve">Pasir Urug </v>
          </cell>
          <cell r="D13" t="str">
            <v>m³</v>
          </cell>
          <cell r="E13">
            <v>50000</v>
          </cell>
        </row>
        <row r="14">
          <cell r="A14" t="str">
            <v>BA02</v>
          </cell>
          <cell r="B14">
            <v>2</v>
          </cell>
          <cell r="C14" t="str">
            <v xml:space="preserve">Sirtu  </v>
          </cell>
          <cell r="D14" t="str">
            <v>m³</v>
          </cell>
          <cell r="E14">
            <v>81000</v>
          </cell>
        </row>
        <row r="15">
          <cell r="A15" t="str">
            <v>BA03</v>
          </cell>
          <cell r="B15">
            <v>3</v>
          </cell>
          <cell r="C15" t="str">
            <v>Pasir Teras</v>
          </cell>
          <cell r="D15" t="str">
            <v>m³</v>
          </cell>
          <cell r="E15">
            <v>70000</v>
          </cell>
        </row>
        <row r="16">
          <cell r="A16" t="str">
            <v>BA04</v>
          </cell>
          <cell r="B16">
            <v>2</v>
          </cell>
          <cell r="C16" t="str">
            <v xml:space="preserve">Pasir Pasang Kali </v>
          </cell>
          <cell r="D16" t="str">
            <v>m³</v>
          </cell>
          <cell r="E16">
            <v>60000</v>
          </cell>
        </row>
        <row r="17">
          <cell r="A17" t="str">
            <v>BA05</v>
          </cell>
          <cell r="B17">
            <v>3</v>
          </cell>
          <cell r="C17" t="str">
            <v xml:space="preserve">Pasir Beton  </v>
          </cell>
          <cell r="D17" t="str">
            <v>m³</v>
          </cell>
          <cell r="E17">
            <v>75000</v>
          </cell>
        </row>
        <row r="18">
          <cell r="A18" t="str">
            <v>BA06</v>
          </cell>
          <cell r="B18">
            <v>4</v>
          </cell>
          <cell r="C18" t="str">
            <v xml:space="preserve">Abu Batu / Secren </v>
          </cell>
          <cell r="D18" t="str">
            <v>m³</v>
          </cell>
          <cell r="E18">
            <v>85000</v>
          </cell>
        </row>
        <row r="19">
          <cell r="A19" t="str">
            <v>BA07</v>
          </cell>
          <cell r="B19">
            <v>5</v>
          </cell>
          <cell r="C19" t="str">
            <v>Batu Gosok ( Apung )</v>
          </cell>
          <cell r="D19" t="str">
            <v>kg</v>
          </cell>
          <cell r="E19">
            <v>9750</v>
          </cell>
        </row>
        <row r="20">
          <cell r="B20">
            <v>6</v>
          </cell>
          <cell r="C20" t="str">
            <v>Screen</v>
          </cell>
          <cell r="D20" t="str">
            <v>m³</v>
          </cell>
          <cell r="E20">
            <v>120000</v>
          </cell>
        </row>
        <row r="21">
          <cell r="A21" t="str">
            <v>BA08</v>
          </cell>
          <cell r="B21">
            <v>7</v>
          </cell>
          <cell r="C21" t="str">
            <v xml:space="preserve">Batu Pecah Mesin  1/2  </v>
          </cell>
          <cell r="D21" t="str">
            <v>m³</v>
          </cell>
          <cell r="E21">
            <v>155000</v>
          </cell>
        </row>
        <row r="22">
          <cell r="A22" t="str">
            <v>BA09</v>
          </cell>
          <cell r="B22">
            <v>8</v>
          </cell>
          <cell r="C22" t="str">
            <v xml:space="preserve">Batu Pecah Mesin  2/3  </v>
          </cell>
          <cell r="D22" t="str">
            <v>m³</v>
          </cell>
          <cell r="E22">
            <v>140000</v>
          </cell>
        </row>
        <row r="23">
          <cell r="A23" t="str">
            <v>BA10</v>
          </cell>
          <cell r="B23">
            <v>11</v>
          </cell>
          <cell r="C23" t="str">
            <v xml:space="preserve">Batu Pecah Mesin  3/5  </v>
          </cell>
          <cell r="D23" t="str">
            <v>m³</v>
          </cell>
          <cell r="E23">
            <v>125000</v>
          </cell>
        </row>
        <row r="24">
          <cell r="A24" t="str">
            <v>BA11</v>
          </cell>
          <cell r="B24">
            <v>12</v>
          </cell>
          <cell r="C24" t="str">
            <v xml:space="preserve">Batu Pecah Mesin  5/7 </v>
          </cell>
          <cell r="D24" t="str">
            <v>m³</v>
          </cell>
          <cell r="E24">
            <v>110000</v>
          </cell>
        </row>
        <row r="25">
          <cell r="B25">
            <v>13</v>
          </cell>
          <cell r="C25" t="str">
            <v xml:space="preserve">Batu Pecah Mesin  7/10  </v>
          </cell>
          <cell r="D25" t="str">
            <v>m³</v>
          </cell>
          <cell r="E25">
            <v>105000</v>
          </cell>
        </row>
        <row r="26">
          <cell r="B26">
            <v>14</v>
          </cell>
          <cell r="C26" t="str">
            <v xml:space="preserve">Batu Pecah Mesin  10/15 </v>
          </cell>
          <cell r="D26" t="str">
            <v>m³</v>
          </cell>
          <cell r="E26">
            <v>90000</v>
          </cell>
        </row>
        <row r="27">
          <cell r="A27" t="str">
            <v>BA12</v>
          </cell>
          <cell r="B27">
            <v>9</v>
          </cell>
          <cell r="C27" t="str">
            <v>Batu Belah Pondasi 15/20</v>
          </cell>
          <cell r="D27" t="str">
            <v>m³</v>
          </cell>
          <cell r="E27">
            <v>80000</v>
          </cell>
        </row>
        <row r="28">
          <cell r="A28" t="str">
            <v>BA13</v>
          </cell>
          <cell r="B28">
            <v>16</v>
          </cell>
          <cell r="C28" t="str">
            <v>Batu Bronjol ( Untuk Bronjong )</v>
          </cell>
          <cell r="D28" t="str">
            <v>m³</v>
          </cell>
          <cell r="E28">
            <v>70000</v>
          </cell>
        </row>
        <row r="29">
          <cell r="A29" t="str">
            <v>BA14</v>
          </cell>
          <cell r="B29">
            <v>17</v>
          </cell>
          <cell r="C29" t="str">
            <v>Batu Koral Beton Kali</v>
          </cell>
          <cell r="D29" t="str">
            <v>m³</v>
          </cell>
          <cell r="E29">
            <v>126000</v>
          </cell>
        </row>
        <row r="30">
          <cell r="A30" t="str">
            <v>BA15</v>
          </cell>
          <cell r="B30">
            <v>18</v>
          </cell>
          <cell r="C30" t="str">
            <v xml:space="preserve">Batu Tempel Hitam </v>
          </cell>
          <cell r="D30" t="str">
            <v>m²</v>
          </cell>
          <cell r="E30">
            <v>80000</v>
          </cell>
        </row>
        <row r="31">
          <cell r="A31" t="str">
            <v>BA16</v>
          </cell>
          <cell r="B31">
            <v>19</v>
          </cell>
          <cell r="C31" t="str">
            <v>Batu Pinggir Beton 10 x 20 x 35</v>
          </cell>
          <cell r="D31" t="str">
            <v>bh</v>
          </cell>
          <cell r="E31">
            <v>12000</v>
          </cell>
        </row>
        <row r="32">
          <cell r="A32" t="str">
            <v>BA17</v>
          </cell>
          <cell r="B32">
            <v>20</v>
          </cell>
          <cell r="C32" t="str">
            <v>Batu Pinggir Beton 15 x 35 x 50 ( K -225 )</v>
          </cell>
          <cell r="D32" t="str">
            <v>bh</v>
          </cell>
          <cell r="E32">
            <v>24500</v>
          </cell>
        </row>
        <row r="33">
          <cell r="A33" t="str">
            <v>BA18</v>
          </cell>
          <cell r="B33">
            <v>21</v>
          </cell>
          <cell r="C33" t="str">
            <v>Batu Telor</v>
          </cell>
          <cell r="D33" t="str">
            <v>m³</v>
          </cell>
          <cell r="E33">
            <v>82000</v>
          </cell>
        </row>
        <row r="34">
          <cell r="A34" t="str">
            <v>BA19</v>
          </cell>
          <cell r="B34">
            <v>22</v>
          </cell>
          <cell r="C34" t="str">
            <v>Batako kecil 8 x 10 x 20</v>
          </cell>
          <cell r="D34" t="str">
            <v>bh</v>
          </cell>
          <cell r="E34">
            <v>950</v>
          </cell>
        </row>
        <row r="35">
          <cell r="A35" t="str">
            <v>BA20</v>
          </cell>
          <cell r="B35">
            <v>23</v>
          </cell>
          <cell r="C35" t="str">
            <v>Batako Besar 8 x 20 x 30</v>
          </cell>
          <cell r="D35" t="str">
            <v>bh</v>
          </cell>
          <cell r="E35">
            <v>2500</v>
          </cell>
        </row>
        <row r="36">
          <cell r="A36" t="str">
            <v>BA21</v>
          </cell>
          <cell r="B36">
            <v>24</v>
          </cell>
          <cell r="C36" t="str">
            <v>Con Blok 8 x 20 x 40</v>
          </cell>
          <cell r="D36" t="str">
            <v>bh</v>
          </cell>
          <cell r="E36">
            <v>2350</v>
          </cell>
        </row>
        <row r="37">
          <cell r="A37" t="str">
            <v>BA22</v>
          </cell>
          <cell r="B37">
            <v>25</v>
          </cell>
          <cell r="C37" t="str">
            <v>Bata Merah Bakar Kelas I</v>
          </cell>
          <cell r="D37" t="str">
            <v>bh</v>
          </cell>
          <cell r="E37">
            <v>350</v>
          </cell>
        </row>
        <row r="38">
          <cell r="A38" t="str">
            <v>BA23</v>
          </cell>
          <cell r="B38">
            <v>10</v>
          </cell>
          <cell r="C38" t="str">
            <v>Bata Merah Bakar Kelas II</v>
          </cell>
          <cell r="D38" t="str">
            <v>bh</v>
          </cell>
          <cell r="E38">
            <v>270</v>
          </cell>
        </row>
        <row r="39">
          <cell r="A39" t="str">
            <v>BA24</v>
          </cell>
          <cell r="B39">
            <v>27</v>
          </cell>
          <cell r="C39" t="str">
            <v xml:space="preserve">Bata Merah Oven </v>
          </cell>
          <cell r="D39" t="str">
            <v>bh</v>
          </cell>
          <cell r="E39">
            <v>2000</v>
          </cell>
        </row>
        <row r="40">
          <cell r="A40" t="str">
            <v>BA25</v>
          </cell>
          <cell r="B40">
            <v>28</v>
          </cell>
          <cell r="C40" t="str">
            <v>Roster Beton 20 x 20</v>
          </cell>
          <cell r="D40" t="str">
            <v>bh</v>
          </cell>
          <cell r="E40">
            <v>3200</v>
          </cell>
        </row>
        <row r="41">
          <cell r="A41" t="str">
            <v>BA26</v>
          </cell>
          <cell r="B41">
            <v>29</v>
          </cell>
          <cell r="C41" t="str">
            <v>Roster Beton 30 x 30</v>
          </cell>
          <cell r="D41" t="str">
            <v>bh</v>
          </cell>
          <cell r="E41">
            <v>4700</v>
          </cell>
        </row>
        <row r="42">
          <cell r="A42" t="str">
            <v>BA27</v>
          </cell>
          <cell r="B42">
            <v>30</v>
          </cell>
          <cell r="C42" t="str">
            <v>Grass Blok 20 x 20</v>
          </cell>
          <cell r="D42" t="str">
            <v>bh</v>
          </cell>
          <cell r="E42">
            <v>14500</v>
          </cell>
        </row>
        <row r="43">
          <cell r="A43" t="str">
            <v>BA28</v>
          </cell>
          <cell r="B43">
            <v>31</v>
          </cell>
          <cell r="C43" t="str">
            <v>Grass Blok 30 x 30</v>
          </cell>
          <cell r="D43" t="str">
            <v>bh</v>
          </cell>
          <cell r="E43">
            <v>17500</v>
          </cell>
        </row>
        <row r="44">
          <cell r="A44" t="str">
            <v>BA29</v>
          </cell>
          <cell r="B44">
            <v>32</v>
          </cell>
          <cell r="C44" t="str">
            <v xml:space="preserve">Paving Blok Natural </v>
          </cell>
          <cell r="D44" t="str">
            <v>bh</v>
          </cell>
          <cell r="E44">
            <v>750</v>
          </cell>
        </row>
        <row r="45">
          <cell r="A45" t="str">
            <v>BA30</v>
          </cell>
          <cell r="B45">
            <v>33</v>
          </cell>
          <cell r="C45" t="str">
            <v xml:space="preserve">Paving Blok Warna </v>
          </cell>
          <cell r="D45" t="str">
            <v>bh</v>
          </cell>
          <cell r="E45">
            <v>1000</v>
          </cell>
        </row>
        <row r="46">
          <cell r="A46" t="str">
            <v>BA31</v>
          </cell>
          <cell r="B46">
            <v>34</v>
          </cell>
          <cell r="C46" t="str">
            <v>Paving Blok Natural 6 cm</v>
          </cell>
          <cell r="D46" t="str">
            <v>m²</v>
          </cell>
          <cell r="E46">
            <v>22000</v>
          </cell>
        </row>
        <row r="47">
          <cell r="A47" t="str">
            <v>BA32</v>
          </cell>
          <cell r="B47">
            <v>35</v>
          </cell>
          <cell r="C47" t="str">
            <v>Paving Blok Warna 6 cm</v>
          </cell>
          <cell r="D47" t="str">
            <v>m²</v>
          </cell>
          <cell r="E47">
            <v>25000</v>
          </cell>
        </row>
        <row r="48">
          <cell r="B48">
            <v>36</v>
          </cell>
          <cell r="C48" t="str">
            <v>Paving Blok Natural 8 cm</v>
          </cell>
          <cell r="D48" t="str">
            <v>m²</v>
          </cell>
          <cell r="E48">
            <v>27000</v>
          </cell>
        </row>
        <row r="49">
          <cell r="B49">
            <v>37</v>
          </cell>
          <cell r="C49" t="str">
            <v>Paving Blok Warna 8 cm</v>
          </cell>
          <cell r="D49" t="str">
            <v>m²</v>
          </cell>
          <cell r="E49">
            <v>30000</v>
          </cell>
        </row>
        <row r="50">
          <cell r="A50" t="str">
            <v>BA32'</v>
          </cell>
          <cell r="B50">
            <v>38</v>
          </cell>
          <cell r="C50" t="str">
            <v>Paving Blok Biasa</v>
          </cell>
          <cell r="D50" t="str">
            <v>bh</v>
          </cell>
          <cell r="E50">
            <v>750</v>
          </cell>
        </row>
        <row r="51">
          <cell r="A51" t="str">
            <v>BA33</v>
          </cell>
          <cell r="B51">
            <v>11</v>
          </cell>
          <cell r="C51" t="str">
            <v>Kanstin Paving Blok</v>
          </cell>
          <cell r="D51" t="str">
            <v>m1</v>
          </cell>
          <cell r="E51">
            <v>25000</v>
          </cell>
        </row>
        <row r="52">
          <cell r="A52" t="str">
            <v>BA34</v>
          </cell>
          <cell r="B52">
            <v>12</v>
          </cell>
          <cell r="C52" t="str">
            <v>Semen PC Tiga Roda / 50 kg *M080</v>
          </cell>
          <cell r="D52" t="str">
            <v>zak</v>
          </cell>
          <cell r="E52">
            <v>43000</v>
          </cell>
        </row>
        <row r="53">
          <cell r="A53" t="str">
            <v>BA34'</v>
          </cell>
          <cell r="B53">
            <v>13</v>
          </cell>
          <cell r="C53" t="str">
            <v xml:space="preserve">Semen PC Tiga Roda </v>
          </cell>
          <cell r="D53" t="str">
            <v>Kg</v>
          </cell>
          <cell r="E53">
            <v>860</v>
          </cell>
        </row>
        <row r="54">
          <cell r="A54" t="str">
            <v>BA35</v>
          </cell>
          <cell r="B54">
            <v>42</v>
          </cell>
          <cell r="C54" t="str">
            <v>Semen Putih</v>
          </cell>
          <cell r="D54" t="str">
            <v>zak</v>
          </cell>
          <cell r="E54">
            <v>62000</v>
          </cell>
        </row>
        <row r="55">
          <cell r="A55" t="str">
            <v>BA36</v>
          </cell>
          <cell r="B55">
            <v>14</v>
          </cell>
          <cell r="C55" t="str">
            <v>Kanstin Jalan ukuran Besar ( bina Marga ) 1 bh = 60 cm</v>
          </cell>
          <cell r="D55" t="str">
            <v>m³</v>
          </cell>
          <cell r="E55">
            <v>25000</v>
          </cell>
        </row>
        <row r="56">
          <cell r="A56" t="str">
            <v>BA37</v>
          </cell>
          <cell r="B56">
            <v>44</v>
          </cell>
          <cell r="C56" t="str">
            <v>Readymix Beton K 300, tanpa pompa ( selang )</v>
          </cell>
          <cell r="D56" t="str">
            <v>m³</v>
          </cell>
          <cell r="E56">
            <v>600000</v>
          </cell>
        </row>
        <row r="57">
          <cell r="A57" t="str">
            <v>BA38</v>
          </cell>
          <cell r="B57">
            <v>45</v>
          </cell>
          <cell r="C57" t="str">
            <v>Readymix Beton K 225, tanpa pompa ( selang )</v>
          </cell>
          <cell r="D57" t="str">
            <v>m³</v>
          </cell>
          <cell r="E57">
            <v>550000</v>
          </cell>
        </row>
        <row r="58">
          <cell r="A58" t="str">
            <v>BA39</v>
          </cell>
          <cell r="B58">
            <v>46</v>
          </cell>
          <cell r="C58" t="str">
            <v>Readymix Beton K 175, tanpa pompa ( selang )</v>
          </cell>
          <cell r="D58" t="str">
            <v>m³</v>
          </cell>
          <cell r="E58">
            <v>500000</v>
          </cell>
        </row>
        <row r="59">
          <cell r="A59" t="str">
            <v>BA40</v>
          </cell>
          <cell r="B59">
            <v>47</v>
          </cell>
          <cell r="C59" t="str">
            <v>Kapur Pasang/ kapur tembok</v>
          </cell>
          <cell r="D59" t="str">
            <v>m³</v>
          </cell>
          <cell r="E59">
            <v>80000</v>
          </cell>
        </row>
        <row r="60">
          <cell r="A60" t="str">
            <v>BA41</v>
          </cell>
          <cell r="B60">
            <v>48</v>
          </cell>
          <cell r="C60" t="str">
            <v>Kapur Sirih</v>
          </cell>
          <cell r="D60" t="str">
            <v>kg</v>
          </cell>
          <cell r="E60">
            <v>750</v>
          </cell>
        </row>
        <row r="61">
          <cell r="A61" t="str">
            <v>BA42</v>
          </cell>
          <cell r="B61">
            <v>15</v>
          </cell>
          <cell r="C61" t="str">
            <v>Semen Warna</v>
          </cell>
          <cell r="D61" t="str">
            <v>kg</v>
          </cell>
          <cell r="E61">
            <v>3000</v>
          </cell>
        </row>
        <row r="62">
          <cell r="A62" t="str">
            <v>BA43</v>
          </cell>
          <cell r="B62">
            <v>50</v>
          </cell>
          <cell r="C62" t="str">
            <v>Tanah Liat</v>
          </cell>
          <cell r="D62" t="str">
            <v>m³</v>
          </cell>
          <cell r="E62">
            <v>17000</v>
          </cell>
        </row>
        <row r="63">
          <cell r="B63">
            <v>16</v>
          </cell>
          <cell r="C63" t="str">
            <v>Tanah Urug (dilokasi)</v>
          </cell>
          <cell r="D63" t="str">
            <v>m³</v>
          </cell>
          <cell r="E63">
            <v>20000</v>
          </cell>
        </row>
        <row r="64">
          <cell r="B64">
            <v>17</v>
          </cell>
          <cell r="C64" t="str">
            <v xml:space="preserve">Rumput </v>
          </cell>
          <cell r="D64" t="str">
            <v>m²</v>
          </cell>
          <cell r="E64">
            <v>6899.9999999999991</v>
          </cell>
        </row>
        <row r="66">
          <cell r="B66" t="str">
            <v>B</v>
          </cell>
          <cell r="C66" t="str">
            <v xml:space="preserve">BAHAN FINISHING  : </v>
          </cell>
        </row>
        <row r="67">
          <cell r="C67" t="str">
            <v xml:space="preserve"> LABURAN, PENGISI DAN ALATNYA</v>
          </cell>
        </row>
        <row r="68">
          <cell r="A68" t="str">
            <v>BD01</v>
          </cell>
          <cell r="B68">
            <v>1</v>
          </cell>
          <cell r="C68" t="str">
            <v>Plamir Tembok</v>
          </cell>
          <cell r="D68" t="str">
            <v>kg</v>
          </cell>
          <cell r="E68">
            <v>9500</v>
          </cell>
        </row>
        <row r="69">
          <cell r="A69" t="str">
            <v>BD02</v>
          </cell>
          <cell r="B69">
            <v>54</v>
          </cell>
          <cell r="C69" t="str">
            <v>Cat Tembok ICI Eksterior ( BETON )</v>
          </cell>
          <cell r="D69" t="str">
            <v>kg</v>
          </cell>
          <cell r="E69">
            <v>27300</v>
          </cell>
        </row>
        <row r="70">
          <cell r="A70" t="str">
            <v>BD02'</v>
          </cell>
          <cell r="B70">
            <v>55</v>
          </cell>
          <cell r="C70" t="str">
            <v>Cat Tembok Kelas II</v>
          </cell>
          <cell r="D70" t="str">
            <v>Kg</v>
          </cell>
          <cell r="E70">
            <v>13000</v>
          </cell>
        </row>
        <row r="71">
          <cell r="A71" t="str">
            <v>BD03</v>
          </cell>
          <cell r="B71">
            <v>56</v>
          </cell>
          <cell r="C71" t="str">
            <v>Cat Tembok ICI Interior ( PLAFOND DAN DINDING )</v>
          </cell>
          <cell r="D71" t="str">
            <v>lt</v>
          </cell>
          <cell r="E71">
            <v>20000</v>
          </cell>
        </row>
        <row r="72">
          <cell r="A72" t="str">
            <v>BD04</v>
          </cell>
          <cell r="B72">
            <v>2</v>
          </cell>
          <cell r="C72" t="str">
            <v>Cat Tembok Vinilex</v>
          </cell>
          <cell r="D72" t="str">
            <v>kg</v>
          </cell>
          <cell r="E72">
            <v>14000</v>
          </cell>
        </row>
        <row r="73">
          <cell r="A73" t="str">
            <v>BD05</v>
          </cell>
          <cell r="B73">
            <v>58</v>
          </cell>
          <cell r="C73" t="str">
            <v>Cat Dasar ICI untuk Interior ( 2 Pelapis )</v>
          </cell>
          <cell r="D73" t="str">
            <v>lt</v>
          </cell>
          <cell r="E73">
            <v>66300</v>
          </cell>
        </row>
        <row r="74">
          <cell r="A74" t="str">
            <v>BD06</v>
          </cell>
          <cell r="B74">
            <v>3</v>
          </cell>
          <cell r="C74" t="str">
            <v>Cat Tembok Sanlex</v>
          </cell>
          <cell r="D74" t="str">
            <v>kg</v>
          </cell>
          <cell r="E74">
            <v>9000</v>
          </cell>
        </row>
        <row r="75">
          <cell r="A75" t="str">
            <v>BD07</v>
          </cell>
          <cell r="B75">
            <v>60</v>
          </cell>
          <cell r="C75" t="str">
            <v>Cat Tahan Asam</v>
          </cell>
          <cell r="D75" t="str">
            <v>kg</v>
          </cell>
          <cell r="E75">
            <v>30000</v>
          </cell>
        </row>
        <row r="76">
          <cell r="A76" t="str">
            <v>BD07'</v>
          </cell>
          <cell r="B76">
            <v>4</v>
          </cell>
          <cell r="C76" t="str">
            <v>Cat Berkilat/Cat kayu</v>
          </cell>
          <cell r="D76" t="str">
            <v>kg</v>
          </cell>
          <cell r="E76">
            <v>33000</v>
          </cell>
        </row>
        <row r="77">
          <cell r="B77">
            <v>62</v>
          </cell>
          <cell r="C77" t="str">
            <v>Cat Jembatan *M090</v>
          </cell>
          <cell r="D77" t="str">
            <v>kg</v>
          </cell>
          <cell r="E77">
            <v>40000</v>
          </cell>
        </row>
        <row r="78">
          <cell r="A78" t="str">
            <v>BD07"</v>
          </cell>
          <cell r="B78">
            <v>5</v>
          </cell>
          <cell r="C78" t="str">
            <v>Plamir Kayu</v>
          </cell>
          <cell r="D78" t="str">
            <v>kg</v>
          </cell>
          <cell r="E78">
            <v>11000</v>
          </cell>
        </row>
        <row r="79">
          <cell r="A79" t="str">
            <v>BD08</v>
          </cell>
          <cell r="B79">
            <v>64</v>
          </cell>
          <cell r="C79" t="str">
            <v>Pelapis Alkali ICI ( Cat Dasar Beton Ekterior )</v>
          </cell>
          <cell r="D79" t="str">
            <v>lt</v>
          </cell>
          <cell r="E79">
            <v>35000</v>
          </cell>
        </row>
        <row r="80">
          <cell r="A80" t="str">
            <v>BD09</v>
          </cell>
          <cell r="B80">
            <v>65</v>
          </cell>
          <cell r="C80" t="str">
            <v>Cat Marka / Spotlight</v>
          </cell>
          <cell r="D80" t="str">
            <v>kg</v>
          </cell>
          <cell r="E80">
            <v>75000</v>
          </cell>
        </row>
        <row r="81">
          <cell r="A81" t="str">
            <v>BD10</v>
          </cell>
          <cell r="B81">
            <v>66</v>
          </cell>
          <cell r="C81" t="str">
            <v>Water Profing Emulsion</v>
          </cell>
          <cell r="D81" t="str">
            <v>kg</v>
          </cell>
          <cell r="E81">
            <v>65000</v>
          </cell>
        </row>
        <row r="82">
          <cell r="A82" t="str">
            <v>BD11</v>
          </cell>
          <cell r="B82">
            <v>67</v>
          </cell>
          <cell r="C82" t="str">
            <v>Water Profing Membrance</v>
          </cell>
          <cell r="D82" t="str">
            <v>ml</v>
          </cell>
          <cell r="E82">
            <v>50000</v>
          </cell>
        </row>
        <row r="83">
          <cell r="A83" t="str">
            <v>BD12</v>
          </cell>
          <cell r="B83">
            <v>6</v>
          </cell>
          <cell r="C83" t="str">
            <v>Rool Cat Tembok</v>
          </cell>
          <cell r="D83" t="str">
            <v>bh</v>
          </cell>
          <cell r="E83">
            <v>17500</v>
          </cell>
        </row>
        <row r="84">
          <cell r="A84" t="str">
            <v>BD13</v>
          </cell>
          <cell r="B84">
            <v>7</v>
          </cell>
          <cell r="C84" t="str">
            <v>Kape Tembok</v>
          </cell>
          <cell r="D84" t="str">
            <v>bh</v>
          </cell>
          <cell r="E84">
            <v>6500</v>
          </cell>
        </row>
        <row r="85">
          <cell r="A85" t="str">
            <v>BD14</v>
          </cell>
          <cell r="B85">
            <v>8</v>
          </cell>
          <cell r="C85" t="str">
            <v>Kape Kayu</v>
          </cell>
          <cell r="D85" t="str">
            <v>bh</v>
          </cell>
          <cell r="E85">
            <v>5000</v>
          </cell>
        </row>
        <row r="86">
          <cell r="A86" t="str">
            <v>BD15</v>
          </cell>
          <cell r="B86">
            <v>9</v>
          </cell>
          <cell r="C86" t="str">
            <v>Soligneum 1 blek</v>
          </cell>
          <cell r="D86" t="str">
            <v>5 lt</v>
          </cell>
          <cell r="E86">
            <v>43000</v>
          </cell>
        </row>
        <row r="87">
          <cell r="A87" t="str">
            <v>BD16</v>
          </cell>
          <cell r="B87">
            <v>72</v>
          </cell>
          <cell r="C87" t="str">
            <v>Plincote</v>
          </cell>
          <cell r="D87" t="str">
            <v>kg</v>
          </cell>
          <cell r="E87">
            <v>20000</v>
          </cell>
        </row>
        <row r="88">
          <cell r="A88" t="str">
            <v>BD17</v>
          </cell>
          <cell r="B88">
            <v>73</v>
          </cell>
          <cell r="C88" t="str">
            <v>Pengawetan Kayu</v>
          </cell>
          <cell r="D88" t="str">
            <v>m³</v>
          </cell>
          <cell r="E88">
            <v>35000</v>
          </cell>
        </row>
        <row r="89">
          <cell r="A89" t="str">
            <v>BD18</v>
          </cell>
          <cell r="B89">
            <v>74</v>
          </cell>
          <cell r="C89" t="str">
            <v>Pengopenan Kayu</v>
          </cell>
          <cell r="D89" t="str">
            <v>m³</v>
          </cell>
          <cell r="E89">
            <v>450000</v>
          </cell>
        </row>
        <row r="90">
          <cell r="A90" t="str">
            <v>BD19</v>
          </cell>
          <cell r="B90">
            <v>10</v>
          </cell>
          <cell r="C90" t="str">
            <v>Kwas 3"</v>
          </cell>
          <cell r="D90" t="str">
            <v>bh</v>
          </cell>
          <cell r="E90">
            <v>7500</v>
          </cell>
        </row>
        <row r="91">
          <cell r="A91" t="str">
            <v>BD19'</v>
          </cell>
          <cell r="B91">
            <v>76</v>
          </cell>
          <cell r="C91" t="str">
            <v>Kwas 2'</v>
          </cell>
          <cell r="D91" t="str">
            <v>bh</v>
          </cell>
          <cell r="E91">
            <v>5000</v>
          </cell>
        </row>
        <row r="92">
          <cell r="A92" t="str">
            <v>BD20</v>
          </cell>
          <cell r="B92">
            <v>11</v>
          </cell>
          <cell r="C92" t="str">
            <v>Oker</v>
          </cell>
          <cell r="D92" t="str">
            <v>kg</v>
          </cell>
          <cell r="E92">
            <v>29000</v>
          </cell>
        </row>
        <row r="93">
          <cell r="A93" t="str">
            <v>BD21</v>
          </cell>
          <cell r="B93">
            <v>12</v>
          </cell>
          <cell r="C93" t="str">
            <v>Oyan</v>
          </cell>
          <cell r="D93" t="str">
            <v>bks</v>
          </cell>
          <cell r="E93">
            <v>2500</v>
          </cell>
        </row>
        <row r="94">
          <cell r="A94" t="str">
            <v>BD22</v>
          </cell>
          <cell r="B94">
            <v>13</v>
          </cell>
          <cell r="C94" t="str">
            <v>Oten (Pewarna Plitur )</v>
          </cell>
          <cell r="D94" t="str">
            <v>bks</v>
          </cell>
          <cell r="E94">
            <v>2500</v>
          </cell>
        </row>
        <row r="95">
          <cell r="A95" t="str">
            <v>BD23</v>
          </cell>
          <cell r="B95">
            <v>14</v>
          </cell>
          <cell r="C95" t="str">
            <v>Spirtus</v>
          </cell>
          <cell r="D95" t="str">
            <v>lt</v>
          </cell>
          <cell r="E95">
            <v>7800</v>
          </cell>
        </row>
        <row r="96">
          <cell r="A96" t="str">
            <v>BD24</v>
          </cell>
          <cell r="B96">
            <v>15</v>
          </cell>
          <cell r="C96" t="str">
            <v>Bahan Plitur Kripik ( Sirlak India )</v>
          </cell>
          <cell r="D96" t="str">
            <v>kg</v>
          </cell>
          <cell r="E96">
            <v>80000</v>
          </cell>
        </row>
        <row r="97">
          <cell r="A97" t="str">
            <v>BD25</v>
          </cell>
          <cell r="B97">
            <v>82</v>
          </cell>
          <cell r="C97" t="str">
            <v>Dempul Lilin</v>
          </cell>
          <cell r="D97" t="str">
            <v>kg</v>
          </cell>
          <cell r="E97">
            <v>17500</v>
          </cell>
        </row>
        <row r="98">
          <cell r="A98" t="str">
            <v>BD26</v>
          </cell>
          <cell r="B98">
            <v>16</v>
          </cell>
          <cell r="C98" t="str">
            <v>Dempul Plitur</v>
          </cell>
          <cell r="D98" t="str">
            <v>kg</v>
          </cell>
          <cell r="E98">
            <v>2500</v>
          </cell>
        </row>
        <row r="99">
          <cell r="A99" t="str">
            <v>BD27</v>
          </cell>
          <cell r="B99">
            <v>17</v>
          </cell>
          <cell r="C99" t="str">
            <v>Dempul Halus / Imfra ( Wood Filler )</v>
          </cell>
          <cell r="D99" t="str">
            <v>kg</v>
          </cell>
          <cell r="E99">
            <v>25000</v>
          </cell>
        </row>
        <row r="100">
          <cell r="A100" t="str">
            <v>BD28</v>
          </cell>
          <cell r="B100">
            <v>18</v>
          </cell>
          <cell r="C100" t="str">
            <v>Terpentin</v>
          </cell>
          <cell r="D100" t="str">
            <v>lt</v>
          </cell>
          <cell r="E100">
            <v>3500</v>
          </cell>
        </row>
        <row r="101">
          <cell r="A101" t="str">
            <v>BD29</v>
          </cell>
          <cell r="B101">
            <v>19</v>
          </cell>
          <cell r="C101" t="str">
            <v>Tiner A</v>
          </cell>
          <cell r="D101" t="str">
            <v>lt</v>
          </cell>
          <cell r="E101">
            <v>10000</v>
          </cell>
        </row>
        <row r="102">
          <cell r="A102" t="str">
            <v>BD30</v>
          </cell>
          <cell r="B102">
            <v>20</v>
          </cell>
          <cell r="C102" t="str">
            <v>Tiner B</v>
          </cell>
          <cell r="D102" t="str">
            <v>lt</v>
          </cell>
          <cell r="E102">
            <v>12500</v>
          </cell>
        </row>
        <row r="103">
          <cell r="A103" t="str">
            <v>BD31</v>
          </cell>
          <cell r="B103">
            <v>88</v>
          </cell>
          <cell r="C103" t="str">
            <v>Kumpon</v>
          </cell>
          <cell r="D103" t="str">
            <v>kg</v>
          </cell>
          <cell r="E103">
            <v>15000</v>
          </cell>
        </row>
        <row r="104">
          <cell r="A104" t="str">
            <v>BD32</v>
          </cell>
          <cell r="B104">
            <v>89</v>
          </cell>
          <cell r="C104" t="str">
            <v>Melamik</v>
          </cell>
          <cell r="D104" t="str">
            <v>kg</v>
          </cell>
          <cell r="E104">
            <v>33000</v>
          </cell>
        </row>
        <row r="105">
          <cell r="A105" t="str">
            <v>BD32'</v>
          </cell>
          <cell r="B105">
            <v>21</v>
          </cell>
          <cell r="C105" t="str">
            <v>Impra</v>
          </cell>
          <cell r="D105" t="str">
            <v>kg</v>
          </cell>
          <cell r="E105">
            <v>27500</v>
          </cell>
        </row>
        <row r="106">
          <cell r="A106" t="str">
            <v>BD33</v>
          </cell>
          <cell r="B106">
            <v>91</v>
          </cell>
          <cell r="C106" t="str">
            <v>Dempul Plastik</v>
          </cell>
          <cell r="D106" t="str">
            <v>kg</v>
          </cell>
          <cell r="E106">
            <v>25000</v>
          </cell>
        </row>
        <row r="107">
          <cell r="A107" t="str">
            <v>BD34</v>
          </cell>
          <cell r="B107">
            <v>92</v>
          </cell>
          <cell r="C107" t="str">
            <v>Dempul Duco</v>
          </cell>
          <cell r="D107" t="str">
            <v>kg</v>
          </cell>
          <cell r="E107">
            <v>24000</v>
          </cell>
        </row>
        <row r="108">
          <cell r="A108" t="str">
            <v>BD35</v>
          </cell>
          <cell r="B108">
            <v>22</v>
          </cell>
          <cell r="C108" t="str">
            <v>Ampelas</v>
          </cell>
          <cell r="D108" t="str">
            <v>lbr</v>
          </cell>
          <cell r="E108">
            <v>2000</v>
          </cell>
        </row>
        <row r="109">
          <cell r="A109" t="str">
            <v>BD36</v>
          </cell>
          <cell r="B109">
            <v>23</v>
          </cell>
          <cell r="C109" t="str">
            <v>Dempul Kayu Cap Kucing</v>
          </cell>
          <cell r="D109" t="str">
            <v>kg</v>
          </cell>
          <cell r="E109">
            <v>18500</v>
          </cell>
        </row>
        <row r="110">
          <cell r="A110" t="str">
            <v>BD37</v>
          </cell>
          <cell r="B110">
            <v>24</v>
          </cell>
          <cell r="C110" t="str">
            <v>Meni Kayu / Besi</v>
          </cell>
          <cell r="D110" t="str">
            <v>kg</v>
          </cell>
          <cell r="E110">
            <v>12000</v>
          </cell>
        </row>
        <row r="111">
          <cell r="A111" t="str">
            <v>BD38</v>
          </cell>
          <cell r="B111">
            <v>96</v>
          </cell>
          <cell r="C111" t="str">
            <v>Meni Sincromat</v>
          </cell>
          <cell r="D111" t="str">
            <v>kg</v>
          </cell>
          <cell r="E111">
            <v>20000</v>
          </cell>
        </row>
        <row r="112">
          <cell r="A112" t="str">
            <v>BD39</v>
          </cell>
          <cell r="B112">
            <v>25</v>
          </cell>
          <cell r="C112" t="str">
            <v>Cat Kayu Sieve</v>
          </cell>
          <cell r="D112" t="str">
            <v>kg</v>
          </cell>
          <cell r="E112">
            <v>44000</v>
          </cell>
        </row>
        <row r="113">
          <cell r="A113" t="str">
            <v>BD40</v>
          </cell>
          <cell r="B113">
            <v>26</v>
          </cell>
          <cell r="C113" t="str">
            <v>Cat Besi Sieve</v>
          </cell>
          <cell r="D113" t="str">
            <v>kg</v>
          </cell>
          <cell r="E113">
            <v>42000</v>
          </cell>
        </row>
        <row r="114">
          <cell r="A114" t="str">
            <v>BD41</v>
          </cell>
          <cell r="B114">
            <v>99</v>
          </cell>
          <cell r="C114" t="str">
            <v>Cat Besi Duco Danaglos/ICI</v>
          </cell>
          <cell r="D114" t="str">
            <v>kg</v>
          </cell>
          <cell r="E114">
            <v>44000</v>
          </cell>
        </row>
        <row r="115">
          <cell r="A115" t="str">
            <v>BD42</v>
          </cell>
          <cell r="B115">
            <v>100</v>
          </cell>
          <cell r="C115" t="str">
            <v>Cat Bron</v>
          </cell>
          <cell r="D115" t="str">
            <v>kg</v>
          </cell>
          <cell r="E115">
            <v>33000</v>
          </cell>
        </row>
        <row r="116">
          <cell r="A116" t="str">
            <v>BD42'</v>
          </cell>
          <cell r="B116">
            <v>27</v>
          </cell>
          <cell r="C116" t="str">
            <v>Sirlak</v>
          </cell>
          <cell r="D116" t="str">
            <v>kg</v>
          </cell>
          <cell r="E116">
            <v>50000</v>
          </cell>
        </row>
        <row r="118">
          <cell r="B118" t="str">
            <v>C</v>
          </cell>
          <cell r="C118" t="str">
            <v>BAHAN KAYU BERIKUT BAHAN JADINYA</v>
          </cell>
        </row>
        <row r="119">
          <cell r="A119" t="str">
            <v>BF01'</v>
          </cell>
          <cell r="B119">
            <v>1</v>
          </cell>
          <cell r="C119" t="str">
            <v>Bambu Biasa</v>
          </cell>
          <cell r="D119" t="str">
            <v>bt</v>
          </cell>
          <cell r="E119">
            <v>4000</v>
          </cell>
        </row>
        <row r="120">
          <cell r="A120" t="str">
            <v>BF01</v>
          </cell>
          <cell r="B120">
            <v>103</v>
          </cell>
          <cell r="C120" t="str">
            <v>Bambu Ø 5 s.d 7</v>
          </cell>
          <cell r="D120" t="str">
            <v>bt</v>
          </cell>
          <cell r="E120">
            <v>5000</v>
          </cell>
        </row>
        <row r="121">
          <cell r="A121" t="str">
            <v>BF02</v>
          </cell>
          <cell r="B121">
            <v>104</v>
          </cell>
          <cell r="C121" t="str">
            <v>Bambu Ø 7 s.d 10</v>
          </cell>
          <cell r="D121" t="str">
            <v>bt</v>
          </cell>
          <cell r="E121">
            <v>6000</v>
          </cell>
        </row>
        <row r="122">
          <cell r="A122" t="str">
            <v>BF03</v>
          </cell>
          <cell r="B122">
            <v>105</v>
          </cell>
          <cell r="C122" t="str">
            <v>Bambu Gombong</v>
          </cell>
          <cell r="D122" t="str">
            <v>bt</v>
          </cell>
          <cell r="E122">
            <v>15000</v>
          </cell>
        </row>
        <row r="123">
          <cell r="A123" t="str">
            <v>BF03'</v>
          </cell>
          <cell r="B123">
            <v>106</v>
          </cell>
          <cell r="C123" t="str">
            <v>Papan Terentang</v>
          </cell>
          <cell r="D123" t="str">
            <v>m³</v>
          </cell>
          <cell r="E123">
            <v>950000</v>
          </cell>
        </row>
        <row r="124">
          <cell r="A124" t="str">
            <v>BF04</v>
          </cell>
          <cell r="B124">
            <v>107</v>
          </cell>
          <cell r="C124" t="str">
            <v>Kayu Kamper Singkil / Kapur (K. Samarinda Klas II)</v>
          </cell>
          <cell r="D124" t="str">
            <v>m³</v>
          </cell>
          <cell r="E124">
            <v>4500000</v>
          </cell>
        </row>
        <row r="125">
          <cell r="A125" t="str">
            <v>BF04'</v>
          </cell>
          <cell r="B125">
            <v>2</v>
          </cell>
          <cell r="C125" t="str">
            <v>Kayu Lokal Kelas II</v>
          </cell>
          <cell r="D125" t="str">
            <v>m³</v>
          </cell>
          <cell r="E125">
            <v>1750000</v>
          </cell>
        </row>
        <row r="126">
          <cell r="A126" t="str">
            <v>BF04"</v>
          </cell>
          <cell r="B126">
            <v>3</v>
          </cell>
          <cell r="C126" t="str">
            <v>Kayu Papan Lokal Kelas II</v>
          </cell>
          <cell r="D126" t="str">
            <v>m³</v>
          </cell>
          <cell r="E126">
            <v>1900000</v>
          </cell>
        </row>
        <row r="127">
          <cell r="A127" t="str">
            <v>BF05</v>
          </cell>
          <cell r="B127">
            <v>110</v>
          </cell>
          <cell r="C127" t="str">
            <v>Kayu Balok Borneo Super</v>
          </cell>
          <cell r="D127" t="str">
            <v>m³</v>
          </cell>
          <cell r="E127">
            <v>3000000</v>
          </cell>
        </row>
        <row r="128">
          <cell r="A128" t="str">
            <v>BF06</v>
          </cell>
          <cell r="B128">
            <v>111</v>
          </cell>
          <cell r="C128" t="str">
            <v>Kayu Papan Borneo Super</v>
          </cell>
          <cell r="D128" t="str">
            <v>m³</v>
          </cell>
          <cell r="E128">
            <v>3150000</v>
          </cell>
        </row>
        <row r="129">
          <cell r="A129" t="str">
            <v>BF07</v>
          </cell>
          <cell r="B129">
            <v>112</v>
          </cell>
          <cell r="C129" t="str">
            <v xml:space="preserve">Kayu Balok Kamper </v>
          </cell>
          <cell r="D129" t="str">
            <v>m³</v>
          </cell>
          <cell r="E129">
            <v>3500000</v>
          </cell>
        </row>
        <row r="130">
          <cell r="A130" t="str">
            <v>BF07'</v>
          </cell>
          <cell r="B130">
            <v>113</v>
          </cell>
          <cell r="C130" t="str">
            <v>Kayu Balok Kruing</v>
          </cell>
          <cell r="D130" t="str">
            <v>m³</v>
          </cell>
          <cell r="E130">
            <v>2500000</v>
          </cell>
        </row>
        <row r="131">
          <cell r="B131">
            <v>4</v>
          </cell>
          <cell r="C131" t="str">
            <v>Kayu Balok Kamper Medan</v>
          </cell>
          <cell r="D131" t="str">
            <v>m³</v>
          </cell>
          <cell r="E131">
            <v>4200000</v>
          </cell>
        </row>
        <row r="132">
          <cell r="A132" t="str">
            <v>BF08</v>
          </cell>
          <cell r="B132">
            <v>5</v>
          </cell>
          <cell r="C132" t="str">
            <v>Kayu Papan Kamper Medan</v>
          </cell>
          <cell r="D132" t="str">
            <v>m³</v>
          </cell>
          <cell r="E132">
            <v>4450000</v>
          </cell>
        </row>
        <row r="133">
          <cell r="A133" t="str">
            <v>BF09</v>
          </cell>
          <cell r="B133">
            <v>6</v>
          </cell>
          <cell r="C133" t="str">
            <v>Kayu Balok Kamper Banjar</v>
          </cell>
          <cell r="D133" t="str">
            <v>m³</v>
          </cell>
          <cell r="E133">
            <v>3500000</v>
          </cell>
        </row>
        <row r="134">
          <cell r="A134" t="str">
            <v>BF10</v>
          </cell>
          <cell r="B134">
            <v>7</v>
          </cell>
          <cell r="C134" t="str">
            <v>Kayu Papan Kamper Banjar</v>
          </cell>
          <cell r="D134" t="str">
            <v>m³</v>
          </cell>
          <cell r="E134">
            <v>3700000</v>
          </cell>
        </row>
        <row r="135">
          <cell r="A135" t="str">
            <v>BF11</v>
          </cell>
          <cell r="B135">
            <v>8</v>
          </cell>
          <cell r="C135" t="str">
            <v>Kayu Balok Kamper Samarinda</v>
          </cell>
          <cell r="D135" t="str">
            <v>m³</v>
          </cell>
          <cell r="E135">
            <v>4900000</v>
          </cell>
        </row>
        <row r="136">
          <cell r="A136" t="str">
            <v>BF12</v>
          </cell>
          <cell r="B136">
            <v>9</v>
          </cell>
          <cell r="C136" t="str">
            <v>Kayu Papan Kamper Samarinda</v>
          </cell>
          <cell r="D136" t="str">
            <v>m³</v>
          </cell>
          <cell r="E136">
            <v>5050000</v>
          </cell>
        </row>
        <row r="137">
          <cell r="A137" t="str">
            <v>BF13</v>
          </cell>
          <cell r="B137">
            <v>120</v>
          </cell>
          <cell r="C137" t="str">
            <v>Kayu Balok Rasamala</v>
          </cell>
          <cell r="D137" t="str">
            <v>m³</v>
          </cell>
          <cell r="E137">
            <v>3200000</v>
          </cell>
        </row>
        <row r="138">
          <cell r="A138" t="str">
            <v>BF14'</v>
          </cell>
          <cell r="B138">
            <v>121</v>
          </cell>
          <cell r="C138" t="str">
            <v>Kayu Balok jati</v>
          </cell>
          <cell r="D138" t="str">
            <v>m³</v>
          </cell>
          <cell r="E138">
            <v>5750000</v>
          </cell>
        </row>
        <row r="139">
          <cell r="A139" t="str">
            <v>BF14"</v>
          </cell>
          <cell r="B139">
            <v>122</v>
          </cell>
          <cell r="C139" t="str">
            <v xml:space="preserve">Kayu Papan Jati </v>
          </cell>
          <cell r="D139" t="str">
            <v>m³</v>
          </cell>
          <cell r="E139">
            <v>6500000</v>
          </cell>
        </row>
        <row r="140">
          <cell r="A140" t="str">
            <v>BF14</v>
          </cell>
          <cell r="B140">
            <v>123</v>
          </cell>
          <cell r="C140" t="str">
            <v xml:space="preserve">Kayu Jati Jatim Tua dia. 40 cm </v>
          </cell>
          <cell r="D140" t="str">
            <v>m³</v>
          </cell>
          <cell r="E140">
            <v>9000000</v>
          </cell>
        </row>
        <row r="141">
          <cell r="A141" t="str">
            <v>BF15</v>
          </cell>
          <cell r="B141">
            <v>124</v>
          </cell>
          <cell r="C141" t="str">
            <v>Kayu Jati Jateng Tua dia. 40 cm</v>
          </cell>
          <cell r="D141" t="str">
            <v>m³</v>
          </cell>
          <cell r="E141">
            <v>9000000</v>
          </cell>
        </row>
        <row r="142">
          <cell r="A142" t="str">
            <v>BF16</v>
          </cell>
          <cell r="B142">
            <v>125</v>
          </cell>
          <cell r="C142" t="str">
            <v>Kayu Jati Jabar Tua  dia. 40 cm</v>
          </cell>
          <cell r="D142" t="str">
            <v>m³</v>
          </cell>
          <cell r="E142">
            <v>6000000</v>
          </cell>
        </row>
        <row r="143">
          <cell r="A143" t="str">
            <v>BF17</v>
          </cell>
          <cell r="B143">
            <v>126</v>
          </cell>
          <cell r="C143" t="str">
            <v xml:space="preserve">Kayu Jati Jabar dia. 40 cm kebawah </v>
          </cell>
          <cell r="D143" t="str">
            <v>m³</v>
          </cell>
          <cell r="E143">
            <v>4900000</v>
          </cell>
        </row>
        <row r="144">
          <cell r="A144" t="str">
            <v>BF18</v>
          </cell>
          <cell r="B144">
            <v>127</v>
          </cell>
          <cell r="C144" t="str">
            <v xml:space="preserve">Kayu Hutan Kelas I ( Segeng, Mahoni, Laban ) </v>
          </cell>
          <cell r="D144" t="str">
            <v>m³</v>
          </cell>
          <cell r="E144">
            <v>1850000</v>
          </cell>
        </row>
        <row r="145">
          <cell r="B145">
            <v>10</v>
          </cell>
          <cell r="C145" t="str">
            <v>Kayu Balok Albasiah</v>
          </cell>
          <cell r="D145" t="str">
            <v>m³</v>
          </cell>
          <cell r="E145">
            <v>900000</v>
          </cell>
        </row>
        <row r="146">
          <cell r="A146" t="str">
            <v>BF19</v>
          </cell>
          <cell r="B146">
            <v>11</v>
          </cell>
          <cell r="C146" t="str">
            <v>Kayu Papan Albasia</v>
          </cell>
          <cell r="D146" t="str">
            <v>m³</v>
          </cell>
          <cell r="E146">
            <v>950000</v>
          </cell>
        </row>
        <row r="147">
          <cell r="A147" t="str">
            <v>BF19'</v>
          </cell>
          <cell r="B147">
            <v>130</v>
          </cell>
          <cell r="C147" t="str">
            <v>Kayu Kruing</v>
          </cell>
          <cell r="D147" t="str">
            <v>m³</v>
          </cell>
          <cell r="E147">
            <v>2500000</v>
          </cell>
        </row>
        <row r="148">
          <cell r="A148" t="str">
            <v>BF19"</v>
          </cell>
          <cell r="B148">
            <v>131</v>
          </cell>
          <cell r="C148" t="str">
            <v>Kayu Papan Borneo</v>
          </cell>
          <cell r="D148" t="str">
            <v>m³</v>
          </cell>
          <cell r="E148">
            <v>2500000</v>
          </cell>
        </row>
        <row r="149">
          <cell r="A149" t="str">
            <v>BF20</v>
          </cell>
          <cell r="B149">
            <v>132</v>
          </cell>
          <cell r="C149" t="str">
            <v>Dolken 8 s/d 10 uk.4m'</v>
          </cell>
          <cell r="D149" t="str">
            <v>bt</v>
          </cell>
          <cell r="E149">
            <v>58000</v>
          </cell>
        </row>
        <row r="150">
          <cell r="A150" t="str">
            <v>BF21</v>
          </cell>
          <cell r="B150">
            <v>133</v>
          </cell>
          <cell r="C150" t="str">
            <v>Dolken 7 s/d 10</v>
          </cell>
          <cell r="D150" t="str">
            <v>bt</v>
          </cell>
          <cell r="E150">
            <v>20000</v>
          </cell>
        </row>
        <row r="151">
          <cell r="A151" t="str">
            <v>BF22</v>
          </cell>
          <cell r="B151">
            <v>134</v>
          </cell>
          <cell r="C151" t="str">
            <v>List profil kamper 1 cm</v>
          </cell>
          <cell r="D151" t="str">
            <v>m1</v>
          </cell>
          <cell r="E151">
            <v>1750</v>
          </cell>
        </row>
        <row r="152">
          <cell r="A152" t="str">
            <v>BF23</v>
          </cell>
          <cell r="B152">
            <v>135</v>
          </cell>
          <cell r="C152" t="str">
            <v>List profil kamper 2 cm</v>
          </cell>
          <cell r="D152" t="str">
            <v>m1</v>
          </cell>
          <cell r="E152">
            <v>2000</v>
          </cell>
        </row>
        <row r="153">
          <cell r="A153" t="str">
            <v>BF24</v>
          </cell>
          <cell r="B153">
            <v>136</v>
          </cell>
          <cell r="C153" t="str">
            <v>List profil kamper 4 cm</v>
          </cell>
          <cell r="D153" t="str">
            <v>m1</v>
          </cell>
          <cell r="E153">
            <v>2250</v>
          </cell>
        </row>
        <row r="154">
          <cell r="A154" t="str">
            <v>BF25</v>
          </cell>
          <cell r="B154">
            <v>137</v>
          </cell>
          <cell r="C154" t="str">
            <v>List profil kamper 5 cm</v>
          </cell>
          <cell r="D154" t="str">
            <v>m1</v>
          </cell>
          <cell r="E154">
            <v>3500</v>
          </cell>
        </row>
        <row r="155">
          <cell r="A155" t="str">
            <v>BF26</v>
          </cell>
          <cell r="B155">
            <v>138</v>
          </cell>
          <cell r="C155" t="str">
            <v>List profil kamper 10 cm</v>
          </cell>
          <cell r="D155" t="str">
            <v>m1</v>
          </cell>
          <cell r="E155">
            <v>25000</v>
          </cell>
        </row>
        <row r="156">
          <cell r="A156" t="str">
            <v>BF27</v>
          </cell>
          <cell r="B156">
            <v>139</v>
          </cell>
          <cell r="C156" t="str">
            <v>Pegangan Tangga profil Jati</v>
          </cell>
          <cell r="D156" t="str">
            <v>m1</v>
          </cell>
          <cell r="E156">
            <v>200000</v>
          </cell>
        </row>
        <row r="157">
          <cell r="A157" t="str">
            <v>BF28</v>
          </cell>
          <cell r="B157">
            <v>140</v>
          </cell>
          <cell r="C157" t="str">
            <v>Pegangan Tangga profil Kamper</v>
          </cell>
          <cell r="D157" t="str">
            <v>m1</v>
          </cell>
          <cell r="E157">
            <v>75000</v>
          </cell>
        </row>
        <row r="158">
          <cell r="A158" t="str">
            <v>BF29</v>
          </cell>
          <cell r="B158">
            <v>141</v>
          </cell>
          <cell r="C158" t="str">
            <v>Kayu Reng 2/3 Borneo</v>
          </cell>
          <cell r="D158" t="str">
            <v>m1</v>
          </cell>
          <cell r="E158">
            <v>1150</v>
          </cell>
        </row>
        <row r="159">
          <cell r="A159" t="str">
            <v>BF30</v>
          </cell>
          <cell r="B159">
            <v>142</v>
          </cell>
          <cell r="C159" t="str">
            <v>Kayu Reng 2/3 Kamper Banjar</v>
          </cell>
          <cell r="D159" t="str">
            <v>m1</v>
          </cell>
          <cell r="E159">
            <v>1750</v>
          </cell>
        </row>
        <row r="160">
          <cell r="A160" t="str">
            <v>BF31</v>
          </cell>
          <cell r="B160">
            <v>143</v>
          </cell>
          <cell r="C160" t="str">
            <v>Kayu Reng 3/4 Kamper Banjar</v>
          </cell>
          <cell r="D160" t="str">
            <v>m1</v>
          </cell>
          <cell r="E160">
            <v>2500</v>
          </cell>
        </row>
        <row r="161">
          <cell r="B161">
            <v>12</v>
          </cell>
          <cell r="C161" t="str">
            <v>Reng Kayu Kls II</v>
          </cell>
          <cell r="D161" t="str">
            <v>m1</v>
          </cell>
          <cell r="E161">
            <v>750</v>
          </cell>
        </row>
        <row r="163">
          <cell r="B163" t="str">
            <v>D</v>
          </cell>
          <cell r="C163" t="str">
            <v>BAHAN PENUTUP RANGKA PLAFOND</v>
          </cell>
        </row>
        <row r="164">
          <cell r="A164" t="str">
            <v>BH01</v>
          </cell>
          <cell r="B164">
            <v>1</v>
          </cell>
          <cell r="C164" t="str">
            <v>Bahan plafond Enternit 4 mm</v>
          </cell>
          <cell r="D164" t="str">
            <v>m²</v>
          </cell>
          <cell r="E164">
            <v>7500</v>
          </cell>
        </row>
        <row r="165">
          <cell r="A165" t="str">
            <v>BH02</v>
          </cell>
          <cell r="B165">
            <v>146</v>
          </cell>
          <cell r="C165" t="str">
            <v>Bahan plafond hardpleks 5 mm 120 x 240</v>
          </cell>
          <cell r="D165" t="str">
            <v>lbr</v>
          </cell>
          <cell r="E165">
            <v>82000</v>
          </cell>
        </row>
        <row r="166">
          <cell r="A166" t="str">
            <v>BH03</v>
          </cell>
          <cell r="B166">
            <v>147</v>
          </cell>
          <cell r="C166" t="str">
            <v>Bahan plafond Asbes Semen 5 mm</v>
          </cell>
          <cell r="D166" t="str">
            <v>m²</v>
          </cell>
          <cell r="E166">
            <v>6500</v>
          </cell>
        </row>
        <row r="167">
          <cell r="A167" t="str">
            <v>BH04</v>
          </cell>
          <cell r="B167">
            <v>148</v>
          </cell>
          <cell r="C167" t="str">
            <v>Gypsum 120 x 240  t = 9 mm ex DN</v>
          </cell>
          <cell r="D167" t="str">
            <v>lbr</v>
          </cell>
          <cell r="E167">
            <v>57500</v>
          </cell>
        </row>
        <row r="168">
          <cell r="A168" t="str">
            <v>BH05</v>
          </cell>
          <cell r="B168">
            <v>149</v>
          </cell>
          <cell r="C168" t="str">
            <v>Gypsum 120 x 240  t = 9 mm ex Luar</v>
          </cell>
          <cell r="D168" t="str">
            <v>lbr</v>
          </cell>
          <cell r="E168">
            <v>62000</v>
          </cell>
        </row>
        <row r="169">
          <cell r="A169" t="str">
            <v>BH06</v>
          </cell>
          <cell r="B169">
            <v>150</v>
          </cell>
          <cell r="C169" t="str">
            <v xml:space="preserve">Acustik Amstrong 60 x 120 </v>
          </cell>
          <cell r="D169" t="str">
            <v>lbr</v>
          </cell>
          <cell r="E169">
            <v>95000</v>
          </cell>
        </row>
        <row r="170">
          <cell r="B170">
            <v>151</v>
          </cell>
          <cell r="C170" t="str">
            <v>GRC 120 x 240</v>
          </cell>
          <cell r="D170" t="str">
            <v>lbr</v>
          </cell>
          <cell r="E170">
            <v>55000</v>
          </cell>
        </row>
        <row r="172">
          <cell r="B172" t="str">
            <v>E</v>
          </cell>
          <cell r="C172" t="str">
            <v>BAHAN KAYU LAPIS</v>
          </cell>
        </row>
        <row r="173">
          <cell r="A173" t="str">
            <v>BJ01</v>
          </cell>
          <cell r="B173">
            <v>1</v>
          </cell>
          <cell r="C173" t="str">
            <v>Triplek 3 mm 120 x 240</v>
          </cell>
          <cell r="D173" t="str">
            <v>lbr</v>
          </cell>
          <cell r="E173">
            <v>45000</v>
          </cell>
        </row>
        <row r="174">
          <cell r="A174" t="str">
            <v>BJ02</v>
          </cell>
          <cell r="B174">
            <v>153</v>
          </cell>
          <cell r="C174" t="str">
            <v>Triplek 4 mm 120 x 240</v>
          </cell>
          <cell r="D174" t="str">
            <v>lbr</v>
          </cell>
          <cell r="E174">
            <v>52500</v>
          </cell>
        </row>
        <row r="175">
          <cell r="A175" t="str">
            <v>BJ03</v>
          </cell>
          <cell r="B175">
            <v>154</v>
          </cell>
          <cell r="C175" t="str">
            <v>Triplek 4 mm Ukuran Pintu</v>
          </cell>
          <cell r="D175" t="str">
            <v>lbr</v>
          </cell>
          <cell r="E175">
            <v>31500</v>
          </cell>
        </row>
        <row r="176">
          <cell r="A176" t="str">
            <v>BJ04</v>
          </cell>
          <cell r="B176">
            <v>155</v>
          </cell>
          <cell r="C176" t="str">
            <v>Triplek 6 mm 120 x 240</v>
          </cell>
          <cell r="D176" t="str">
            <v>lbr</v>
          </cell>
          <cell r="E176">
            <v>62500</v>
          </cell>
        </row>
        <row r="177">
          <cell r="A177" t="str">
            <v>BJ06</v>
          </cell>
          <cell r="B177">
            <v>156</v>
          </cell>
          <cell r="C177" t="str">
            <v>Jabar Wood 4 mm</v>
          </cell>
          <cell r="D177" t="str">
            <v>lbr</v>
          </cell>
          <cell r="E177">
            <v>60000</v>
          </cell>
        </row>
        <row r="178">
          <cell r="B178">
            <v>157</v>
          </cell>
          <cell r="C178" t="str">
            <v>Plywood 18 mm 120 x 240</v>
          </cell>
          <cell r="D178" t="str">
            <v>lbr</v>
          </cell>
          <cell r="E178">
            <v>232000</v>
          </cell>
        </row>
        <row r="179">
          <cell r="B179">
            <v>158</v>
          </cell>
          <cell r="C179" t="str">
            <v>Plywood 4 mm 120 x 240</v>
          </cell>
          <cell r="D179" t="str">
            <v>lbr</v>
          </cell>
          <cell r="E179">
            <v>85000</v>
          </cell>
        </row>
        <row r="180">
          <cell r="B180">
            <v>159</v>
          </cell>
          <cell r="C180" t="str">
            <v>Plywood 3 mm 120 x 240</v>
          </cell>
          <cell r="D180" t="str">
            <v>lbr</v>
          </cell>
          <cell r="E180">
            <v>50000</v>
          </cell>
        </row>
        <row r="181">
          <cell r="B181">
            <v>160</v>
          </cell>
          <cell r="C181" t="str">
            <v>Plywood 3 mm ukuran Pintu</v>
          </cell>
          <cell r="D181" t="str">
            <v>lbr</v>
          </cell>
          <cell r="E181">
            <v>95000</v>
          </cell>
        </row>
        <row r="182">
          <cell r="B182">
            <v>161</v>
          </cell>
          <cell r="C182" t="str">
            <v>Plywood 4 mm ukuran Pintu</v>
          </cell>
          <cell r="D182" t="str">
            <v>lbr</v>
          </cell>
          <cell r="E182">
            <v>105000</v>
          </cell>
        </row>
        <row r="183">
          <cell r="A183" t="str">
            <v>BJ07</v>
          </cell>
          <cell r="B183">
            <v>162</v>
          </cell>
          <cell r="C183" t="str">
            <v>Bilik Bambu ( tanpa kulit )</v>
          </cell>
          <cell r="D183" t="str">
            <v>m²</v>
          </cell>
          <cell r="E183">
            <v>4500</v>
          </cell>
        </row>
        <row r="184">
          <cell r="A184" t="str">
            <v>BJ08</v>
          </cell>
          <cell r="B184">
            <v>163</v>
          </cell>
          <cell r="C184" t="str">
            <v>Bilik Bambu ( dengan kulit )</v>
          </cell>
          <cell r="D184" t="str">
            <v>m²</v>
          </cell>
          <cell r="E184">
            <v>10000</v>
          </cell>
        </row>
        <row r="185">
          <cell r="A185" t="str">
            <v>BJ09</v>
          </cell>
          <cell r="B185">
            <v>164</v>
          </cell>
          <cell r="C185" t="str">
            <v>Bilik Bambu Hitam Variasi</v>
          </cell>
          <cell r="D185" t="str">
            <v>m²</v>
          </cell>
          <cell r="E185">
            <v>14500</v>
          </cell>
        </row>
        <row r="186">
          <cell r="A186" t="str">
            <v>BJ10</v>
          </cell>
          <cell r="B186">
            <v>165</v>
          </cell>
          <cell r="C186" t="str">
            <v>Wall Paper ( kls menengah )</v>
          </cell>
          <cell r="D186" t="str">
            <v>m²</v>
          </cell>
          <cell r="E186">
            <v>35000</v>
          </cell>
        </row>
        <row r="187">
          <cell r="A187" t="str">
            <v>BJ11</v>
          </cell>
          <cell r="B187">
            <v>166</v>
          </cell>
          <cell r="C187" t="str">
            <v>Multiplek 9 mm 120 x 240</v>
          </cell>
          <cell r="D187" t="str">
            <v>lbr</v>
          </cell>
          <cell r="E187">
            <v>105000</v>
          </cell>
        </row>
        <row r="188">
          <cell r="A188" t="str">
            <v>BJ12</v>
          </cell>
          <cell r="B188">
            <v>167</v>
          </cell>
          <cell r="C188" t="str">
            <v>Multiplek 12 mm 120 x 240</v>
          </cell>
          <cell r="D188" t="str">
            <v>lbr</v>
          </cell>
          <cell r="E188">
            <v>140000</v>
          </cell>
        </row>
        <row r="189">
          <cell r="A189" t="str">
            <v>BJ13</v>
          </cell>
          <cell r="B189">
            <v>168</v>
          </cell>
          <cell r="C189" t="str">
            <v>Multiplek 18 mm 120 x 240</v>
          </cell>
          <cell r="D189" t="str">
            <v>lbr</v>
          </cell>
          <cell r="E189">
            <v>162500</v>
          </cell>
        </row>
        <row r="190">
          <cell r="A190" t="str">
            <v>BJ14</v>
          </cell>
          <cell r="B190">
            <v>169</v>
          </cell>
          <cell r="C190" t="str">
            <v>Play Wood 18 mm 120 x 240</v>
          </cell>
          <cell r="D190" t="str">
            <v>lbr</v>
          </cell>
          <cell r="E190">
            <v>205000</v>
          </cell>
        </row>
        <row r="191">
          <cell r="A191" t="str">
            <v>BJ15</v>
          </cell>
          <cell r="B191">
            <v>170</v>
          </cell>
          <cell r="C191" t="str">
            <v>Teak Wood 3 mm 120 x 240</v>
          </cell>
          <cell r="D191" t="str">
            <v>lbr</v>
          </cell>
          <cell r="E191">
            <v>76000</v>
          </cell>
        </row>
        <row r="192">
          <cell r="A192" t="str">
            <v>BJ16</v>
          </cell>
          <cell r="B192">
            <v>171</v>
          </cell>
          <cell r="C192" t="str">
            <v>Teak Wood 4 mm 120 x 240</v>
          </cell>
          <cell r="D192" t="str">
            <v>lbr</v>
          </cell>
          <cell r="E192">
            <v>83500</v>
          </cell>
        </row>
        <row r="193">
          <cell r="A193" t="str">
            <v>BJ17</v>
          </cell>
          <cell r="B193">
            <v>172</v>
          </cell>
          <cell r="C193" t="str">
            <v xml:space="preserve">Teak Wood 3 mm 120 x 240 Ukuran Pintu </v>
          </cell>
          <cell r="D193" t="str">
            <v>lbr</v>
          </cell>
          <cell r="E193">
            <v>52000</v>
          </cell>
        </row>
        <row r="194">
          <cell r="A194" t="str">
            <v>BJ18</v>
          </cell>
          <cell r="B194">
            <v>173</v>
          </cell>
          <cell r="C194" t="str">
            <v>Teak Wood ukuran Pintu 4 mm</v>
          </cell>
          <cell r="D194" t="str">
            <v>lbr</v>
          </cell>
          <cell r="E194">
            <v>77700</v>
          </cell>
        </row>
        <row r="195">
          <cell r="A195" t="str">
            <v>BJ19</v>
          </cell>
          <cell r="B195">
            <v>174</v>
          </cell>
          <cell r="C195" t="str">
            <v>Tacon ( tahan bakar )</v>
          </cell>
          <cell r="D195" t="str">
            <v>m²</v>
          </cell>
          <cell r="E195">
            <v>80000</v>
          </cell>
        </row>
        <row r="196">
          <cell r="A196" t="str">
            <v>BJ20</v>
          </cell>
          <cell r="B196">
            <v>175</v>
          </cell>
          <cell r="C196" t="str">
            <v>Supercon</v>
          </cell>
          <cell r="D196" t="str">
            <v>m²</v>
          </cell>
          <cell r="E196">
            <v>42500</v>
          </cell>
        </row>
        <row r="197">
          <cell r="A197" t="str">
            <v>BJ21</v>
          </cell>
          <cell r="B197">
            <v>176</v>
          </cell>
          <cell r="C197" t="str">
            <v xml:space="preserve">Melamin 4 mm 120 x 240 </v>
          </cell>
          <cell r="D197" t="str">
            <v>lbr</v>
          </cell>
          <cell r="E197">
            <v>55000</v>
          </cell>
        </row>
        <row r="198">
          <cell r="A198" t="str">
            <v>BJ22</v>
          </cell>
          <cell r="B198">
            <v>177</v>
          </cell>
          <cell r="C198" t="str">
            <v xml:space="preserve">Melamin TIK 4 mm </v>
          </cell>
          <cell r="D198" t="str">
            <v>lbr</v>
          </cell>
          <cell r="E198">
            <v>145000</v>
          </cell>
        </row>
        <row r="199">
          <cell r="A199" t="str">
            <v>BJ23</v>
          </cell>
          <cell r="B199">
            <v>178</v>
          </cell>
          <cell r="C199" t="str">
            <v xml:space="preserve">Formika 120 x 240 </v>
          </cell>
          <cell r="D199" t="str">
            <v>lbr</v>
          </cell>
          <cell r="E199">
            <v>140000</v>
          </cell>
        </row>
        <row r="200">
          <cell r="A200" t="str">
            <v>BJ24</v>
          </cell>
          <cell r="B200">
            <v>179</v>
          </cell>
          <cell r="C200" t="str">
            <v>Formika Ukuran Pintu</v>
          </cell>
          <cell r="D200" t="str">
            <v>lbr</v>
          </cell>
          <cell r="E200">
            <v>82500</v>
          </cell>
        </row>
        <row r="202">
          <cell r="B202" t="str">
            <v>F</v>
          </cell>
          <cell r="C202" t="str">
            <v>BAHAN LANTAI DAN PELAPIS DINDING</v>
          </cell>
        </row>
        <row r="203">
          <cell r="A203" t="str">
            <v>BL01</v>
          </cell>
          <cell r="B203">
            <v>180</v>
          </cell>
          <cell r="C203" t="str">
            <v>Tegel PC 20 x 20</v>
          </cell>
          <cell r="D203" t="str">
            <v>bh</v>
          </cell>
          <cell r="E203">
            <v>750</v>
          </cell>
        </row>
        <row r="204">
          <cell r="A204" t="str">
            <v>BL02</v>
          </cell>
          <cell r="B204">
            <v>181</v>
          </cell>
          <cell r="C204" t="str">
            <v>Plin Tegel PC 10 x 20</v>
          </cell>
          <cell r="D204" t="str">
            <v>bh</v>
          </cell>
          <cell r="E204">
            <v>1000</v>
          </cell>
        </row>
        <row r="205">
          <cell r="A205" t="str">
            <v>BL03</v>
          </cell>
          <cell r="B205">
            <v>182</v>
          </cell>
          <cell r="C205" t="str">
            <v>Tegel PC 30 x 30</v>
          </cell>
          <cell r="D205" t="str">
            <v>bh</v>
          </cell>
          <cell r="E205">
            <v>2300</v>
          </cell>
        </row>
        <row r="206">
          <cell r="A206" t="str">
            <v>BL04</v>
          </cell>
          <cell r="B206">
            <v>183</v>
          </cell>
          <cell r="C206" t="str">
            <v>Plin Tegel PC 15 x 30</v>
          </cell>
          <cell r="D206" t="str">
            <v>bh</v>
          </cell>
          <cell r="E206">
            <v>1000</v>
          </cell>
        </row>
        <row r="207">
          <cell r="A207" t="str">
            <v>BL05</v>
          </cell>
          <cell r="B207">
            <v>184</v>
          </cell>
          <cell r="C207" t="str">
            <v>Tegel Warna 20 x 20</v>
          </cell>
          <cell r="D207" t="str">
            <v>bh</v>
          </cell>
          <cell r="E207">
            <v>900</v>
          </cell>
        </row>
        <row r="208">
          <cell r="A208" t="str">
            <v>BL06</v>
          </cell>
          <cell r="B208">
            <v>185</v>
          </cell>
          <cell r="C208" t="str">
            <v>Plin Tegel Warna 10 x 20</v>
          </cell>
          <cell r="D208" t="str">
            <v>bh</v>
          </cell>
          <cell r="E208">
            <v>2000</v>
          </cell>
        </row>
        <row r="209">
          <cell r="A209" t="str">
            <v>BL07</v>
          </cell>
          <cell r="B209">
            <v>186</v>
          </cell>
          <cell r="C209" t="str">
            <v>Tegel Warna 30 x 30</v>
          </cell>
          <cell r="D209" t="str">
            <v>bh</v>
          </cell>
          <cell r="E209">
            <v>2500</v>
          </cell>
        </row>
        <row r="210">
          <cell r="A210" t="str">
            <v>BL07'</v>
          </cell>
          <cell r="B210">
            <v>187</v>
          </cell>
          <cell r="C210" t="str">
            <v>Ubin Keramik 30 x 30 cm KW 1</v>
          </cell>
          <cell r="D210" t="str">
            <v>dus</v>
          </cell>
          <cell r="E210">
            <v>32500</v>
          </cell>
        </row>
        <row r="211">
          <cell r="A211" t="str">
            <v>BL07"</v>
          </cell>
          <cell r="B211">
            <v>188</v>
          </cell>
          <cell r="C211" t="str">
            <v>Ubin Keramik 20 x 20 cm KW 1</v>
          </cell>
          <cell r="D211" t="str">
            <v>dus</v>
          </cell>
          <cell r="E211">
            <v>33000</v>
          </cell>
        </row>
        <row r="212">
          <cell r="A212" t="str">
            <v>BL08</v>
          </cell>
          <cell r="B212">
            <v>189</v>
          </cell>
          <cell r="C212" t="str">
            <v>Plin Tegel Warna 15 x 30</v>
          </cell>
          <cell r="D212" t="str">
            <v>bh</v>
          </cell>
          <cell r="E212">
            <v>3000</v>
          </cell>
        </row>
        <row r="213">
          <cell r="A213" t="str">
            <v>BL09</v>
          </cell>
          <cell r="B213">
            <v>190</v>
          </cell>
          <cell r="C213" t="str">
            <v>Tegel Wafel PC 20 x 20</v>
          </cell>
          <cell r="D213" t="str">
            <v>bh</v>
          </cell>
          <cell r="E213">
            <v>700</v>
          </cell>
        </row>
        <row r="214">
          <cell r="A214" t="str">
            <v>BL10</v>
          </cell>
          <cell r="B214">
            <v>191</v>
          </cell>
          <cell r="C214" t="str">
            <v>Tegel Wafel Warna 20 x 20</v>
          </cell>
          <cell r="D214" t="str">
            <v>bh</v>
          </cell>
          <cell r="E214">
            <v>850</v>
          </cell>
        </row>
        <row r="215">
          <cell r="A215" t="str">
            <v>BL11</v>
          </cell>
          <cell r="B215">
            <v>192</v>
          </cell>
          <cell r="C215" t="str">
            <v>Tegel Badak PC 30 x 30</v>
          </cell>
          <cell r="D215" t="str">
            <v>bh</v>
          </cell>
          <cell r="E215">
            <v>2100</v>
          </cell>
        </row>
        <row r="216">
          <cell r="A216" t="str">
            <v>BL12</v>
          </cell>
          <cell r="B216">
            <v>193</v>
          </cell>
          <cell r="C216" t="str">
            <v>Poslin 11 x 11 Warna Standar DN</v>
          </cell>
          <cell r="D216" t="str">
            <v>m²</v>
          </cell>
          <cell r="E216">
            <v>33500</v>
          </cell>
        </row>
        <row r="217">
          <cell r="A217" t="str">
            <v>BL13</v>
          </cell>
          <cell r="B217">
            <v>194</v>
          </cell>
          <cell r="C217" t="str">
            <v>Poslin 11 x 11 Warna Khusus DN</v>
          </cell>
          <cell r="D217" t="str">
            <v>m²</v>
          </cell>
          <cell r="E217">
            <v>35000</v>
          </cell>
        </row>
        <row r="218">
          <cell r="A218" t="str">
            <v>BL14</v>
          </cell>
          <cell r="B218">
            <v>195</v>
          </cell>
          <cell r="C218" t="str">
            <v>Keramik 10 x 20 dan 20 x 20 KW I DN Putih  / Polos</v>
          </cell>
          <cell r="D218" t="str">
            <v>m²</v>
          </cell>
          <cell r="E218">
            <v>35000</v>
          </cell>
        </row>
        <row r="219">
          <cell r="A219" t="str">
            <v>BL15</v>
          </cell>
          <cell r="B219">
            <v>196</v>
          </cell>
          <cell r="C219" t="str">
            <v>Keramik 10 x 20 KW I DN Corak / Warna / Anti Slip</v>
          </cell>
          <cell r="D219" t="str">
            <v>m²</v>
          </cell>
          <cell r="E219">
            <v>35000</v>
          </cell>
        </row>
        <row r="220">
          <cell r="A220" t="str">
            <v>BL16</v>
          </cell>
          <cell r="B220">
            <v>197</v>
          </cell>
          <cell r="C220" t="str">
            <v>Keramik 20 x 20 (KM) KW I DN Corak / Warna / Anti Slip</v>
          </cell>
          <cell r="D220" t="str">
            <v>m²</v>
          </cell>
          <cell r="E220">
            <v>35000</v>
          </cell>
        </row>
        <row r="221">
          <cell r="A221" t="str">
            <v>BL17</v>
          </cell>
          <cell r="B221">
            <v>198</v>
          </cell>
          <cell r="C221" t="str">
            <v xml:space="preserve">Keramik 20 x 20 (KM) KWI DN Putih Polos </v>
          </cell>
          <cell r="D221" t="str">
            <v>m²</v>
          </cell>
          <cell r="E221">
            <v>35000</v>
          </cell>
        </row>
        <row r="222">
          <cell r="A222" t="str">
            <v>BL18</v>
          </cell>
          <cell r="B222">
            <v>199</v>
          </cell>
          <cell r="C222" t="str">
            <v xml:space="preserve">Keramik 20 x 25 Dinding KM KWI DN Corak </v>
          </cell>
          <cell r="D222" t="str">
            <v>m²</v>
          </cell>
          <cell r="E222">
            <v>40000</v>
          </cell>
        </row>
        <row r="223">
          <cell r="A223" t="str">
            <v>BL19</v>
          </cell>
          <cell r="B223">
            <v>200</v>
          </cell>
          <cell r="C223" t="str">
            <v>Keramik 30 x 30 KW I DN putih polos</v>
          </cell>
          <cell r="D223" t="str">
            <v>m²</v>
          </cell>
          <cell r="E223">
            <v>32500</v>
          </cell>
        </row>
        <row r="224">
          <cell r="A224" t="str">
            <v>BL20</v>
          </cell>
          <cell r="B224">
            <v>1</v>
          </cell>
          <cell r="C224" t="str">
            <v xml:space="preserve">Keramik 30 x 30 KW I DN Warna/Corak </v>
          </cell>
          <cell r="D224" t="str">
            <v>m²</v>
          </cell>
          <cell r="E224">
            <v>40000</v>
          </cell>
        </row>
        <row r="225">
          <cell r="B225">
            <v>202</v>
          </cell>
          <cell r="C225" t="str">
            <v>Granito Tile Esenssza 40 x 40 polis</v>
          </cell>
          <cell r="D225" t="str">
            <v>m²</v>
          </cell>
          <cell r="E225">
            <v>250000</v>
          </cell>
        </row>
        <row r="226">
          <cell r="B226">
            <v>203</v>
          </cell>
          <cell r="C226" t="str">
            <v>Granito Tile Esenssza 40 x 40 un polis</v>
          </cell>
          <cell r="D226" t="str">
            <v>m²</v>
          </cell>
          <cell r="E226">
            <v>185000</v>
          </cell>
        </row>
        <row r="227">
          <cell r="B227">
            <v>204</v>
          </cell>
          <cell r="C227" t="str">
            <v>Granito Tile Esenssza 60 x 60 polis</v>
          </cell>
          <cell r="D227" t="str">
            <v>m²</v>
          </cell>
          <cell r="E227">
            <v>275000</v>
          </cell>
        </row>
        <row r="228">
          <cell r="B228">
            <v>205</v>
          </cell>
          <cell r="C228" t="str">
            <v>Granito Tile Esenssza 60 x 60 un polis</v>
          </cell>
          <cell r="D228" t="str">
            <v>m²</v>
          </cell>
          <cell r="E228">
            <v>200000</v>
          </cell>
        </row>
        <row r="229">
          <cell r="B229">
            <v>206</v>
          </cell>
          <cell r="C229" t="str">
            <v xml:space="preserve">Keramik 40 x 40 cm </v>
          </cell>
          <cell r="D229" t="str">
            <v>dus</v>
          </cell>
          <cell r="E229">
            <v>46000</v>
          </cell>
        </row>
        <row r="230">
          <cell r="B230">
            <v>2</v>
          </cell>
          <cell r="C230" t="str">
            <v>Keramik 40 x 40 cm Bercorak/Warna</v>
          </cell>
          <cell r="D230" t="str">
            <v>m²</v>
          </cell>
          <cell r="E230">
            <v>55000.000000000007</v>
          </cell>
        </row>
        <row r="231">
          <cell r="B231">
            <v>207</v>
          </cell>
          <cell r="C231" t="str">
            <v>Keramik Mozaik 30 x 30 cm</v>
          </cell>
          <cell r="D231" t="str">
            <v>dus</v>
          </cell>
          <cell r="E231">
            <v>55000</v>
          </cell>
        </row>
        <row r="232">
          <cell r="A232" t="str">
            <v>BL21</v>
          </cell>
          <cell r="B232">
            <v>208</v>
          </cell>
          <cell r="C232" t="str">
            <v>Vinyl Lantai standar</v>
          </cell>
          <cell r="D232" t="str">
            <v>m²</v>
          </cell>
          <cell r="E232">
            <v>21000</v>
          </cell>
        </row>
        <row r="233">
          <cell r="A233" t="str">
            <v>BL22</v>
          </cell>
          <cell r="B233">
            <v>209</v>
          </cell>
          <cell r="C233" t="str">
            <v>Karpet Kelas Baik LN</v>
          </cell>
          <cell r="D233" t="str">
            <v>m²</v>
          </cell>
          <cell r="E233">
            <v>500000</v>
          </cell>
        </row>
        <row r="234">
          <cell r="A234" t="str">
            <v>BL23</v>
          </cell>
          <cell r="B234">
            <v>210</v>
          </cell>
          <cell r="C234" t="str">
            <v>Karpet Kelas Sedang LN</v>
          </cell>
          <cell r="D234" t="str">
            <v>m²</v>
          </cell>
          <cell r="E234">
            <v>200000</v>
          </cell>
        </row>
        <row r="235">
          <cell r="A235" t="str">
            <v>BL24</v>
          </cell>
          <cell r="B235">
            <v>211</v>
          </cell>
          <cell r="C235" t="str">
            <v>Stairnosing keramik 10/20</v>
          </cell>
          <cell r="D235" t="str">
            <v>bh</v>
          </cell>
          <cell r="E235">
            <v>8000</v>
          </cell>
        </row>
        <row r="236">
          <cell r="A236" t="str">
            <v>BL25</v>
          </cell>
          <cell r="B236">
            <v>212</v>
          </cell>
          <cell r="C236" t="str">
            <v>Stairnosing fiber</v>
          </cell>
          <cell r="D236" t="str">
            <v>m'</v>
          </cell>
          <cell r="E236">
            <v>14500</v>
          </cell>
        </row>
        <row r="237">
          <cell r="A237" t="str">
            <v>BL26</v>
          </cell>
          <cell r="B237">
            <v>213</v>
          </cell>
          <cell r="C237" t="str">
            <v>Taraso Kerang 30 x 30</v>
          </cell>
          <cell r="D237" t="str">
            <v>m²</v>
          </cell>
          <cell r="E237">
            <v>20000</v>
          </cell>
        </row>
        <row r="238">
          <cell r="A238" t="str">
            <v>BL27</v>
          </cell>
          <cell r="B238">
            <v>214</v>
          </cell>
          <cell r="C238" t="str">
            <v>Plin Taraso 10 x 30</v>
          </cell>
          <cell r="D238" t="str">
            <v>bh</v>
          </cell>
          <cell r="E238">
            <v>4500</v>
          </cell>
        </row>
        <row r="239">
          <cell r="A239" t="str">
            <v>BL28</v>
          </cell>
          <cell r="B239">
            <v>215</v>
          </cell>
          <cell r="C239" t="str">
            <v xml:space="preserve">Granit Alam LN Ukuran Besar </v>
          </cell>
          <cell r="D239" t="str">
            <v>m²</v>
          </cell>
          <cell r="E239">
            <v>1250000</v>
          </cell>
        </row>
        <row r="240">
          <cell r="A240" t="str">
            <v>BL29</v>
          </cell>
          <cell r="B240">
            <v>216</v>
          </cell>
          <cell r="C240" t="str">
            <v xml:space="preserve">Granit Alam LN Ukuran Kecil </v>
          </cell>
          <cell r="D240" t="str">
            <v>m²</v>
          </cell>
          <cell r="E240">
            <v>1100000</v>
          </cell>
        </row>
        <row r="241">
          <cell r="A241" t="str">
            <v>BL30</v>
          </cell>
          <cell r="B241">
            <v>217</v>
          </cell>
          <cell r="C241" t="str">
            <v xml:space="preserve">Granit Alam DN Ukuran Besar </v>
          </cell>
          <cell r="D241" t="str">
            <v>m²</v>
          </cell>
          <cell r="E241">
            <v>950000</v>
          </cell>
        </row>
        <row r="242">
          <cell r="A242" t="str">
            <v>BL31</v>
          </cell>
          <cell r="B242">
            <v>218</v>
          </cell>
          <cell r="C242" t="str">
            <v>Granit Alam DN Ukuran Kecil</v>
          </cell>
          <cell r="D242" t="str">
            <v>m²</v>
          </cell>
          <cell r="E242">
            <v>850000</v>
          </cell>
        </row>
        <row r="243">
          <cell r="A243" t="str">
            <v>BL32</v>
          </cell>
          <cell r="B243">
            <v>219</v>
          </cell>
          <cell r="C243" t="str">
            <v xml:space="preserve">Marmer Alam  Lampung Ukuran Besar </v>
          </cell>
          <cell r="D243" t="str">
            <v>m²</v>
          </cell>
          <cell r="E243">
            <v>160000</v>
          </cell>
        </row>
        <row r="244">
          <cell r="A244" t="str">
            <v>BL33</v>
          </cell>
          <cell r="B244">
            <v>220</v>
          </cell>
          <cell r="C244" t="str">
            <v>Marmer Alam  Lampung Ukuran Kecil</v>
          </cell>
          <cell r="D244" t="str">
            <v>m²</v>
          </cell>
          <cell r="E244">
            <v>110000</v>
          </cell>
        </row>
        <row r="245">
          <cell r="A245" t="str">
            <v>BL34</v>
          </cell>
          <cell r="B245">
            <v>221</v>
          </cell>
          <cell r="C245" t="str">
            <v xml:space="preserve">Marmer Alam Citatah Ukuran Besar </v>
          </cell>
          <cell r="D245" t="str">
            <v>m²</v>
          </cell>
          <cell r="E245">
            <v>430000</v>
          </cell>
        </row>
        <row r="246">
          <cell r="A246" t="str">
            <v>BL35</v>
          </cell>
          <cell r="B246">
            <v>222</v>
          </cell>
          <cell r="C246" t="str">
            <v>Marmer Alam Citatah Ukuran Kecil</v>
          </cell>
          <cell r="D246" t="str">
            <v>m²</v>
          </cell>
          <cell r="E246">
            <v>250000</v>
          </cell>
        </row>
        <row r="247">
          <cell r="A247" t="str">
            <v>BL36</v>
          </cell>
          <cell r="B247">
            <v>223</v>
          </cell>
          <cell r="C247" t="str">
            <v>Marmer Sintetis</v>
          </cell>
          <cell r="D247" t="str">
            <v>m²</v>
          </cell>
          <cell r="E247">
            <v>245700</v>
          </cell>
        </row>
        <row r="248">
          <cell r="A248" t="str">
            <v>BL37</v>
          </cell>
          <cell r="B248">
            <v>224</v>
          </cell>
          <cell r="C248" t="str">
            <v xml:space="preserve">Bata Karawang </v>
          </cell>
          <cell r="D248" t="str">
            <v>bh</v>
          </cell>
          <cell r="E248">
            <v>2200</v>
          </cell>
        </row>
        <row r="249">
          <cell r="A249" t="str">
            <v>BL41</v>
          </cell>
          <cell r="B249">
            <v>225</v>
          </cell>
          <cell r="C249" t="str">
            <v xml:space="preserve">Bata Karawang </v>
          </cell>
          <cell r="D249" t="str">
            <v>bh</v>
          </cell>
          <cell r="E249">
            <v>2200</v>
          </cell>
        </row>
        <row r="250">
          <cell r="A250" t="str">
            <v>BL42</v>
          </cell>
          <cell r="B250">
            <v>226</v>
          </cell>
          <cell r="C250" t="str">
            <v>Campuran untuk Kedap Air (AM)</v>
          </cell>
          <cell r="D250" t="str">
            <v>ltr</v>
          </cell>
          <cell r="E250">
            <v>22000</v>
          </cell>
        </row>
        <row r="251">
          <cell r="B251">
            <v>3</v>
          </cell>
          <cell r="C251" t="str">
            <v>Lantai Parket</v>
          </cell>
          <cell r="D251" t="str">
            <v>m²</v>
          </cell>
          <cell r="E251">
            <v>320000</v>
          </cell>
        </row>
        <row r="252">
          <cell r="B252">
            <v>4</v>
          </cell>
          <cell r="C252" t="str">
            <v>Stepnozing</v>
          </cell>
          <cell r="D252" t="str">
            <v>m'</v>
          </cell>
          <cell r="E252">
            <v>14400</v>
          </cell>
        </row>
        <row r="254">
          <cell r="B254" t="str">
            <v>G</v>
          </cell>
          <cell r="C254" t="str">
            <v>BAHAN SALURAN AIR KOTOR / BERSIH</v>
          </cell>
        </row>
        <row r="255">
          <cell r="A255" t="str">
            <v>BN01</v>
          </cell>
          <cell r="B255">
            <v>229</v>
          </cell>
          <cell r="C255" t="str">
            <v>Grafel 1/2 d.20 cm</v>
          </cell>
          <cell r="D255" t="str">
            <v>m1</v>
          </cell>
          <cell r="E255">
            <v>20000</v>
          </cell>
        </row>
        <row r="256">
          <cell r="A256" t="str">
            <v>BN02</v>
          </cell>
          <cell r="B256">
            <v>1</v>
          </cell>
          <cell r="C256" t="str">
            <v>Grafel 1/2 d.30 cm</v>
          </cell>
          <cell r="D256" t="str">
            <v>m1</v>
          </cell>
          <cell r="E256">
            <v>30000</v>
          </cell>
        </row>
        <row r="257">
          <cell r="A257" t="str">
            <v>BN03</v>
          </cell>
          <cell r="B257">
            <v>231</v>
          </cell>
          <cell r="C257" t="str">
            <v>Grafel 1/2 d.40 cm</v>
          </cell>
          <cell r="D257" t="str">
            <v>m1</v>
          </cell>
          <cell r="E257">
            <v>40000</v>
          </cell>
        </row>
        <row r="258">
          <cell r="A258" t="str">
            <v>BN04</v>
          </cell>
          <cell r="B258">
            <v>232</v>
          </cell>
          <cell r="C258" t="str">
            <v>Buis Beton Ø 20 cm ( 1 m' )</v>
          </cell>
          <cell r="D258" t="str">
            <v>m1</v>
          </cell>
          <cell r="E258">
            <v>30000</v>
          </cell>
        </row>
        <row r="259">
          <cell r="A259" t="str">
            <v>BN05</v>
          </cell>
          <cell r="B259">
            <v>233</v>
          </cell>
          <cell r="C259" t="str">
            <v>Buis Beton Ø 30 cm ( 1 m' )</v>
          </cell>
          <cell r="D259" t="str">
            <v>bh</v>
          </cell>
          <cell r="E259">
            <v>45000</v>
          </cell>
        </row>
        <row r="260">
          <cell r="A260" t="str">
            <v>BN06</v>
          </cell>
          <cell r="B260">
            <v>234</v>
          </cell>
          <cell r="C260" t="str">
            <v>Buis Beton Ø 40 cm ( 1 m' )</v>
          </cell>
          <cell r="D260" t="str">
            <v>bh</v>
          </cell>
          <cell r="E260">
            <v>60000</v>
          </cell>
        </row>
        <row r="261">
          <cell r="A261" t="str">
            <v>BN07</v>
          </cell>
          <cell r="B261">
            <v>235</v>
          </cell>
          <cell r="C261" t="str">
            <v>Buis Beton Ø 50 cm ( 1 m' )</v>
          </cell>
          <cell r="D261" t="str">
            <v>bh</v>
          </cell>
          <cell r="E261">
            <v>75000</v>
          </cell>
        </row>
        <row r="262">
          <cell r="A262" t="str">
            <v>BN08</v>
          </cell>
          <cell r="B262">
            <v>236</v>
          </cell>
          <cell r="C262" t="str">
            <v>Buis Beton Ø 60 cm ( 1 m' ) *M031</v>
          </cell>
          <cell r="D262" t="str">
            <v>bh</v>
          </cell>
          <cell r="E262">
            <v>90000</v>
          </cell>
        </row>
        <row r="263">
          <cell r="A263" t="str">
            <v>BN09</v>
          </cell>
          <cell r="B263">
            <v>237</v>
          </cell>
          <cell r="C263" t="str">
            <v>Buis Beton Ø 100 cm ( 0.50 m ) *M035</v>
          </cell>
          <cell r="D263" t="str">
            <v>bh</v>
          </cell>
          <cell r="E263">
            <v>120000</v>
          </cell>
        </row>
        <row r="264">
          <cell r="A264" t="str">
            <v>BN10</v>
          </cell>
          <cell r="B264">
            <v>238</v>
          </cell>
          <cell r="C264" t="str">
            <v>Buis Beton Ø 80 cm ( 0.50 m ) *M033</v>
          </cell>
          <cell r="D264" t="str">
            <v>bh</v>
          </cell>
          <cell r="E264">
            <v>100000</v>
          </cell>
        </row>
        <row r="265">
          <cell r="A265" t="str">
            <v>BN11</v>
          </cell>
          <cell r="B265">
            <v>239</v>
          </cell>
          <cell r="C265" t="str">
            <v>Buis Tanah Ø 10 cm ( 0.50 m )</v>
          </cell>
          <cell r="D265" t="str">
            <v>bh</v>
          </cell>
          <cell r="E265">
            <v>7000</v>
          </cell>
        </row>
        <row r="266">
          <cell r="A266" t="str">
            <v>BN12</v>
          </cell>
          <cell r="B266">
            <v>240</v>
          </cell>
          <cell r="C266" t="str">
            <v>Buis Tanah Ø 15 cm ( 0.50 m )</v>
          </cell>
          <cell r="D266" t="str">
            <v>bh</v>
          </cell>
          <cell r="E266">
            <v>10350</v>
          </cell>
        </row>
        <row r="267">
          <cell r="A267" t="str">
            <v>BN13</v>
          </cell>
          <cell r="B267">
            <v>241</v>
          </cell>
          <cell r="C267" t="str">
            <v>Buis Tanah Ø 20 cm ( 0.50 m )</v>
          </cell>
          <cell r="D267" t="str">
            <v>bh</v>
          </cell>
          <cell r="E267">
            <v>15000</v>
          </cell>
        </row>
        <row r="268">
          <cell r="A268" t="str">
            <v>BN14</v>
          </cell>
          <cell r="B268">
            <v>242</v>
          </cell>
          <cell r="C268" t="str">
            <v>Buis Tanah Ø 25 cm ( 0.50 m )</v>
          </cell>
          <cell r="D268" t="str">
            <v>bh</v>
          </cell>
          <cell r="E268">
            <v>11000</v>
          </cell>
        </row>
        <row r="269">
          <cell r="A269" t="str">
            <v>BN15</v>
          </cell>
          <cell r="B269">
            <v>243</v>
          </cell>
          <cell r="C269" t="str">
            <v xml:space="preserve"> Injuk</v>
          </cell>
          <cell r="D269" t="str">
            <v>kg</v>
          </cell>
          <cell r="E269">
            <v>12000</v>
          </cell>
        </row>
        <row r="271">
          <cell r="B271" t="str">
            <v>H</v>
          </cell>
          <cell r="C271" t="str">
            <v>BAHAN LOGAM DAN BAHAN JADINYA</v>
          </cell>
        </row>
        <row r="272">
          <cell r="A272" t="str">
            <v>BP01</v>
          </cell>
          <cell r="B272">
            <v>1</v>
          </cell>
          <cell r="C272" t="str">
            <v>Besi Beton U-24 Rata - Rata *M167'</v>
          </cell>
          <cell r="D272" t="str">
            <v>kg</v>
          </cell>
          <cell r="E272">
            <v>8000</v>
          </cell>
        </row>
        <row r="273">
          <cell r="A273" t="str">
            <v>BP02</v>
          </cell>
          <cell r="B273">
            <v>245</v>
          </cell>
          <cell r="C273" t="str">
            <v>Besi Beton U-39 / U-32 Rata - Rata *M167</v>
          </cell>
          <cell r="D273" t="str">
            <v>kg</v>
          </cell>
          <cell r="E273">
            <v>8100</v>
          </cell>
        </row>
        <row r="274">
          <cell r="A274" t="str">
            <v>BP03</v>
          </cell>
          <cell r="B274">
            <v>246</v>
          </cell>
          <cell r="C274" t="str">
            <v>Pagar BRC Lengkap Tiang ( Tanpa Pondasi )</v>
          </cell>
          <cell r="D274" t="str">
            <v>m²</v>
          </cell>
          <cell r="E274">
            <v>75000</v>
          </cell>
        </row>
        <row r="275">
          <cell r="A275" t="str">
            <v>BP04</v>
          </cell>
          <cell r="B275">
            <v>247</v>
          </cell>
          <cell r="C275" t="str">
            <v>Bondek</v>
          </cell>
          <cell r="D275" t="str">
            <v>m²</v>
          </cell>
          <cell r="E275">
            <v>95000</v>
          </cell>
        </row>
        <row r="276">
          <cell r="A276" t="str">
            <v>BP05</v>
          </cell>
          <cell r="B276">
            <v>248</v>
          </cell>
          <cell r="C276" t="str">
            <v>Ongkos Galfanis Besi</v>
          </cell>
          <cell r="D276" t="str">
            <v>kg</v>
          </cell>
          <cell r="E276">
            <v>5500</v>
          </cell>
        </row>
        <row r="277">
          <cell r="A277" t="str">
            <v>BP07</v>
          </cell>
          <cell r="B277">
            <v>249</v>
          </cell>
          <cell r="C277" t="str">
            <v>Kawat Duri</v>
          </cell>
          <cell r="D277" t="str">
            <v>m1</v>
          </cell>
          <cell r="E277">
            <v>2340</v>
          </cell>
        </row>
        <row r="278">
          <cell r="A278" t="str">
            <v>BP08</v>
          </cell>
          <cell r="B278">
            <v>250</v>
          </cell>
          <cell r="C278" t="str">
            <v xml:space="preserve">Kawat Pengikat </v>
          </cell>
          <cell r="D278" t="str">
            <v>m1</v>
          </cell>
          <cell r="E278">
            <v>5200</v>
          </cell>
        </row>
        <row r="279">
          <cell r="A279" t="str">
            <v>BP09</v>
          </cell>
          <cell r="B279">
            <v>251</v>
          </cell>
          <cell r="C279" t="str">
            <v>Kawat Bronjong 4 mm</v>
          </cell>
          <cell r="D279" t="str">
            <v>kg</v>
          </cell>
          <cell r="E279">
            <v>6500</v>
          </cell>
        </row>
        <row r="280">
          <cell r="A280" t="str">
            <v>BP10</v>
          </cell>
          <cell r="B280">
            <v>252</v>
          </cell>
          <cell r="C280" t="str">
            <v>Kawat Tembaga</v>
          </cell>
          <cell r="D280" t="str">
            <v>kg</v>
          </cell>
          <cell r="E280">
            <v>4500</v>
          </cell>
        </row>
        <row r="281">
          <cell r="A281" t="str">
            <v>BP10,</v>
          </cell>
          <cell r="B281">
            <v>253</v>
          </cell>
          <cell r="C281" t="str">
            <v>Baja Siku/Profil DN</v>
          </cell>
          <cell r="D281" t="str">
            <v>kg</v>
          </cell>
          <cell r="E281">
            <v>8500</v>
          </cell>
        </row>
        <row r="282">
          <cell r="A282" t="str">
            <v>BP10'</v>
          </cell>
          <cell r="B282">
            <v>254</v>
          </cell>
          <cell r="C282" t="str">
            <v>Baja IWF DN SII</v>
          </cell>
          <cell r="D282" t="str">
            <v>kg</v>
          </cell>
          <cell r="E282">
            <v>8500</v>
          </cell>
        </row>
        <row r="283">
          <cell r="A283" t="str">
            <v>BP10"</v>
          </cell>
          <cell r="B283">
            <v>255</v>
          </cell>
          <cell r="C283" t="str">
            <v>Baja IWF Jepang</v>
          </cell>
          <cell r="D283" t="str">
            <v>kg</v>
          </cell>
          <cell r="E283">
            <v>10000</v>
          </cell>
        </row>
        <row r="284">
          <cell r="B284">
            <v>256</v>
          </cell>
          <cell r="C284" t="str">
            <v>Baja Kontruksi Jembatan *M165</v>
          </cell>
          <cell r="D284" t="str">
            <v>kg</v>
          </cell>
          <cell r="E284">
            <v>24570</v>
          </cell>
        </row>
        <row r="285">
          <cell r="A285" t="str">
            <v>BP11</v>
          </cell>
          <cell r="B285">
            <v>2</v>
          </cell>
          <cell r="C285" t="str">
            <v>Kawat Beton *M168</v>
          </cell>
          <cell r="D285" t="str">
            <v>kg</v>
          </cell>
          <cell r="E285">
            <v>7500</v>
          </cell>
        </row>
        <row r="286">
          <cell r="A286" t="str">
            <v>BP14</v>
          </cell>
          <cell r="B286">
            <v>258</v>
          </cell>
          <cell r="C286" t="str">
            <v>Kawat Bronjong 4 mm *M162</v>
          </cell>
          <cell r="D286" t="str">
            <v>kg</v>
          </cell>
          <cell r="E286">
            <v>6500</v>
          </cell>
        </row>
        <row r="287">
          <cell r="A287" t="str">
            <v>BP15</v>
          </cell>
          <cell r="B287">
            <v>259</v>
          </cell>
          <cell r="C287" t="str">
            <v>Kawat Tembaga</v>
          </cell>
          <cell r="D287" t="str">
            <v>kg</v>
          </cell>
          <cell r="E287">
            <v>4500</v>
          </cell>
        </row>
        <row r="288">
          <cell r="B288">
            <v>260</v>
          </cell>
          <cell r="C288" t="str">
            <v>Baut Baja  *M163</v>
          </cell>
          <cell r="D288" t="str">
            <v>kg</v>
          </cell>
          <cell r="E288">
            <v>18000</v>
          </cell>
        </row>
        <row r="289">
          <cell r="B289">
            <v>261</v>
          </cell>
          <cell r="C289" t="str">
            <v>Besi Galvanisir  * M164</v>
          </cell>
          <cell r="D289" t="str">
            <v>kg</v>
          </cell>
          <cell r="E289">
            <v>30500</v>
          </cell>
        </row>
        <row r="290">
          <cell r="B290">
            <v>262</v>
          </cell>
          <cell r="C290" t="str">
            <v>Baja Tralis   *M161</v>
          </cell>
          <cell r="D290" t="str">
            <v>kg</v>
          </cell>
          <cell r="E290">
            <v>12500</v>
          </cell>
        </row>
        <row r="291">
          <cell r="A291" t="str">
            <v>BP16</v>
          </cell>
          <cell r="B291">
            <v>263</v>
          </cell>
          <cell r="C291" t="str">
            <v>Ram Nyamuk Hijau</v>
          </cell>
          <cell r="D291" t="str">
            <v>m²</v>
          </cell>
          <cell r="E291">
            <v>8500</v>
          </cell>
        </row>
        <row r="292">
          <cell r="A292" t="str">
            <v>BP17</v>
          </cell>
          <cell r="B292">
            <v>264</v>
          </cell>
          <cell r="C292" t="str">
            <v>Ram Kawat 1 x 1 cm</v>
          </cell>
          <cell r="D292" t="str">
            <v>m²</v>
          </cell>
          <cell r="E292">
            <v>8500</v>
          </cell>
        </row>
        <row r="293">
          <cell r="A293" t="str">
            <v>BP18</v>
          </cell>
          <cell r="B293">
            <v>265</v>
          </cell>
          <cell r="C293" t="str">
            <v>Ram Ayam</v>
          </cell>
          <cell r="D293" t="str">
            <v>m²</v>
          </cell>
          <cell r="E293">
            <v>9000</v>
          </cell>
        </row>
        <row r="294">
          <cell r="A294" t="str">
            <v>BP19</v>
          </cell>
          <cell r="B294">
            <v>266</v>
          </cell>
          <cell r="C294" t="str">
            <v xml:space="preserve">Kawat Kasa 1 x 1 cm ( Putih ) </v>
          </cell>
          <cell r="D294" t="str">
            <v>m²</v>
          </cell>
          <cell r="E294">
            <v>15000</v>
          </cell>
        </row>
        <row r="295">
          <cell r="A295" t="str">
            <v>BP20</v>
          </cell>
          <cell r="B295">
            <v>267</v>
          </cell>
          <cell r="C295" t="str">
            <v>Kawat Harmonika 4 cm</v>
          </cell>
          <cell r="D295" t="str">
            <v>m²</v>
          </cell>
          <cell r="E295">
            <v>19250</v>
          </cell>
        </row>
        <row r="296">
          <cell r="A296" t="str">
            <v>BP21</v>
          </cell>
          <cell r="B296">
            <v>268</v>
          </cell>
          <cell r="C296" t="str">
            <v>Kawat Harmonika 2 cm</v>
          </cell>
          <cell r="D296" t="str">
            <v>m²</v>
          </cell>
          <cell r="E296">
            <v>23400</v>
          </cell>
        </row>
        <row r="297">
          <cell r="A297" t="str">
            <v>BP22</v>
          </cell>
          <cell r="B297">
            <v>269</v>
          </cell>
          <cell r="C297" t="str">
            <v>Kawat Las Listrik</v>
          </cell>
          <cell r="D297" t="str">
            <v>kg</v>
          </cell>
          <cell r="E297">
            <v>18250</v>
          </cell>
        </row>
        <row r="298">
          <cell r="A298" t="str">
            <v>BP23</v>
          </cell>
          <cell r="B298">
            <v>270</v>
          </cell>
          <cell r="C298" t="str">
            <v>Wiremesh M8</v>
          </cell>
          <cell r="D298" t="str">
            <v>m²</v>
          </cell>
          <cell r="E298">
            <v>28000</v>
          </cell>
        </row>
        <row r="299">
          <cell r="A299" t="str">
            <v>BP24</v>
          </cell>
          <cell r="B299">
            <v>271</v>
          </cell>
          <cell r="C299" t="str">
            <v>Wiremesh M6</v>
          </cell>
          <cell r="D299" t="str">
            <v>m²</v>
          </cell>
          <cell r="E299">
            <v>23000</v>
          </cell>
        </row>
        <row r="300">
          <cell r="A300" t="str">
            <v>BP25</v>
          </cell>
          <cell r="B300">
            <v>272</v>
          </cell>
          <cell r="C300" t="str">
            <v>Timah</v>
          </cell>
          <cell r="D300" t="str">
            <v>kg</v>
          </cell>
          <cell r="E300">
            <v>28500</v>
          </cell>
        </row>
        <row r="301">
          <cell r="A301" t="str">
            <v>BP26</v>
          </cell>
          <cell r="B301">
            <v>273</v>
          </cell>
          <cell r="C301" t="str">
            <v>Timah Hitam</v>
          </cell>
          <cell r="D301" t="str">
            <v>kg</v>
          </cell>
          <cell r="E301">
            <v>18250</v>
          </cell>
        </row>
        <row r="302">
          <cell r="A302" t="str">
            <v>BP27</v>
          </cell>
          <cell r="B302">
            <v>274</v>
          </cell>
          <cell r="C302" t="str">
            <v>Ram Nyamuk Aluminium</v>
          </cell>
          <cell r="D302" t="str">
            <v>m²</v>
          </cell>
          <cell r="E302">
            <v>9800</v>
          </cell>
        </row>
        <row r="303">
          <cell r="A303" t="str">
            <v>BP28</v>
          </cell>
          <cell r="B303">
            <v>275</v>
          </cell>
          <cell r="C303" t="str">
            <v xml:space="preserve">Plat Srip Ø 2 x 30 mm ( 6 m1) </v>
          </cell>
          <cell r="D303" t="str">
            <v>bt</v>
          </cell>
          <cell r="E303">
            <v>18300</v>
          </cell>
        </row>
        <row r="304">
          <cell r="A304" t="str">
            <v>BP29</v>
          </cell>
          <cell r="B304">
            <v>276</v>
          </cell>
          <cell r="C304" t="str">
            <v xml:space="preserve">Plat Srip Ø 3 x 30 mm ( 6 m1) </v>
          </cell>
          <cell r="D304" t="str">
            <v>bt</v>
          </cell>
          <cell r="E304">
            <v>23800</v>
          </cell>
        </row>
        <row r="305">
          <cell r="A305" t="str">
            <v>BP30</v>
          </cell>
          <cell r="B305">
            <v>277</v>
          </cell>
          <cell r="C305" t="str">
            <v>Plat Alumunium 0.2 mm</v>
          </cell>
          <cell r="D305" t="str">
            <v>m²</v>
          </cell>
          <cell r="E305">
            <v>55900</v>
          </cell>
        </row>
        <row r="306">
          <cell r="A306" t="str">
            <v>BP31</v>
          </cell>
          <cell r="B306">
            <v>278</v>
          </cell>
          <cell r="C306" t="str">
            <v>Plat Alumunium 0.3 mm</v>
          </cell>
          <cell r="D306" t="str">
            <v>m²</v>
          </cell>
          <cell r="E306">
            <v>72500</v>
          </cell>
        </row>
        <row r="307">
          <cell r="A307" t="str">
            <v>BP32</v>
          </cell>
          <cell r="B307">
            <v>279</v>
          </cell>
          <cell r="C307" t="str">
            <v>Plat Alumunium 0.4 mm</v>
          </cell>
          <cell r="D307" t="str">
            <v>m²</v>
          </cell>
          <cell r="E307">
            <v>87000</v>
          </cell>
        </row>
        <row r="308">
          <cell r="A308" t="str">
            <v>BP33</v>
          </cell>
          <cell r="B308">
            <v>280</v>
          </cell>
          <cell r="C308" t="str">
            <v>Plat Alumunium 0.5 mm</v>
          </cell>
          <cell r="D308" t="str">
            <v>m²</v>
          </cell>
          <cell r="E308">
            <v>98000</v>
          </cell>
        </row>
        <row r="309">
          <cell r="A309" t="str">
            <v>BP34</v>
          </cell>
          <cell r="B309">
            <v>281</v>
          </cell>
          <cell r="C309" t="str">
            <v>Plat Alumunium 0.6 mm</v>
          </cell>
          <cell r="D309" t="str">
            <v>m²</v>
          </cell>
          <cell r="E309">
            <v>113500</v>
          </cell>
        </row>
        <row r="310">
          <cell r="A310" t="str">
            <v>BP35</v>
          </cell>
          <cell r="B310">
            <v>282</v>
          </cell>
          <cell r="C310" t="str">
            <v>Plat Alumunium 0.1 mm</v>
          </cell>
          <cell r="D310" t="str">
            <v>m²</v>
          </cell>
          <cell r="E310">
            <v>30150</v>
          </cell>
        </row>
        <row r="311">
          <cell r="A311" t="str">
            <v>BP36</v>
          </cell>
          <cell r="B311">
            <v>283</v>
          </cell>
          <cell r="C311" t="str">
            <v>Kusen Alumunium Natural 1.3 mm  t=1,3 mm ( 4 " )</v>
          </cell>
          <cell r="D311" t="str">
            <v>m1</v>
          </cell>
          <cell r="E311">
            <v>36850</v>
          </cell>
        </row>
        <row r="312">
          <cell r="A312" t="str">
            <v>BP37</v>
          </cell>
          <cell r="B312">
            <v>284</v>
          </cell>
          <cell r="C312" t="str">
            <v>Kusen Alumunium Warna 1.3 mm t=1,3 mm ( 4 " )</v>
          </cell>
          <cell r="D312" t="str">
            <v>m1</v>
          </cell>
          <cell r="E312">
            <v>58200</v>
          </cell>
        </row>
        <row r="313">
          <cell r="A313" t="str">
            <v>BP38</v>
          </cell>
          <cell r="B313">
            <v>285</v>
          </cell>
          <cell r="C313" t="str">
            <v xml:space="preserve">Daun Jendela Alumunium Natural ( Tanpa Kaca dan accessories ) </v>
          </cell>
          <cell r="D313" t="str">
            <v>m²</v>
          </cell>
          <cell r="E313">
            <v>14500</v>
          </cell>
        </row>
        <row r="314">
          <cell r="A314" t="str">
            <v>BP39</v>
          </cell>
          <cell r="B314">
            <v>286</v>
          </cell>
          <cell r="C314" t="str">
            <v>Daun Jendela Alumunium Warna ( Tanpa Kaca dan accessories )</v>
          </cell>
          <cell r="D314" t="str">
            <v>m²</v>
          </cell>
          <cell r="E314">
            <v>19250</v>
          </cell>
        </row>
        <row r="315">
          <cell r="A315" t="str">
            <v>BP40</v>
          </cell>
          <cell r="B315">
            <v>287</v>
          </cell>
          <cell r="C315" t="str">
            <v>Daun Pintu Alumunium Natural ( tanpa kaca dan accessories )</v>
          </cell>
          <cell r="D315" t="str">
            <v>m²</v>
          </cell>
          <cell r="E315">
            <v>47500</v>
          </cell>
        </row>
        <row r="316">
          <cell r="A316" t="str">
            <v>BP41</v>
          </cell>
          <cell r="B316">
            <v>288</v>
          </cell>
          <cell r="C316" t="str">
            <v>Daun Pintu Alumunium Warna ( tanpa kaca dan accessories )</v>
          </cell>
          <cell r="D316" t="str">
            <v>m²</v>
          </cell>
          <cell r="E316">
            <v>63500</v>
          </cell>
        </row>
        <row r="317">
          <cell r="A317" t="str">
            <v>BP42</v>
          </cell>
          <cell r="B317">
            <v>289</v>
          </cell>
          <cell r="C317" t="str">
            <v xml:space="preserve">Handle Alumunium ( Tarikan Pintu Alumunium ) </v>
          </cell>
          <cell r="D317" t="str">
            <v>bh</v>
          </cell>
          <cell r="E317">
            <v>61500</v>
          </cell>
        </row>
        <row r="318">
          <cell r="A318" t="str">
            <v>BP43</v>
          </cell>
          <cell r="B318">
            <v>290</v>
          </cell>
          <cell r="C318" t="str">
            <v xml:space="preserve">Kait Angin alumunium </v>
          </cell>
          <cell r="D318" t="str">
            <v>ps</v>
          </cell>
          <cell r="E318">
            <v>75000</v>
          </cell>
        </row>
        <row r="319">
          <cell r="A319" t="str">
            <v>BP44</v>
          </cell>
          <cell r="B319">
            <v>291</v>
          </cell>
          <cell r="C319" t="str">
            <v xml:space="preserve">Karet Asisoris Kusen / Pintu Alumunium </v>
          </cell>
          <cell r="D319" t="str">
            <v>m1</v>
          </cell>
          <cell r="E319">
            <v>3600</v>
          </cell>
        </row>
        <row r="320">
          <cell r="A320" t="str">
            <v>BP45</v>
          </cell>
          <cell r="B320">
            <v>292</v>
          </cell>
          <cell r="C320" t="str">
            <v>Seng Plat BJLS 30 dia. 60 cm  ( 100 m1 )</v>
          </cell>
          <cell r="D320" t="str">
            <v>m1</v>
          </cell>
          <cell r="E320">
            <v>21840</v>
          </cell>
        </row>
        <row r="321">
          <cell r="A321" t="str">
            <v>BP46</v>
          </cell>
          <cell r="B321">
            <v>293</v>
          </cell>
          <cell r="C321" t="str">
            <v>Seng Plat BJLS 30 dia. 90 cm ( 100 m1 )</v>
          </cell>
          <cell r="D321" t="str">
            <v>m1</v>
          </cell>
          <cell r="E321">
            <v>27300</v>
          </cell>
        </row>
        <row r="322">
          <cell r="A322" t="str">
            <v>BP47</v>
          </cell>
          <cell r="B322">
            <v>294</v>
          </cell>
          <cell r="C322" t="str">
            <v>Plat Besi Tipis 1 mm</v>
          </cell>
          <cell r="D322" t="str">
            <v>kg</v>
          </cell>
          <cell r="E322">
            <v>8500</v>
          </cell>
        </row>
        <row r="323">
          <cell r="A323" t="str">
            <v>BP48</v>
          </cell>
          <cell r="B323">
            <v>295</v>
          </cell>
          <cell r="C323" t="str">
            <v>Plat Besi Tipis 0.5 mm</v>
          </cell>
          <cell r="D323" t="str">
            <v>kg</v>
          </cell>
          <cell r="E323">
            <v>9000</v>
          </cell>
        </row>
        <row r="324">
          <cell r="A324" t="str">
            <v>BP49</v>
          </cell>
          <cell r="B324">
            <v>296</v>
          </cell>
          <cell r="C324" t="str">
            <v xml:space="preserve">Plat Besi 2 mm s/d 5 mm </v>
          </cell>
          <cell r="D324" t="str">
            <v>kg</v>
          </cell>
          <cell r="E324">
            <v>7300</v>
          </cell>
        </row>
        <row r="325">
          <cell r="A325" t="str">
            <v>BP50</v>
          </cell>
          <cell r="B325">
            <v>297</v>
          </cell>
          <cell r="C325" t="str">
            <v xml:space="preserve">Plat Besi 6 mm s/d 10 mm </v>
          </cell>
          <cell r="D325" t="str">
            <v>kg</v>
          </cell>
          <cell r="E325">
            <v>7300</v>
          </cell>
        </row>
        <row r="326">
          <cell r="A326" t="str">
            <v>BP51</v>
          </cell>
          <cell r="B326">
            <v>298</v>
          </cell>
          <cell r="C326" t="str">
            <v>Plat Besi 10 mm Ke atas</v>
          </cell>
          <cell r="D326" t="str">
            <v>kg</v>
          </cell>
          <cell r="E326">
            <v>7300</v>
          </cell>
        </row>
        <row r="327">
          <cell r="A327" t="str">
            <v>BP52</v>
          </cell>
          <cell r="B327">
            <v>299</v>
          </cell>
          <cell r="C327" t="str">
            <v>Lem Kuning (aibond)</v>
          </cell>
          <cell r="D327" t="str">
            <v>kg</v>
          </cell>
          <cell r="E327">
            <v>33000</v>
          </cell>
        </row>
        <row r="328">
          <cell r="A328" t="str">
            <v>BP53</v>
          </cell>
          <cell r="B328">
            <v>3</v>
          </cell>
          <cell r="C328" t="str">
            <v>Lem Fox</v>
          </cell>
          <cell r="D328" t="str">
            <v>kg</v>
          </cell>
          <cell r="E328">
            <v>10000</v>
          </cell>
        </row>
        <row r="330">
          <cell r="B330" t="str">
            <v>I</v>
          </cell>
          <cell r="C330" t="str">
            <v>BAHAN  KACA</v>
          </cell>
        </row>
        <row r="331">
          <cell r="A331" t="str">
            <v>BR01</v>
          </cell>
          <cell r="B331">
            <v>301</v>
          </cell>
          <cell r="C331" t="str">
            <v xml:space="preserve">Kaca Polos 2 mm </v>
          </cell>
          <cell r="D331" t="str">
            <v>m²</v>
          </cell>
          <cell r="E331">
            <v>32000</v>
          </cell>
        </row>
        <row r="332">
          <cell r="A332" t="str">
            <v>BR02</v>
          </cell>
          <cell r="B332">
            <v>302</v>
          </cell>
          <cell r="C332" t="str">
            <v xml:space="preserve">Kaca Polos 3 mm </v>
          </cell>
          <cell r="D332" t="str">
            <v>m²</v>
          </cell>
          <cell r="E332">
            <v>32500</v>
          </cell>
        </row>
        <row r="333">
          <cell r="A333" t="str">
            <v>BR03</v>
          </cell>
          <cell r="B333">
            <v>1</v>
          </cell>
          <cell r="C333" t="str">
            <v xml:space="preserve">Kaca Polos 5 mm </v>
          </cell>
          <cell r="D333" t="str">
            <v>m²</v>
          </cell>
          <cell r="E333">
            <v>34250</v>
          </cell>
        </row>
        <row r="334">
          <cell r="B334">
            <v>304</v>
          </cell>
          <cell r="C334" t="str">
            <v>Kaca Polos Tebal 8 mm</v>
          </cell>
          <cell r="D334" t="str">
            <v>m²</v>
          </cell>
          <cell r="E334">
            <v>36000</v>
          </cell>
        </row>
        <row r="335">
          <cell r="B335">
            <v>305</v>
          </cell>
          <cell r="C335" t="str">
            <v>Kaca Polos Tebal 12 mm</v>
          </cell>
          <cell r="D335" t="str">
            <v>m²</v>
          </cell>
          <cell r="E335">
            <v>50000</v>
          </cell>
        </row>
        <row r="336">
          <cell r="A336" t="str">
            <v>BR04</v>
          </cell>
          <cell r="B336">
            <v>306</v>
          </cell>
          <cell r="C336" t="str">
            <v>Kaca Rayband 5 mm ( ASAHI )</v>
          </cell>
          <cell r="D336" t="str">
            <v>m²</v>
          </cell>
          <cell r="E336">
            <v>55250</v>
          </cell>
        </row>
        <row r="337">
          <cell r="A337" t="str">
            <v>BR05</v>
          </cell>
          <cell r="B337">
            <v>307</v>
          </cell>
          <cell r="C337" t="str">
            <v>Kaca Rayband 8 mm ( ASAHI )</v>
          </cell>
          <cell r="D337" t="str">
            <v>m²</v>
          </cell>
          <cell r="E337">
            <v>245500</v>
          </cell>
        </row>
        <row r="338">
          <cell r="A338" t="str">
            <v>BR06</v>
          </cell>
          <cell r="B338">
            <v>308</v>
          </cell>
          <cell r="C338" t="str">
            <v>Kaca Rayband 12 mm ( ASAHI )</v>
          </cell>
          <cell r="D338" t="str">
            <v>m²</v>
          </cell>
          <cell r="E338">
            <v>390000</v>
          </cell>
        </row>
        <row r="339">
          <cell r="A339" t="str">
            <v>BR07</v>
          </cell>
          <cell r="B339">
            <v>309</v>
          </cell>
          <cell r="C339" t="str">
            <v>Kaca Patri Lokal Terpasang ( ASAHI )</v>
          </cell>
          <cell r="D339" t="str">
            <v>m²</v>
          </cell>
          <cell r="E339">
            <v>645000</v>
          </cell>
        </row>
        <row r="340">
          <cell r="A340" t="str">
            <v>BR08</v>
          </cell>
          <cell r="B340">
            <v>310</v>
          </cell>
          <cell r="C340" t="str">
            <v xml:space="preserve">Kaca Patri EX Luar negeri  terpasang </v>
          </cell>
          <cell r="D340" t="str">
            <v>m²</v>
          </cell>
          <cell r="E340">
            <v>2600000</v>
          </cell>
        </row>
        <row r="341">
          <cell r="A341" t="str">
            <v>BR09</v>
          </cell>
          <cell r="B341">
            <v>311</v>
          </cell>
          <cell r="C341" t="str">
            <v xml:space="preserve">Kaca 6 mm Gravver </v>
          </cell>
          <cell r="D341" t="str">
            <v>m²</v>
          </cell>
          <cell r="E341">
            <v>1130000</v>
          </cell>
        </row>
        <row r="342">
          <cell r="A342" t="str">
            <v>BR10</v>
          </cell>
          <cell r="B342">
            <v>312</v>
          </cell>
          <cell r="C342" t="str">
            <v xml:space="preserve">Glass Block  DN  20 x 20 </v>
          </cell>
          <cell r="D342" t="str">
            <v>bh</v>
          </cell>
          <cell r="E342">
            <v>20000</v>
          </cell>
        </row>
        <row r="343">
          <cell r="A343" t="str">
            <v>BR11</v>
          </cell>
          <cell r="B343">
            <v>313</v>
          </cell>
          <cell r="C343" t="str">
            <v>Glass Block  20 x 20 Ex LN</v>
          </cell>
          <cell r="D343" t="str">
            <v>bh</v>
          </cell>
          <cell r="E343">
            <v>60000</v>
          </cell>
        </row>
        <row r="345">
          <cell r="B345" t="str">
            <v>J</v>
          </cell>
          <cell r="C345" t="str">
            <v>BAHAN PAKU DAN MUR BAUT</v>
          </cell>
        </row>
        <row r="346">
          <cell r="A346" t="str">
            <v>BS01</v>
          </cell>
          <cell r="B346">
            <v>1</v>
          </cell>
          <cell r="C346" t="str">
            <v>Paku 3 cm</v>
          </cell>
          <cell r="D346" t="str">
            <v>kg</v>
          </cell>
          <cell r="E346">
            <v>7500</v>
          </cell>
        </row>
        <row r="347">
          <cell r="A347" t="str">
            <v>BS02</v>
          </cell>
          <cell r="B347">
            <v>2</v>
          </cell>
          <cell r="C347" t="str">
            <v>Paku 5 cm s/d 7 cm / Paku Reng - Usuk</v>
          </cell>
          <cell r="D347" t="str">
            <v>kg</v>
          </cell>
          <cell r="E347">
            <v>7500</v>
          </cell>
        </row>
        <row r="348">
          <cell r="A348" t="str">
            <v>BS03</v>
          </cell>
          <cell r="B348">
            <v>316</v>
          </cell>
          <cell r="C348" t="str">
            <v>Paku 8 cm s/d 12 cm</v>
          </cell>
          <cell r="D348" t="str">
            <v>kg</v>
          </cell>
          <cell r="E348">
            <v>7500</v>
          </cell>
        </row>
        <row r="349">
          <cell r="B349">
            <v>317</v>
          </cell>
          <cell r="C349" t="str">
            <v>Paku 2 cm s/d 4 cm /Paku Tripleks - Bilik</v>
          </cell>
          <cell r="D349" t="str">
            <v>kg</v>
          </cell>
          <cell r="E349">
            <v>7500</v>
          </cell>
        </row>
        <row r="350">
          <cell r="B350">
            <v>318</v>
          </cell>
          <cell r="C350" t="str">
            <v>Paku 1/2 cm s/d 1 cm /Paku seng-Plat Poil</v>
          </cell>
          <cell r="D350" t="str">
            <v>kg</v>
          </cell>
          <cell r="E350">
            <v>7500</v>
          </cell>
        </row>
        <row r="351">
          <cell r="B351">
            <v>319</v>
          </cell>
          <cell r="C351" t="str">
            <v>Paku Baja Jembatan *M166</v>
          </cell>
          <cell r="D351" t="str">
            <v>kg</v>
          </cell>
          <cell r="E351">
            <v>12500</v>
          </cell>
        </row>
        <row r="352">
          <cell r="A352" t="str">
            <v>BS04</v>
          </cell>
          <cell r="B352">
            <v>320</v>
          </cell>
          <cell r="C352" t="str">
            <v>Paku Beton 2 cm s/d 5 cm</v>
          </cell>
          <cell r="D352" t="str">
            <v>kg</v>
          </cell>
          <cell r="E352">
            <v>25000</v>
          </cell>
        </row>
        <row r="353">
          <cell r="A353" t="str">
            <v>BS05</v>
          </cell>
          <cell r="B353">
            <v>321</v>
          </cell>
          <cell r="C353" t="str">
            <v>Paku Kait Lengkap</v>
          </cell>
          <cell r="D353" t="str">
            <v>bh</v>
          </cell>
          <cell r="E353">
            <v>600</v>
          </cell>
        </row>
        <row r="354">
          <cell r="A354" t="str">
            <v>BS06</v>
          </cell>
          <cell r="B354">
            <v>322</v>
          </cell>
          <cell r="C354" t="str">
            <v>Paku Cacing</v>
          </cell>
          <cell r="D354" t="str">
            <v>kg</v>
          </cell>
          <cell r="E354">
            <v>15000</v>
          </cell>
        </row>
        <row r="355">
          <cell r="B355">
            <v>3</v>
          </cell>
          <cell r="C355" t="str">
            <v>Paku Seng Glb. / Paku Asbes Glb.</v>
          </cell>
          <cell r="D355" t="str">
            <v>kg</v>
          </cell>
          <cell r="E355">
            <v>20000</v>
          </cell>
        </row>
        <row r="356">
          <cell r="B356">
            <v>324</v>
          </cell>
          <cell r="C356" t="str">
            <v>Paku Skrup</v>
          </cell>
          <cell r="D356" t="str">
            <v>kg</v>
          </cell>
          <cell r="E356">
            <v>6000</v>
          </cell>
        </row>
        <row r="357">
          <cell r="A357" t="str">
            <v>BS07</v>
          </cell>
          <cell r="B357">
            <v>4</v>
          </cell>
          <cell r="C357" t="str">
            <v>Besi Beugel kuda - kuda</v>
          </cell>
          <cell r="D357" t="str">
            <v>kg</v>
          </cell>
          <cell r="E357">
            <v>12250</v>
          </cell>
        </row>
        <row r="358">
          <cell r="A358" t="str">
            <v>BS08</v>
          </cell>
          <cell r="B358">
            <v>326</v>
          </cell>
          <cell r="C358" t="str">
            <v>Duk Angker</v>
          </cell>
          <cell r="D358" t="str">
            <v>kg</v>
          </cell>
          <cell r="E358">
            <v>9500</v>
          </cell>
        </row>
        <row r="359">
          <cell r="A359" t="str">
            <v>BS09</v>
          </cell>
          <cell r="B359">
            <v>327</v>
          </cell>
          <cell r="C359" t="str">
            <v>Angker Mur Baut dia.19 / panjang 60 cm</v>
          </cell>
          <cell r="D359" t="str">
            <v>bh</v>
          </cell>
          <cell r="E359">
            <v>24500</v>
          </cell>
        </row>
        <row r="360">
          <cell r="A360" t="str">
            <v>BS10</v>
          </cell>
          <cell r="B360">
            <v>328</v>
          </cell>
          <cell r="C360" t="str">
            <v>Mur Baut HTB dia. 19 s/d 16 (5 cm)</v>
          </cell>
          <cell r="D360" t="str">
            <v>bh</v>
          </cell>
          <cell r="E360">
            <v>4250</v>
          </cell>
        </row>
        <row r="361">
          <cell r="A361" t="str">
            <v>BS11</v>
          </cell>
          <cell r="B361">
            <v>329</v>
          </cell>
          <cell r="C361" t="str">
            <v>Mur Baut Biasa dia.19 s/d 16 (5 cm)</v>
          </cell>
          <cell r="D361" t="str">
            <v>bh</v>
          </cell>
          <cell r="E361">
            <v>3600</v>
          </cell>
        </row>
        <row r="362">
          <cell r="A362" t="str">
            <v>BS12</v>
          </cell>
          <cell r="B362">
            <v>330</v>
          </cell>
          <cell r="C362" t="str">
            <v>Piser dia. 12 s/d 20 cm</v>
          </cell>
          <cell r="D362" t="str">
            <v>bh</v>
          </cell>
          <cell r="E362">
            <v>3000</v>
          </cell>
        </row>
        <row r="364">
          <cell r="B364" t="str">
            <v>K</v>
          </cell>
          <cell r="C364" t="str">
            <v>BAHAN PERPIPAAN</v>
          </cell>
          <cell r="D364" t="str">
            <v>1.²</v>
          </cell>
        </row>
        <row r="365">
          <cell r="A365" t="str">
            <v>BT01</v>
          </cell>
          <cell r="B365">
            <v>331</v>
          </cell>
          <cell r="C365" t="str">
            <v>Besi Pipa untuk Hydrant BSP Ø  1"</v>
          </cell>
          <cell r="D365" t="str">
            <v>bt</v>
          </cell>
          <cell r="E365">
            <v>83000</v>
          </cell>
        </row>
        <row r="366">
          <cell r="A366" t="str">
            <v>BT02</v>
          </cell>
          <cell r="B366">
            <v>332</v>
          </cell>
          <cell r="C366" t="str">
            <v>Besi Pipa untuk Hydrant BSP Ø  1,25"</v>
          </cell>
          <cell r="D366" t="str">
            <v>bt</v>
          </cell>
          <cell r="E366">
            <v>88000</v>
          </cell>
        </row>
        <row r="367">
          <cell r="A367" t="str">
            <v>BT03</v>
          </cell>
          <cell r="B367">
            <v>333</v>
          </cell>
          <cell r="C367" t="str">
            <v>Besi Pipa untuk Hydrant BSP Ø  1,5"</v>
          </cell>
          <cell r="D367" t="str">
            <v>bt</v>
          </cell>
          <cell r="E367">
            <v>95500</v>
          </cell>
        </row>
        <row r="368">
          <cell r="A368" t="str">
            <v>BT04</v>
          </cell>
          <cell r="B368">
            <v>334</v>
          </cell>
          <cell r="C368" t="str">
            <v>Besi Pipa untuk Hydrant BSP Ø 2"</v>
          </cell>
          <cell r="D368" t="str">
            <v>bt</v>
          </cell>
          <cell r="E368">
            <v>111000</v>
          </cell>
        </row>
        <row r="369">
          <cell r="A369" t="str">
            <v>BT05</v>
          </cell>
          <cell r="B369">
            <v>335</v>
          </cell>
          <cell r="C369" t="str">
            <v>Besi Pipa untuk Hydrant BSP Ø 2,5"</v>
          </cell>
          <cell r="D369" t="str">
            <v>bt</v>
          </cell>
          <cell r="E369">
            <v>341250</v>
          </cell>
        </row>
        <row r="370">
          <cell r="A370" t="str">
            <v>BT06</v>
          </cell>
          <cell r="B370">
            <v>336</v>
          </cell>
          <cell r="C370" t="str">
            <v>Besi Pipa untuk Hydrant BSP Ø  3"</v>
          </cell>
          <cell r="D370" t="str">
            <v>bt</v>
          </cell>
          <cell r="E370">
            <v>471000</v>
          </cell>
        </row>
        <row r="371">
          <cell r="A371" t="str">
            <v>BT07</v>
          </cell>
          <cell r="B371">
            <v>337</v>
          </cell>
          <cell r="C371" t="str">
            <v>Besi Pipa untuk Hydrant BSP Ø  4"</v>
          </cell>
          <cell r="D371" t="str">
            <v>bt</v>
          </cell>
          <cell r="E371">
            <v>668000</v>
          </cell>
        </row>
        <row r="372">
          <cell r="A372" t="str">
            <v>BT08</v>
          </cell>
          <cell r="B372">
            <v>338</v>
          </cell>
          <cell r="C372" t="str">
            <v>Besi Pipa untuk Hydrant BSP Ø  6"</v>
          </cell>
          <cell r="D372" t="str">
            <v>bt</v>
          </cell>
          <cell r="E372">
            <v>1100000</v>
          </cell>
        </row>
        <row r="373">
          <cell r="A373" t="str">
            <v>BT08'</v>
          </cell>
          <cell r="B373">
            <v>339</v>
          </cell>
          <cell r="C373" t="str">
            <v xml:space="preserve">Hydrant </v>
          </cell>
          <cell r="D373" t="str">
            <v>bh</v>
          </cell>
          <cell r="E373">
            <v>210000</v>
          </cell>
        </row>
        <row r="374">
          <cell r="A374" t="str">
            <v>BT09</v>
          </cell>
          <cell r="B374">
            <v>340</v>
          </cell>
          <cell r="C374" t="str">
            <v xml:space="preserve">Besi Pipa Hitam Ø 1" t=2 mm </v>
          </cell>
          <cell r="D374" t="str">
            <v>bt</v>
          </cell>
          <cell r="E374">
            <v>74000</v>
          </cell>
        </row>
        <row r="375">
          <cell r="A375" t="str">
            <v>BT10</v>
          </cell>
          <cell r="B375">
            <v>341</v>
          </cell>
          <cell r="C375" t="str">
            <v xml:space="preserve">Besi Pipa Hitam Ø 2" t=2 mm   </v>
          </cell>
          <cell r="D375" t="str">
            <v>bt</v>
          </cell>
          <cell r="E375">
            <v>133000</v>
          </cell>
        </row>
        <row r="376">
          <cell r="A376" t="str">
            <v>BT11</v>
          </cell>
          <cell r="B376">
            <v>342</v>
          </cell>
          <cell r="C376" t="str">
            <v xml:space="preserve">Besi Pipa Hitam Ø 3" t=2 mm </v>
          </cell>
          <cell r="D376" t="str">
            <v>bt</v>
          </cell>
          <cell r="E376">
            <v>238500</v>
          </cell>
        </row>
        <row r="377">
          <cell r="A377" t="str">
            <v>BT12</v>
          </cell>
          <cell r="B377">
            <v>343</v>
          </cell>
          <cell r="C377" t="str">
            <v xml:space="preserve">Besi Pipa Hitam Ø 4" t=2 mm  </v>
          </cell>
          <cell r="D377" t="str">
            <v>bt</v>
          </cell>
          <cell r="E377">
            <v>307000</v>
          </cell>
        </row>
        <row r="378">
          <cell r="A378" t="str">
            <v>BT13</v>
          </cell>
          <cell r="B378">
            <v>344</v>
          </cell>
          <cell r="C378" t="str">
            <v>Besi Pipa Hitam Ø 6" t=2 mm</v>
          </cell>
          <cell r="D378" t="str">
            <v>bt</v>
          </cell>
          <cell r="E378">
            <v>409000</v>
          </cell>
        </row>
        <row r="379">
          <cell r="A379" t="str">
            <v>BT14</v>
          </cell>
          <cell r="B379">
            <v>345</v>
          </cell>
          <cell r="C379" t="str">
            <v>Pipa GIP Medium A Ø 1/2"  ( 6 m1 )</v>
          </cell>
          <cell r="D379" t="str">
            <v>bt</v>
          </cell>
          <cell r="E379">
            <v>70000</v>
          </cell>
        </row>
        <row r="380">
          <cell r="A380" t="str">
            <v>BT15</v>
          </cell>
          <cell r="B380">
            <v>346</v>
          </cell>
          <cell r="C380" t="str">
            <v>Pipa GIP Medium A Ø 3/4"  ( 6 m1 )</v>
          </cell>
          <cell r="D380" t="str">
            <v>bt</v>
          </cell>
          <cell r="E380">
            <v>85000</v>
          </cell>
        </row>
        <row r="381">
          <cell r="A381" t="str">
            <v>BT16</v>
          </cell>
          <cell r="B381">
            <v>347</v>
          </cell>
          <cell r="C381" t="str">
            <v>Pipa GIP Medium A Ø 1"   ( 6 m1 )</v>
          </cell>
          <cell r="D381" t="str">
            <v>bt</v>
          </cell>
          <cell r="E381">
            <v>126500</v>
          </cell>
        </row>
        <row r="382">
          <cell r="A382" t="str">
            <v>BT17</v>
          </cell>
          <cell r="B382">
            <v>348</v>
          </cell>
          <cell r="C382" t="str">
            <v>Pipa GIP Medium A Ø 1 1/4"  ( 6 m1 )</v>
          </cell>
          <cell r="D382" t="str">
            <v>bt</v>
          </cell>
          <cell r="E382">
            <v>164500</v>
          </cell>
        </row>
        <row r="383">
          <cell r="A383" t="str">
            <v>BT18</v>
          </cell>
          <cell r="B383">
            <v>349</v>
          </cell>
          <cell r="C383" t="str">
            <v>Pipa GIP Medium A Ø 1 1/2" ( 6 m1 )</v>
          </cell>
          <cell r="D383" t="str">
            <v>bt</v>
          </cell>
          <cell r="E383">
            <v>196000</v>
          </cell>
        </row>
        <row r="384">
          <cell r="A384" t="str">
            <v>BT19</v>
          </cell>
          <cell r="B384">
            <v>350</v>
          </cell>
          <cell r="C384" t="str">
            <v>Pipa GIP Medium A Ø 1 3/4"( 6 m1 )</v>
          </cell>
          <cell r="D384" t="str">
            <v>bt</v>
          </cell>
          <cell r="E384">
            <v>232000</v>
          </cell>
        </row>
        <row r="385">
          <cell r="A385" t="str">
            <v>BT20</v>
          </cell>
          <cell r="B385">
            <v>351</v>
          </cell>
          <cell r="C385" t="str">
            <v>Pipa GIP Medium A Ø 2"  ( 6 m1 )</v>
          </cell>
          <cell r="D385" t="str">
            <v>bt</v>
          </cell>
          <cell r="E385">
            <v>286500</v>
          </cell>
        </row>
        <row r="386">
          <cell r="A386" t="str">
            <v>BT21</v>
          </cell>
          <cell r="B386">
            <v>352</v>
          </cell>
          <cell r="C386" t="str">
            <v>Pipa GIP Medium A Ø 2 1/2" ( 6 m1 )</v>
          </cell>
          <cell r="D386" t="str">
            <v>bt</v>
          </cell>
          <cell r="E386">
            <v>381000</v>
          </cell>
        </row>
        <row r="387">
          <cell r="A387" t="str">
            <v>BT22</v>
          </cell>
          <cell r="B387">
            <v>353</v>
          </cell>
          <cell r="C387" t="str">
            <v>Pipa GIP Medium A Ø 3"  ( 6 m1 )</v>
          </cell>
          <cell r="D387" t="str">
            <v>bt</v>
          </cell>
          <cell r="E387">
            <v>464000</v>
          </cell>
        </row>
        <row r="388">
          <cell r="A388" t="str">
            <v>BT23</v>
          </cell>
          <cell r="B388">
            <v>354</v>
          </cell>
          <cell r="C388" t="str">
            <v>Pipa GIP Medium A Ø 4"  ( 6 m1 )</v>
          </cell>
          <cell r="D388" t="str">
            <v>bt</v>
          </cell>
          <cell r="E388">
            <v>611000</v>
          </cell>
        </row>
        <row r="389">
          <cell r="A389" t="str">
            <v>BT24</v>
          </cell>
          <cell r="B389">
            <v>355</v>
          </cell>
          <cell r="C389" t="str">
            <v>Macam2 Sambungan GIP Ø 1/2"</v>
          </cell>
          <cell r="D389" t="str">
            <v>bh</v>
          </cell>
          <cell r="E389">
            <v>4000</v>
          </cell>
        </row>
        <row r="390">
          <cell r="A390" t="str">
            <v>BT25</v>
          </cell>
          <cell r="B390">
            <v>356</v>
          </cell>
          <cell r="C390" t="str">
            <v>Macam2 Sambungan GIP Ø 3/4"</v>
          </cell>
          <cell r="D390" t="str">
            <v>bh</v>
          </cell>
          <cell r="E390">
            <v>5200</v>
          </cell>
        </row>
        <row r="391">
          <cell r="A391" t="str">
            <v>BT26</v>
          </cell>
          <cell r="B391">
            <v>357</v>
          </cell>
          <cell r="C391" t="str">
            <v>Macam2 Sambungan GIP Ø 1"</v>
          </cell>
          <cell r="D391" t="str">
            <v>bh</v>
          </cell>
          <cell r="E391">
            <v>8150</v>
          </cell>
        </row>
        <row r="392">
          <cell r="A392" t="str">
            <v>BT27</v>
          </cell>
          <cell r="B392">
            <v>358</v>
          </cell>
          <cell r="C392" t="str">
            <v>Macam2 Sambungan GIP Ø 1 1/4"</v>
          </cell>
          <cell r="D392" t="str">
            <v>bh</v>
          </cell>
          <cell r="E392">
            <v>10100</v>
          </cell>
        </row>
        <row r="393">
          <cell r="A393" t="str">
            <v>BT28</v>
          </cell>
          <cell r="B393">
            <v>359</v>
          </cell>
          <cell r="C393" t="str">
            <v>Macam2 Sambungan GIP Ø 11/2"</v>
          </cell>
          <cell r="D393" t="str">
            <v>bh</v>
          </cell>
          <cell r="E393">
            <v>11500</v>
          </cell>
        </row>
        <row r="394">
          <cell r="A394" t="str">
            <v>BT29</v>
          </cell>
          <cell r="B394">
            <v>360</v>
          </cell>
          <cell r="C394" t="str">
            <v>Macam2 Sambungan GIP Ø 13/4"</v>
          </cell>
          <cell r="D394" t="str">
            <v>bh</v>
          </cell>
          <cell r="E394">
            <v>17150</v>
          </cell>
        </row>
        <row r="395">
          <cell r="A395" t="str">
            <v>BT30</v>
          </cell>
          <cell r="B395">
            <v>361</v>
          </cell>
          <cell r="C395" t="str">
            <v>Macam2 Sambungan GIP Ø 2"</v>
          </cell>
          <cell r="D395" t="str">
            <v>bh</v>
          </cell>
          <cell r="E395">
            <v>23750</v>
          </cell>
        </row>
        <row r="396">
          <cell r="A396" t="str">
            <v>BT31</v>
          </cell>
          <cell r="B396">
            <v>362</v>
          </cell>
          <cell r="C396" t="str">
            <v>Macam2 Sambungan GIP Ø 2 1/2"</v>
          </cell>
          <cell r="D396" t="str">
            <v>bh</v>
          </cell>
          <cell r="E396">
            <v>34000</v>
          </cell>
        </row>
        <row r="397">
          <cell r="A397" t="str">
            <v>BT32</v>
          </cell>
          <cell r="B397">
            <v>363</v>
          </cell>
          <cell r="C397" t="str">
            <v>Macam2 Sambungan GIP Ø 3"</v>
          </cell>
          <cell r="D397" t="str">
            <v>bh</v>
          </cell>
          <cell r="E397">
            <v>40500</v>
          </cell>
        </row>
        <row r="398">
          <cell r="A398" t="str">
            <v>BT33</v>
          </cell>
          <cell r="B398">
            <v>364</v>
          </cell>
          <cell r="C398" t="str">
            <v>Macam2 Sambungan GIP Ø 4"</v>
          </cell>
          <cell r="D398" t="str">
            <v>bh</v>
          </cell>
          <cell r="E398">
            <v>47700</v>
          </cell>
        </row>
        <row r="399">
          <cell r="A399" t="str">
            <v>BT34</v>
          </cell>
          <cell r="B399">
            <v>365</v>
          </cell>
          <cell r="C399" t="str">
            <v xml:space="preserve">Pipa PVC RUCIKA type AW  Ø 1/2" </v>
          </cell>
          <cell r="D399" t="str">
            <v>bt</v>
          </cell>
          <cell r="E399">
            <v>21500</v>
          </cell>
        </row>
        <row r="400">
          <cell r="A400" t="str">
            <v>BT35</v>
          </cell>
          <cell r="B400">
            <v>366</v>
          </cell>
          <cell r="C400" t="str">
            <v xml:space="preserve">Pipa PVC RUCIKA type AW    Ø 3/4" </v>
          </cell>
          <cell r="D400" t="str">
            <v>bt</v>
          </cell>
          <cell r="E400">
            <v>30500</v>
          </cell>
        </row>
        <row r="401">
          <cell r="A401" t="str">
            <v>BT36</v>
          </cell>
          <cell r="B401">
            <v>367</v>
          </cell>
          <cell r="C401" t="str">
            <v xml:space="preserve">Pipa PVC RUCIKA type AW    Ø 1" </v>
          </cell>
          <cell r="D401" t="str">
            <v>bt</v>
          </cell>
          <cell r="E401">
            <v>38000</v>
          </cell>
        </row>
        <row r="402">
          <cell r="A402" t="str">
            <v>BT37</v>
          </cell>
          <cell r="B402">
            <v>368</v>
          </cell>
          <cell r="C402" t="str">
            <v xml:space="preserve">Pipa PVC RUCIKA type AW    Ø 1 1/4" </v>
          </cell>
          <cell r="D402" t="str">
            <v>bt</v>
          </cell>
          <cell r="E402">
            <v>53000</v>
          </cell>
        </row>
        <row r="403">
          <cell r="A403" t="str">
            <v>BT38</v>
          </cell>
          <cell r="B403">
            <v>369</v>
          </cell>
          <cell r="C403" t="str">
            <v xml:space="preserve">Pipa PVC RUCIKA type AW    Ø 1 1/2" </v>
          </cell>
          <cell r="D403" t="str">
            <v>bt</v>
          </cell>
          <cell r="E403">
            <v>66500</v>
          </cell>
        </row>
        <row r="404">
          <cell r="A404" t="str">
            <v>BT39</v>
          </cell>
          <cell r="B404">
            <v>370</v>
          </cell>
          <cell r="C404" t="str">
            <v xml:space="preserve">Pipa PVC RUCIKA type AW    Ø 2" </v>
          </cell>
          <cell r="D404" t="str">
            <v>bt</v>
          </cell>
          <cell r="E404">
            <v>94000</v>
          </cell>
        </row>
        <row r="405">
          <cell r="A405" t="str">
            <v>BT40</v>
          </cell>
          <cell r="B405">
            <v>371</v>
          </cell>
          <cell r="C405" t="str">
            <v xml:space="preserve">Pipa PVC RUCIKA type AW    Ø 2 1/2" </v>
          </cell>
          <cell r="D405" t="str">
            <v>bt</v>
          </cell>
          <cell r="E405">
            <v>120000</v>
          </cell>
        </row>
        <row r="406">
          <cell r="A406" t="str">
            <v>BT41</v>
          </cell>
          <cell r="B406">
            <v>372</v>
          </cell>
          <cell r="C406" t="str">
            <v xml:space="preserve">Pipa PVC RUCIKA type AW    Ø 3" </v>
          </cell>
          <cell r="D406" t="str">
            <v>bt</v>
          </cell>
          <cell r="E406">
            <v>180000</v>
          </cell>
        </row>
        <row r="407">
          <cell r="A407" t="str">
            <v>BT42</v>
          </cell>
          <cell r="B407">
            <v>373</v>
          </cell>
          <cell r="C407" t="str">
            <v xml:space="preserve">Pipa PVC RUCIKA type AW    Ø 4" </v>
          </cell>
          <cell r="D407" t="str">
            <v>bt</v>
          </cell>
          <cell r="E407">
            <v>279500</v>
          </cell>
        </row>
        <row r="408">
          <cell r="A408" t="str">
            <v>BT43</v>
          </cell>
          <cell r="B408">
            <v>374</v>
          </cell>
          <cell r="C408" t="str">
            <v xml:space="preserve">Pipa PVC RUCIKA type AW    Ø 6" </v>
          </cell>
          <cell r="D408" t="str">
            <v>bt</v>
          </cell>
          <cell r="E408">
            <v>539000</v>
          </cell>
        </row>
        <row r="409">
          <cell r="A409" t="str">
            <v>BT44</v>
          </cell>
          <cell r="B409">
            <v>375</v>
          </cell>
          <cell r="C409" t="str">
            <v xml:space="preserve">Pipa PVC RUCIKA type AW    Ø 8" </v>
          </cell>
          <cell r="D409" t="str">
            <v>bt</v>
          </cell>
          <cell r="E409">
            <v>784500</v>
          </cell>
        </row>
        <row r="410">
          <cell r="A410" t="str">
            <v>BT45</v>
          </cell>
          <cell r="B410">
            <v>376</v>
          </cell>
          <cell r="C410" t="str">
            <v>Pipa PVC  MASPION ABU Ø 1/2" (AW)</v>
          </cell>
          <cell r="D410" t="str">
            <v>bt</v>
          </cell>
          <cell r="E410">
            <v>12500</v>
          </cell>
        </row>
        <row r="411">
          <cell r="A411" t="str">
            <v>BT46</v>
          </cell>
          <cell r="B411">
            <v>377</v>
          </cell>
          <cell r="C411" t="str">
            <v>Pipa PVC  MASPION ABU Ø 3/4" (AW)</v>
          </cell>
          <cell r="D411" t="str">
            <v>bt</v>
          </cell>
          <cell r="E411">
            <v>16500</v>
          </cell>
        </row>
        <row r="412">
          <cell r="A412" t="str">
            <v>BT47</v>
          </cell>
          <cell r="B412">
            <v>378</v>
          </cell>
          <cell r="C412" t="str">
            <v>Pipa PVC  MASPION ABU Ø 1" (AW)</v>
          </cell>
          <cell r="D412" t="str">
            <v>bt</v>
          </cell>
          <cell r="E412">
            <v>22450</v>
          </cell>
        </row>
        <row r="413">
          <cell r="A413" t="str">
            <v>BT48</v>
          </cell>
          <cell r="B413">
            <v>379</v>
          </cell>
          <cell r="C413" t="str">
            <v>Pipa PVC  MASPION ABU Ø 1 1/4" (AW)</v>
          </cell>
          <cell r="D413" t="str">
            <v>bt</v>
          </cell>
          <cell r="E413">
            <v>31450</v>
          </cell>
        </row>
        <row r="414">
          <cell r="A414" t="str">
            <v>BT49</v>
          </cell>
          <cell r="B414">
            <v>380</v>
          </cell>
          <cell r="C414" t="str">
            <v>Pipa PVC  MASPION ABU Ø 1 1/2" (AW)</v>
          </cell>
          <cell r="D414" t="str">
            <v>bt</v>
          </cell>
          <cell r="E414">
            <v>40400</v>
          </cell>
        </row>
        <row r="415">
          <cell r="A415" t="str">
            <v>BT50</v>
          </cell>
          <cell r="B415">
            <v>381</v>
          </cell>
          <cell r="C415" t="str">
            <v>Pipa PVC  MASPION ABU Ø 2" (AW)</v>
          </cell>
          <cell r="D415" t="str">
            <v>bt</v>
          </cell>
          <cell r="E415">
            <v>69900</v>
          </cell>
        </row>
        <row r="416">
          <cell r="A416" t="str">
            <v>BT51</v>
          </cell>
          <cell r="B416">
            <v>382</v>
          </cell>
          <cell r="C416" t="str">
            <v>Pipa PVC  MASPION ABU Ø 2 1/2" (AW)</v>
          </cell>
          <cell r="D416" t="str">
            <v>bt</v>
          </cell>
          <cell r="E416">
            <v>83850</v>
          </cell>
        </row>
        <row r="417">
          <cell r="A417" t="str">
            <v>BT52</v>
          </cell>
          <cell r="B417">
            <v>383</v>
          </cell>
          <cell r="C417" t="str">
            <v>Pipa PVC  MASPION ABU Ø 3" (AW)</v>
          </cell>
          <cell r="D417" t="str">
            <v>bt</v>
          </cell>
          <cell r="E417">
            <v>154000</v>
          </cell>
        </row>
        <row r="418">
          <cell r="A418" t="str">
            <v>BT53</v>
          </cell>
          <cell r="B418">
            <v>384</v>
          </cell>
          <cell r="C418" t="str">
            <v>Pipa PVC  MASPION ABU Ø 4" (AW)</v>
          </cell>
          <cell r="D418" t="str">
            <v>bt</v>
          </cell>
          <cell r="E418">
            <v>204750</v>
          </cell>
        </row>
        <row r="419">
          <cell r="B419">
            <v>385</v>
          </cell>
          <cell r="C419" t="str">
            <v>Pipa PVC  MASPION ABU Ø 6" (AW)</v>
          </cell>
          <cell r="D419" t="str">
            <v>bt</v>
          </cell>
          <cell r="E419">
            <v>481000</v>
          </cell>
        </row>
        <row r="420">
          <cell r="B420">
            <v>386</v>
          </cell>
          <cell r="C420" t="str">
            <v>Pipa GI Diameter 0,5"</v>
          </cell>
          <cell r="D420" t="str">
            <v>bt</v>
          </cell>
          <cell r="E420">
            <v>60000</v>
          </cell>
        </row>
        <row r="421">
          <cell r="B421">
            <v>387</v>
          </cell>
          <cell r="C421" t="str">
            <v>Pipa GI Diameter 0,75"</v>
          </cell>
          <cell r="D421" t="str">
            <v>bt</v>
          </cell>
          <cell r="E421">
            <v>75000</v>
          </cell>
        </row>
        <row r="422">
          <cell r="B422">
            <v>388</v>
          </cell>
          <cell r="C422" t="str">
            <v>Pipa GI Diameter 1"</v>
          </cell>
          <cell r="D422" t="str">
            <v>bt</v>
          </cell>
          <cell r="E422">
            <v>105000</v>
          </cell>
        </row>
        <row r="423">
          <cell r="B423">
            <v>389</v>
          </cell>
          <cell r="C423" t="str">
            <v>Pipa GI Diameter 1,25"</v>
          </cell>
          <cell r="D423" t="str">
            <v>bt</v>
          </cell>
          <cell r="E423">
            <v>120000</v>
          </cell>
        </row>
        <row r="424">
          <cell r="B424">
            <v>390</v>
          </cell>
          <cell r="C424" t="str">
            <v>Pipa GI Diameter 1,5"</v>
          </cell>
          <cell r="D424" t="str">
            <v>bt</v>
          </cell>
          <cell r="E424">
            <v>150150</v>
          </cell>
        </row>
        <row r="425">
          <cell r="B425">
            <v>391</v>
          </cell>
          <cell r="C425" t="str">
            <v>Pipa GI Diameter 2"</v>
          </cell>
          <cell r="D425" t="str">
            <v>bt</v>
          </cell>
          <cell r="E425">
            <v>225150</v>
          </cell>
        </row>
        <row r="426">
          <cell r="B426">
            <v>392</v>
          </cell>
          <cell r="C426" t="str">
            <v>Pipa GI Diameter 2,5"</v>
          </cell>
          <cell r="D426" t="str">
            <v>bt</v>
          </cell>
          <cell r="E426">
            <v>300250</v>
          </cell>
        </row>
        <row r="427">
          <cell r="B427">
            <v>393</v>
          </cell>
          <cell r="C427" t="str">
            <v>Pipa GI Diameter 3"</v>
          </cell>
          <cell r="D427" t="str">
            <v>bt</v>
          </cell>
          <cell r="E427">
            <v>412850</v>
          </cell>
        </row>
        <row r="428">
          <cell r="B428">
            <v>394</v>
          </cell>
          <cell r="C428" t="str">
            <v>Pipa GI Diameter 4"</v>
          </cell>
          <cell r="D428" t="str">
            <v>bt</v>
          </cell>
          <cell r="E428">
            <v>60000</v>
          </cell>
        </row>
        <row r="429">
          <cell r="B429">
            <v>395</v>
          </cell>
          <cell r="C429" t="str">
            <v>Knie PVC Diameter 0,5"</v>
          </cell>
          <cell r="D429" t="str">
            <v>bh</v>
          </cell>
          <cell r="E429">
            <v>1000</v>
          </cell>
        </row>
        <row r="430">
          <cell r="B430">
            <v>396</v>
          </cell>
          <cell r="C430" t="str">
            <v>Knie PVC Diameter 0,75"</v>
          </cell>
          <cell r="D430" t="str">
            <v>bh</v>
          </cell>
          <cell r="E430">
            <v>1400</v>
          </cell>
        </row>
        <row r="431">
          <cell r="B431">
            <v>397</v>
          </cell>
          <cell r="C431" t="str">
            <v>Knie PVC Diameter 1"</v>
          </cell>
          <cell r="D431" t="str">
            <v>bh</v>
          </cell>
          <cell r="E431">
            <v>14950</v>
          </cell>
        </row>
        <row r="432">
          <cell r="B432">
            <v>398</v>
          </cell>
          <cell r="C432" t="str">
            <v>Knie PVC Diameter 2"</v>
          </cell>
          <cell r="D432" t="str">
            <v>bh</v>
          </cell>
          <cell r="E432">
            <v>2950</v>
          </cell>
        </row>
        <row r="433">
          <cell r="B433">
            <v>399</v>
          </cell>
          <cell r="C433" t="str">
            <v>Knie PVC Diameter 3"</v>
          </cell>
          <cell r="D433" t="str">
            <v>bh</v>
          </cell>
          <cell r="E433">
            <v>5450</v>
          </cell>
        </row>
        <row r="434">
          <cell r="B434">
            <v>400</v>
          </cell>
          <cell r="C434" t="str">
            <v>Knie PVC Diameter 4"</v>
          </cell>
          <cell r="D434" t="str">
            <v>bh</v>
          </cell>
          <cell r="E434">
            <v>5950</v>
          </cell>
        </row>
        <row r="435">
          <cell r="B435">
            <v>401</v>
          </cell>
          <cell r="C435" t="str">
            <v>Tee PVC Diameter 0,5"</v>
          </cell>
          <cell r="D435" t="str">
            <v>bh</v>
          </cell>
          <cell r="E435">
            <v>1400</v>
          </cell>
        </row>
        <row r="436">
          <cell r="B436">
            <v>402</v>
          </cell>
          <cell r="C436" t="str">
            <v>Tee PVC Diameter 0,75"</v>
          </cell>
          <cell r="D436" t="str">
            <v>bh</v>
          </cell>
          <cell r="E436">
            <v>1800</v>
          </cell>
        </row>
        <row r="437">
          <cell r="B437">
            <v>403</v>
          </cell>
          <cell r="C437" t="str">
            <v>Tee PVC Diameter 1"</v>
          </cell>
          <cell r="D437" t="str">
            <v>bh</v>
          </cell>
          <cell r="E437">
            <v>3600</v>
          </cell>
        </row>
        <row r="438">
          <cell r="B438">
            <v>404</v>
          </cell>
          <cell r="C438" t="str">
            <v>Tee PVC Diameter 2"</v>
          </cell>
          <cell r="D438" t="str">
            <v>bh</v>
          </cell>
          <cell r="E438">
            <v>4200</v>
          </cell>
        </row>
        <row r="439">
          <cell r="B439">
            <v>405</v>
          </cell>
          <cell r="C439" t="str">
            <v>Tee PVC Diameter 3"</v>
          </cell>
          <cell r="D439" t="str">
            <v>bh</v>
          </cell>
          <cell r="E439">
            <v>5950</v>
          </cell>
        </row>
        <row r="440">
          <cell r="B440">
            <v>406</v>
          </cell>
          <cell r="C440" t="str">
            <v>Tee PVC Diameter 4"</v>
          </cell>
          <cell r="D440" t="str">
            <v>bh</v>
          </cell>
          <cell r="E440">
            <v>900</v>
          </cell>
        </row>
        <row r="441">
          <cell r="B441">
            <v>407</v>
          </cell>
          <cell r="C441" t="str">
            <v>Kran Diameter 0,5"</v>
          </cell>
          <cell r="D441" t="str">
            <v>bh</v>
          </cell>
          <cell r="E441">
            <v>20400</v>
          </cell>
        </row>
        <row r="442">
          <cell r="B442">
            <v>408</v>
          </cell>
          <cell r="C442" t="str">
            <v>Fiet Kran Diameter 0,5"</v>
          </cell>
          <cell r="D442" t="str">
            <v>bh</v>
          </cell>
          <cell r="E442">
            <v>3600</v>
          </cell>
        </row>
        <row r="443">
          <cell r="B443">
            <v>409</v>
          </cell>
          <cell r="C443" t="str">
            <v>Fiet Kran Diameter 0,75"</v>
          </cell>
          <cell r="D443" t="str">
            <v>bh</v>
          </cell>
          <cell r="E443">
            <v>54600</v>
          </cell>
        </row>
        <row r="444">
          <cell r="B444">
            <v>410</v>
          </cell>
          <cell r="C444" t="str">
            <v>Fiet Kran Diameter 1"</v>
          </cell>
          <cell r="D444" t="str">
            <v>bh</v>
          </cell>
          <cell r="E444">
            <v>70950</v>
          </cell>
        </row>
        <row r="445">
          <cell r="B445">
            <v>411</v>
          </cell>
          <cell r="C445" t="str">
            <v>Fiet Kran Diameter 2"</v>
          </cell>
          <cell r="D445" t="str">
            <v>bh</v>
          </cell>
          <cell r="E445">
            <v>23400</v>
          </cell>
        </row>
        <row r="446">
          <cell r="B446">
            <v>412</v>
          </cell>
          <cell r="C446" t="str">
            <v>Fiet Kran Diameter 3"</v>
          </cell>
          <cell r="D446" t="str">
            <v>bh</v>
          </cell>
          <cell r="E446">
            <v>431300</v>
          </cell>
        </row>
        <row r="447">
          <cell r="B447">
            <v>413</v>
          </cell>
          <cell r="C447" t="str">
            <v>Fiet Kran Diameter 4"</v>
          </cell>
          <cell r="D447" t="str">
            <v>bh</v>
          </cell>
          <cell r="E447">
            <v>713180</v>
          </cell>
        </row>
        <row r="448">
          <cell r="A448" t="str">
            <v>BT54</v>
          </cell>
          <cell r="B448">
            <v>414</v>
          </cell>
          <cell r="C448" t="str">
            <v>Macam2 Sambungan Paralon Ø 1/2"</v>
          </cell>
          <cell r="D448" t="str">
            <v>bh</v>
          </cell>
          <cell r="E448">
            <v>5450</v>
          </cell>
        </row>
        <row r="449">
          <cell r="A449" t="str">
            <v>BT55</v>
          </cell>
          <cell r="B449">
            <v>415</v>
          </cell>
          <cell r="C449" t="str">
            <v>Macam2 Sambungan Paralon Ø 3/4"</v>
          </cell>
          <cell r="D449" t="str">
            <v>bh</v>
          </cell>
          <cell r="E449">
            <v>5450</v>
          </cell>
        </row>
        <row r="450">
          <cell r="A450" t="str">
            <v>BT56</v>
          </cell>
          <cell r="B450">
            <v>416</v>
          </cell>
          <cell r="C450" t="str">
            <v>Macam2 Sambungan Paralon Ø 1"</v>
          </cell>
          <cell r="D450" t="str">
            <v>bh</v>
          </cell>
          <cell r="E450">
            <v>14950</v>
          </cell>
        </row>
        <row r="451">
          <cell r="A451" t="str">
            <v>BT57</v>
          </cell>
          <cell r="B451">
            <v>417</v>
          </cell>
          <cell r="C451" t="str">
            <v>Macam2 Sambungan Paralon Ø 1 1/4"</v>
          </cell>
          <cell r="D451" t="str">
            <v>bh</v>
          </cell>
          <cell r="E451">
            <v>16350</v>
          </cell>
        </row>
        <row r="452">
          <cell r="A452" t="str">
            <v>BT58</v>
          </cell>
          <cell r="B452">
            <v>418</v>
          </cell>
          <cell r="C452" t="str">
            <v>Macam2 Sambungan Paralon Ø 1 1/2"</v>
          </cell>
          <cell r="D452" t="str">
            <v>bh</v>
          </cell>
          <cell r="E452">
            <v>16350</v>
          </cell>
        </row>
        <row r="453">
          <cell r="A453" t="str">
            <v>BT59</v>
          </cell>
          <cell r="B453">
            <v>419</v>
          </cell>
          <cell r="C453" t="str">
            <v>Macam2 Sambungan Paralon Ø 1 3/4"</v>
          </cell>
          <cell r="D453" t="str">
            <v>bh</v>
          </cell>
          <cell r="E453">
            <v>16350</v>
          </cell>
        </row>
        <row r="454">
          <cell r="A454" t="str">
            <v>BT60</v>
          </cell>
          <cell r="B454">
            <v>420</v>
          </cell>
          <cell r="C454" t="str">
            <v>Macam2 Sambungan Paralon Ø 2"</v>
          </cell>
          <cell r="D454" t="str">
            <v>bh</v>
          </cell>
          <cell r="E454">
            <v>17000</v>
          </cell>
        </row>
        <row r="455">
          <cell r="A455" t="str">
            <v>BT61</v>
          </cell>
          <cell r="B455">
            <v>421</v>
          </cell>
          <cell r="C455" t="str">
            <v>Macam2 Samb. Paralon Ø 2 1/2"</v>
          </cell>
          <cell r="D455" t="str">
            <v>bh</v>
          </cell>
          <cell r="E455">
            <v>17000</v>
          </cell>
        </row>
        <row r="456">
          <cell r="A456" t="str">
            <v>BT62</v>
          </cell>
          <cell r="B456">
            <v>422</v>
          </cell>
          <cell r="C456" t="str">
            <v>Macam2 Samb. Paralon Ø 3"</v>
          </cell>
          <cell r="D456" t="str">
            <v>bh</v>
          </cell>
          <cell r="E456">
            <v>40500</v>
          </cell>
        </row>
        <row r="457">
          <cell r="A457" t="str">
            <v>BT63</v>
          </cell>
          <cell r="B457">
            <v>423</v>
          </cell>
          <cell r="C457" t="str">
            <v>Macam2 Samb. Paralon Ø 4"</v>
          </cell>
          <cell r="D457" t="str">
            <v>bh</v>
          </cell>
          <cell r="E457">
            <v>47500</v>
          </cell>
        </row>
        <row r="458">
          <cell r="A458" t="str">
            <v>BT64</v>
          </cell>
          <cell r="B458">
            <v>424</v>
          </cell>
          <cell r="C458" t="str">
            <v>Sambungan Pipa PVC Jenis AW 4 " TY</v>
          </cell>
          <cell r="D458" t="str">
            <v>bh</v>
          </cell>
          <cell r="E458">
            <v>28000</v>
          </cell>
        </row>
        <row r="459">
          <cell r="A459" t="str">
            <v>BT65</v>
          </cell>
          <cell r="B459">
            <v>425</v>
          </cell>
          <cell r="C459" t="str">
            <v>Lem Paralon</v>
          </cell>
          <cell r="D459" t="str">
            <v>bh</v>
          </cell>
          <cell r="E459">
            <v>5450</v>
          </cell>
        </row>
        <row r="460">
          <cell r="A460" t="str">
            <v>BT66</v>
          </cell>
          <cell r="B460">
            <v>426</v>
          </cell>
          <cell r="C460" t="str">
            <v>Solatip Leideng</v>
          </cell>
          <cell r="D460" t="str">
            <v>gl</v>
          </cell>
          <cell r="E460">
            <v>1950</v>
          </cell>
        </row>
        <row r="461">
          <cell r="A461" t="str">
            <v>BT67</v>
          </cell>
          <cell r="B461">
            <v>427</v>
          </cell>
          <cell r="C461" t="str">
            <v>Pipa PVC 4" berlobang jenis AW</v>
          </cell>
          <cell r="D461" t="str">
            <v>m1</v>
          </cell>
          <cell r="E461">
            <v>26650</v>
          </cell>
        </row>
        <row r="463">
          <cell r="B463" t="str">
            <v>L</v>
          </cell>
          <cell r="C463" t="str">
            <v>BAHAN SANITAIR</v>
          </cell>
        </row>
        <row r="464">
          <cell r="A464" t="str">
            <v>BV01</v>
          </cell>
          <cell r="B464">
            <v>428</v>
          </cell>
          <cell r="C464" t="str">
            <v>Stop Kran 1/2 " KIT</v>
          </cell>
          <cell r="D464" t="str">
            <v>bh</v>
          </cell>
          <cell r="E464">
            <v>23750</v>
          </cell>
        </row>
        <row r="465">
          <cell r="A465" t="str">
            <v>BV02</v>
          </cell>
          <cell r="B465">
            <v>429</v>
          </cell>
          <cell r="C465" t="str">
            <v>Stop Kran 3/4 " KIT</v>
          </cell>
          <cell r="D465" t="str">
            <v>bh</v>
          </cell>
          <cell r="E465">
            <v>27300</v>
          </cell>
        </row>
        <row r="466">
          <cell r="A466" t="str">
            <v>BV03</v>
          </cell>
          <cell r="B466">
            <v>430</v>
          </cell>
          <cell r="C466" t="str">
            <v>Stop Kran 1 " KIT</v>
          </cell>
          <cell r="D466" t="str">
            <v>bh</v>
          </cell>
          <cell r="E466">
            <v>177450</v>
          </cell>
        </row>
        <row r="467">
          <cell r="A467" t="str">
            <v>BV04</v>
          </cell>
          <cell r="B467">
            <v>431</v>
          </cell>
          <cell r="C467" t="str">
            <v>Stop Kran 1 1/2 " KIT</v>
          </cell>
          <cell r="D467" t="str">
            <v>bh</v>
          </cell>
          <cell r="E467">
            <v>245700</v>
          </cell>
        </row>
        <row r="468">
          <cell r="A468" t="str">
            <v>BV05</v>
          </cell>
          <cell r="B468">
            <v>432</v>
          </cell>
          <cell r="C468" t="str">
            <v>Stop Kran 2 " KIT</v>
          </cell>
          <cell r="D468" t="str">
            <v>bh</v>
          </cell>
          <cell r="E468">
            <v>614250</v>
          </cell>
        </row>
        <row r="469">
          <cell r="A469" t="str">
            <v>BV06</v>
          </cell>
          <cell r="B469">
            <v>433</v>
          </cell>
          <cell r="C469" t="str">
            <v>Stop Kran 2 1/2" KIT</v>
          </cell>
          <cell r="D469" t="str">
            <v>bh</v>
          </cell>
          <cell r="E469">
            <v>696150</v>
          </cell>
        </row>
        <row r="470">
          <cell r="A470" t="str">
            <v>BV07</v>
          </cell>
          <cell r="B470">
            <v>434</v>
          </cell>
          <cell r="C470" t="str">
            <v>Stop Kran 3 " KIT</v>
          </cell>
          <cell r="D470" t="str">
            <v>bh</v>
          </cell>
          <cell r="E470">
            <v>61350</v>
          </cell>
        </row>
        <row r="471">
          <cell r="B471">
            <v>435</v>
          </cell>
          <cell r="C471" t="str">
            <v>Fiet kran 3/4"</v>
          </cell>
          <cell r="D471" t="str">
            <v>bh</v>
          </cell>
          <cell r="E471">
            <v>54600</v>
          </cell>
        </row>
        <row r="472">
          <cell r="B472">
            <v>436</v>
          </cell>
          <cell r="C472" t="str">
            <v>Fiet kran 1"</v>
          </cell>
          <cell r="D472" t="str">
            <v>bh</v>
          </cell>
          <cell r="E472">
            <v>70950</v>
          </cell>
        </row>
        <row r="473">
          <cell r="B473">
            <v>437</v>
          </cell>
          <cell r="C473" t="str">
            <v>Fiet kran 2"</v>
          </cell>
          <cell r="D473" t="str">
            <v>bh</v>
          </cell>
          <cell r="E473">
            <v>200500</v>
          </cell>
        </row>
        <row r="474">
          <cell r="B474">
            <v>438</v>
          </cell>
          <cell r="C474" t="str">
            <v>Fiet kran 3"</v>
          </cell>
          <cell r="D474" t="str">
            <v>bh</v>
          </cell>
          <cell r="E474">
            <v>431300</v>
          </cell>
        </row>
        <row r="475">
          <cell r="B475">
            <v>439</v>
          </cell>
          <cell r="C475" t="str">
            <v>Fiet kran 4"</v>
          </cell>
          <cell r="D475" t="str">
            <v>bh</v>
          </cell>
          <cell r="E475">
            <v>712500</v>
          </cell>
        </row>
        <row r="476">
          <cell r="B476">
            <v>440</v>
          </cell>
          <cell r="C476" t="str">
            <v>Lem Paralon</v>
          </cell>
          <cell r="D476" t="str">
            <v>bh</v>
          </cell>
          <cell r="E476">
            <v>5450</v>
          </cell>
        </row>
        <row r="477">
          <cell r="A477" t="str">
            <v>BV08</v>
          </cell>
          <cell r="B477">
            <v>441</v>
          </cell>
          <cell r="C477" t="str">
            <v>Double Neple 1/2 "</v>
          </cell>
          <cell r="D477" t="str">
            <v>bh</v>
          </cell>
          <cell r="E477">
            <v>20400</v>
          </cell>
        </row>
        <row r="478">
          <cell r="A478" t="str">
            <v>BV09</v>
          </cell>
          <cell r="B478">
            <v>442</v>
          </cell>
          <cell r="C478" t="str">
            <v>Water Mur 1/2 "</v>
          </cell>
          <cell r="D478" t="str">
            <v>bh</v>
          </cell>
          <cell r="E478">
            <v>33000</v>
          </cell>
        </row>
        <row r="479">
          <cell r="A479" t="str">
            <v>BV10</v>
          </cell>
          <cell r="B479">
            <v>443</v>
          </cell>
          <cell r="C479" t="str">
            <v>Gate Walve 1/2 "</v>
          </cell>
          <cell r="D479" t="str">
            <v>bh</v>
          </cell>
          <cell r="E479">
            <v>34000</v>
          </cell>
        </row>
        <row r="480">
          <cell r="A480" t="str">
            <v>BV11</v>
          </cell>
          <cell r="B480">
            <v>444</v>
          </cell>
          <cell r="C480" t="str">
            <v xml:space="preserve">Saringan Air Lt KM Stainless Steel </v>
          </cell>
          <cell r="D480" t="str">
            <v>bh</v>
          </cell>
          <cell r="E480">
            <v>34000</v>
          </cell>
        </row>
        <row r="481">
          <cell r="A481" t="str">
            <v>BV12</v>
          </cell>
          <cell r="B481">
            <v>445</v>
          </cell>
          <cell r="C481" t="str">
            <v>Apooer Bath Tube</v>
          </cell>
          <cell r="D481" t="str">
            <v>bh</v>
          </cell>
          <cell r="E481">
            <v>196000</v>
          </cell>
        </row>
        <row r="482">
          <cell r="A482" t="str">
            <v>BV13</v>
          </cell>
          <cell r="B482">
            <v>446</v>
          </cell>
          <cell r="C482" t="str">
            <v>Kran stain less Lokal Kait</v>
          </cell>
          <cell r="D482" t="str">
            <v>bh</v>
          </cell>
          <cell r="E482">
            <v>36000</v>
          </cell>
        </row>
        <row r="483">
          <cell r="A483" t="str">
            <v>BV14</v>
          </cell>
          <cell r="B483">
            <v>447</v>
          </cell>
          <cell r="C483" t="str">
            <v xml:space="preserve">Shower Dengan Tiang </v>
          </cell>
          <cell r="D483" t="str">
            <v>bh</v>
          </cell>
          <cell r="E483">
            <v>184000</v>
          </cell>
        </row>
        <row r="484">
          <cell r="A484" t="str">
            <v>BV15</v>
          </cell>
          <cell r="B484">
            <v>448</v>
          </cell>
          <cell r="C484" t="str">
            <v xml:space="preserve">Shower Tanpa Tiang </v>
          </cell>
          <cell r="D484" t="str">
            <v>bh</v>
          </cell>
          <cell r="E484">
            <v>102000</v>
          </cell>
        </row>
        <row r="485">
          <cell r="A485" t="str">
            <v>BV16</v>
          </cell>
          <cell r="B485">
            <v>449</v>
          </cell>
          <cell r="C485" t="str">
            <v xml:space="preserve">Kran Tembok Sun Eui  dia. 1/2 " </v>
          </cell>
          <cell r="D485" t="str">
            <v>bh</v>
          </cell>
          <cell r="E485">
            <v>68250</v>
          </cell>
        </row>
        <row r="486">
          <cell r="A486" t="str">
            <v>BV17</v>
          </cell>
          <cell r="B486">
            <v>450</v>
          </cell>
          <cell r="C486" t="str">
            <v xml:space="preserve">Kran Tembok ITAP dia. 1/2 " </v>
          </cell>
          <cell r="D486" t="str">
            <v>bh</v>
          </cell>
          <cell r="E486">
            <v>27300</v>
          </cell>
        </row>
        <row r="487">
          <cell r="A487" t="str">
            <v>BV18</v>
          </cell>
          <cell r="B487">
            <v>451</v>
          </cell>
          <cell r="C487" t="str">
            <v xml:space="preserve">Kran Bebek Sun Eui 1/2 " </v>
          </cell>
          <cell r="D487" t="str">
            <v>bh</v>
          </cell>
          <cell r="E487">
            <v>122850</v>
          </cell>
        </row>
        <row r="488">
          <cell r="A488" t="str">
            <v>BV19</v>
          </cell>
          <cell r="B488">
            <v>452</v>
          </cell>
          <cell r="C488" t="str">
            <v>Kran Bebek ITAP 1/2 "</v>
          </cell>
          <cell r="D488" t="str">
            <v>bh</v>
          </cell>
          <cell r="E488">
            <v>40950</v>
          </cell>
        </row>
        <row r="489">
          <cell r="A489" t="str">
            <v>BV20</v>
          </cell>
          <cell r="B489">
            <v>453</v>
          </cell>
          <cell r="C489" t="str">
            <v>Kran Panas Dingin San Eui  Standard</v>
          </cell>
          <cell r="D489" t="str">
            <v>bh</v>
          </cell>
          <cell r="E489">
            <v>170550</v>
          </cell>
        </row>
        <row r="490">
          <cell r="A490" t="str">
            <v>BV21</v>
          </cell>
          <cell r="B490">
            <v>454</v>
          </cell>
          <cell r="C490" t="str">
            <v xml:space="preserve">Bath Cape  Washteren </v>
          </cell>
          <cell r="D490" t="str">
            <v>unit</v>
          </cell>
          <cell r="E490">
            <v>1633800</v>
          </cell>
        </row>
        <row r="491">
          <cell r="A491" t="str">
            <v>BV22</v>
          </cell>
          <cell r="B491">
            <v>455</v>
          </cell>
          <cell r="C491" t="str">
            <v>Tempat Sabun Poslin</v>
          </cell>
          <cell r="D491" t="str">
            <v>bh</v>
          </cell>
          <cell r="E491">
            <v>34000</v>
          </cell>
        </row>
        <row r="492">
          <cell r="A492" t="str">
            <v>BV23</v>
          </cell>
          <cell r="B492">
            <v>456</v>
          </cell>
          <cell r="C492" t="str">
            <v xml:space="preserve">Wastafel Lengkap TOTO LW 230 </v>
          </cell>
          <cell r="D492" t="str">
            <v>unit</v>
          </cell>
          <cell r="E492">
            <v>941850</v>
          </cell>
        </row>
        <row r="493">
          <cell r="A493" t="str">
            <v>BV24</v>
          </cell>
          <cell r="B493">
            <v>457</v>
          </cell>
          <cell r="C493" t="str">
            <v>Wastafel Lengkap INA</v>
          </cell>
          <cell r="D493" t="str">
            <v>unit</v>
          </cell>
          <cell r="E493">
            <v>511800</v>
          </cell>
        </row>
        <row r="494">
          <cell r="B494">
            <v>458</v>
          </cell>
          <cell r="C494" t="str">
            <v>Closet Duduk Poslin (INA) Lengkap</v>
          </cell>
          <cell r="D494" t="str">
            <v>set</v>
          </cell>
          <cell r="E494">
            <v>1706250</v>
          </cell>
        </row>
        <row r="495">
          <cell r="B495">
            <v>459</v>
          </cell>
          <cell r="C495" t="str">
            <v>Closet Jongkok Poslin (INA)</v>
          </cell>
          <cell r="D495" t="str">
            <v>bh</v>
          </cell>
          <cell r="E495">
            <v>109000</v>
          </cell>
        </row>
        <row r="496">
          <cell r="B496">
            <v>460</v>
          </cell>
          <cell r="C496" t="str">
            <v xml:space="preserve">Closet Jongkok Teraso </v>
          </cell>
          <cell r="D496" t="str">
            <v>bh</v>
          </cell>
          <cell r="E496">
            <v>61350</v>
          </cell>
        </row>
        <row r="497">
          <cell r="A497" t="str">
            <v>BV25</v>
          </cell>
          <cell r="B497">
            <v>461</v>
          </cell>
          <cell r="C497" t="str">
            <v>Closet Jongkok Poslin warna  TOTO</v>
          </cell>
          <cell r="D497" t="str">
            <v>unit</v>
          </cell>
          <cell r="E497">
            <v>245700</v>
          </cell>
        </row>
        <row r="498">
          <cell r="A498" t="str">
            <v>BV26</v>
          </cell>
          <cell r="B498">
            <v>462</v>
          </cell>
          <cell r="C498" t="str">
            <v>Closet Jongkok Standard Putih Poslin TOTO</v>
          </cell>
          <cell r="D498" t="str">
            <v>unit</v>
          </cell>
          <cell r="E498">
            <v>150150</v>
          </cell>
        </row>
        <row r="499">
          <cell r="A499" t="str">
            <v>BV27</v>
          </cell>
          <cell r="B499">
            <v>463</v>
          </cell>
          <cell r="C499" t="str">
            <v>Closet Jongkok Lengkap Sistem Jet TOTO</v>
          </cell>
          <cell r="D499" t="str">
            <v>unit</v>
          </cell>
          <cell r="E499">
            <v>1556000</v>
          </cell>
        </row>
        <row r="500">
          <cell r="A500" t="str">
            <v>BV28</v>
          </cell>
          <cell r="B500">
            <v>464</v>
          </cell>
          <cell r="C500" t="str">
            <v>Closet Duduk Warna Standard  TOTO C 240 Lengkap</v>
          </cell>
          <cell r="D500" t="str">
            <v>unit</v>
          </cell>
          <cell r="E500">
            <v>1433000</v>
          </cell>
        </row>
        <row r="501">
          <cell r="A501" t="str">
            <v>BV29</v>
          </cell>
          <cell r="B501">
            <v>465</v>
          </cell>
          <cell r="C501" t="str">
            <v>Wastafel Bulat Warna Standard Lengkap</v>
          </cell>
          <cell r="D501" t="str">
            <v>unit</v>
          </cell>
          <cell r="E501">
            <v>1177250</v>
          </cell>
        </row>
        <row r="502">
          <cell r="A502" t="str">
            <v>BV30</v>
          </cell>
          <cell r="B502">
            <v>466</v>
          </cell>
          <cell r="C502" t="str">
            <v>Closet Duduk Warna Standard lengkap INA</v>
          </cell>
          <cell r="D502" t="str">
            <v>bh</v>
          </cell>
          <cell r="E502">
            <v>1098750</v>
          </cell>
        </row>
        <row r="503">
          <cell r="A503" t="str">
            <v>BV31</v>
          </cell>
          <cell r="B503">
            <v>467</v>
          </cell>
          <cell r="C503" t="str">
            <v xml:space="preserve">Urinoar Lengkap TOTO Warna Standard lengkap </v>
          </cell>
          <cell r="D503" t="str">
            <v>unit</v>
          </cell>
          <cell r="E503">
            <v>1276200</v>
          </cell>
        </row>
        <row r="504">
          <cell r="A504" t="str">
            <v>BV32</v>
          </cell>
          <cell r="B504">
            <v>468</v>
          </cell>
          <cell r="C504" t="str">
            <v xml:space="preserve">Penyekat Poslin Urinoar TOTO </v>
          </cell>
          <cell r="D504" t="str">
            <v>lbr</v>
          </cell>
          <cell r="E504">
            <v>343950</v>
          </cell>
        </row>
        <row r="505">
          <cell r="A505" t="str">
            <v>BV33</v>
          </cell>
          <cell r="B505">
            <v>469</v>
          </cell>
          <cell r="C505" t="str">
            <v>Kitchen Zink Stainless Standard Lokal ( 1 Lobang )</v>
          </cell>
          <cell r="D505" t="str">
            <v>bh</v>
          </cell>
          <cell r="E505">
            <v>184200</v>
          </cell>
        </row>
        <row r="506">
          <cell r="A506" t="str">
            <v>BV34</v>
          </cell>
          <cell r="B506">
            <v>470</v>
          </cell>
          <cell r="C506" t="str">
            <v>Kitchen Zink Stainless Non Standard Franke ( 1 Lobang )</v>
          </cell>
          <cell r="D506" t="str">
            <v>bh</v>
          </cell>
          <cell r="E506">
            <v>580000</v>
          </cell>
        </row>
        <row r="507">
          <cell r="A507" t="str">
            <v>BV35</v>
          </cell>
          <cell r="B507">
            <v>471</v>
          </cell>
          <cell r="C507" t="str">
            <v>Kitchen Zink Stainless Non Standard Franke ( 2 Lobang )</v>
          </cell>
          <cell r="D507" t="str">
            <v>bh</v>
          </cell>
          <cell r="E507">
            <v>921300</v>
          </cell>
        </row>
        <row r="508">
          <cell r="B508">
            <v>472</v>
          </cell>
          <cell r="C508" t="str">
            <v>Selotip</v>
          </cell>
          <cell r="D508" t="str">
            <v>bh</v>
          </cell>
          <cell r="E508">
            <v>1300</v>
          </cell>
        </row>
        <row r="509">
          <cell r="B509">
            <v>473</v>
          </cell>
          <cell r="C509" t="str">
            <v>Bak Mandi Teraso</v>
          </cell>
          <cell r="D509" t="str">
            <v>bh</v>
          </cell>
          <cell r="E509">
            <v>204750</v>
          </cell>
        </row>
        <row r="510">
          <cell r="B510">
            <v>474</v>
          </cell>
          <cell r="C510" t="str">
            <v>Bak Mandi Fiber Glass 60 x 6</v>
          </cell>
          <cell r="D510" t="str">
            <v>bh</v>
          </cell>
          <cell r="E510">
            <v>95550</v>
          </cell>
        </row>
        <row r="511">
          <cell r="B511">
            <v>475</v>
          </cell>
          <cell r="C511" t="str">
            <v>Floordrain stainless</v>
          </cell>
          <cell r="D511" t="str">
            <v>bh</v>
          </cell>
          <cell r="E511">
            <v>20000</v>
          </cell>
        </row>
        <row r="513">
          <cell r="B513" t="str">
            <v>K</v>
          </cell>
          <cell r="C513" t="str">
            <v>BAHAN PENUTUP ATAP</v>
          </cell>
        </row>
        <row r="514">
          <cell r="A514" t="str">
            <v>BX01</v>
          </cell>
          <cell r="B514">
            <v>476</v>
          </cell>
          <cell r="C514" t="str">
            <v>Atap Plastik Gelombang 80 x 180</v>
          </cell>
          <cell r="D514" t="str">
            <v>lbr</v>
          </cell>
          <cell r="E514">
            <v>18000</v>
          </cell>
        </row>
        <row r="515">
          <cell r="A515" t="str">
            <v>BX02</v>
          </cell>
          <cell r="B515">
            <v>477</v>
          </cell>
          <cell r="C515" t="str">
            <v>Atap Fiber Glass Tipis 80 x 180 (gelombang)</v>
          </cell>
          <cell r="D515" t="str">
            <v>lbr</v>
          </cell>
          <cell r="E515">
            <v>32500</v>
          </cell>
        </row>
        <row r="516">
          <cell r="A516" t="str">
            <v>BX03</v>
          </cell>
          <cell r="B516">
            <v>478</v>
          </cell>
          <cell r="C516" t="str">
            <v>Atap Fiber Glass Tebal 80 x 180 (gelombang)</v>
          </cell>
          <cell r="D516" t="str">
            <v>lbr</v>
          </cell>
          <cell r="E516">
            <v>64000</v>
          </cell>
        </row>
        <row r="517">
          <cell r="A517" t="str">
            <v>BX04</v>
          </cell>
          <cell r="B517">
            <v>479</v>
          </cell>
          <cell r="C517" t="str">
            <v>Atap Aluminium Natural USR 26 ( JAINDO )</v>
          </cell>
          <cell r="D517" t="str">
            <v>m²</v>
          </cell>
          <cell r="E517">
            <v>100000</v>
          </cell>
        </row>
        <row r="518">
          <cell r="A518" t="str">
            <v>BX05</v>
          </cell>
          <cell r="B518">
            <v>480</v>
          </cell>
          <cell r="C518" t="str">
            <v>Atap Aluminium Warna USR 26 ( JAINDO )</v>
          </cell>
          <cell r="D518" t="str">
            <v>m²</v>
          </cell>
          <cell r="E518">
            <v>115000</v>
          </cell>
        </row>
        <row r="519">
          <cell r="A519" t="str">
            <v>BX06</v>
          </cell>
          <cell r="B519">
            <v>481</v>
          </cell>
          <cell r="C519" t="str">
            <v>Atap Asbes Gel. Kecil 4 mm 80 x 180</v>
          </cell>
          <cell r="D519" t="str">
            <v>lbr</v>
          </cell>
          <cell r="E519">
            <v>22100</v>
          </cell>
        </row>
        <row r="520">
          <cell r="B520">
            <v>482</v>
          </cell>
          <cell r="C520" t="str">
            <v>Atap Asbes Gel. 3 mm 80 x 180</v>
          </cell>
          <cell r="D520" t="str">
            <v>lbr</v>
          </cell>
          <cell r="E520">
            <v>18500</v>
          </cell>
        </row>
        <row r="521">
          <cell r="B521">
            <v>483</v>
          </cell>
          <cell r="C521" t="str">
            <v>Atap Asbes Gel.  4 mm 80 x 180</v>
          </cell>
          <cell r="D521" t="str">
            <v>lbr</v>
          </cell>
          <cell r="E521">
            <v>20000</v>
          </cell>
        </row>
        <row r="522">
          <cell r="B522">
            <v>484</v>
          </cell>
          <cell r="C522" t="str">
            <v>Atap Asbes Gel. 5 mm 80 x 180</v>
          </cell>
          <cell r="D522" t="str">
            <v>lbr</v>
          </cell>
          <cell r="E522">
            <v>31000</v>
          </cell>
        </row>
        <row r="523">
          <cell r="A523" t="str">
            <v>BX07</v>
          </cell>
          <cell r="B523">
            <v>485</v>
          </cell>
          <cell r="C523" t="str">
            <v>Atap Asbes Gel. Besar 5 mm 80 x 180</v>
          </cell>
          <cell r="D523" t="str">
            <v>lbr</v>
          </cell>
          <cell r="E523">
            <v>60000</v>
          </cell>
        </row>
        <row r="524">
          <cell r="A524" t="str">
            <v>BX08</v>
          </cell>
          <cell r="B524">
            <v>486</v>
          </cell>
          <cell r="C524" t="str">
            <v>Atap Tegola Kubota, lengkap</v>
          </cell>
          <cell r="D524" t="str">
            <v>m²</v>
          </cell>
          <cell r="E524">
            <v>350000</v>
          </cell>
        </row>
        <row r="525">
          <cell r="B525">
            <v>487</v>
          </cell>
          <cell r="C525" t="str">
            <v>Atap Multiroof</v>
          </cell>
          <cell r="D525" t="str">
            <v>m²</v>
          </cell>
        </row>
        <row r="526">
          <cell r="A526" t="str">
            <v>BX09</v>
          </cell>
          <cell r="B526">
            <v>488</v>
          </cell>
          <cell r="C526" t="str">
            <v>Atap Tegola Kwalitas Sedang</v>
          </cell>
          <cell r="D526" t="str">
            <v>m²</v>
          </cell>
          <cell r="E526">
            <v>200000</v>
          </cell>
        </row>
        <row r="527">
          <cell r="A527" t="str">
            <v>BX10</v>
          </cell>
          <cell r="B527">
            <v>489</v>
          </cell>
          <cell r="C527" t="str">
            <v>Aluminium foile</v>
          </cell>
          <cell r="D527" t="str">
            <v>m²</v>
          </cell>
          <cell r="E527">
            <v>6000</v>
          </cell>
        </row>
        <row r="528">
          <cell r="A528" t="str">
            <v>BX11</v>
          </cell>
          <cell r="B528">
            <v>490</v>
          </cell>
          <cell r="C528" t="str">
            <v>Atap Genteng Plentong pres Bakar KW 1</v>
          </cell>
          <cell r="D528" t="str">
            <v>bh</v>
          </cell>
          <cell r="E528">
            <v>950</v>
          </cell>
        </row>
        <row r="529">
          <cell r="A529" t="str">
            <v>BX12</v>
          </cell>
          <cell r="B529">
            <v>491</v>
          </cell>
          <cell r="C529" t="str">
            <v xml:space="preserve">Atap Genteng Plentong pres Molen Oven KW1 </v>
          </cell>
          <cell r="D529" t="str">
            <v>bh</v>
          </cell>
          <cell r="E529">
            <v>2000</v>
          </cell>
        </row>
        <row r="530">
          <cell r="A530" t="str">
            <v>BX13</v>
          </cell>
          <cell r="B530">
            <v>492</v>
          </cell>
          <cell r="C530" t="str">
            <v>Atap Genteng Flam pres Molen Oven Jatiwangi</v>
          </cell>
          <cell r="D530" t="str">
            <v>bh</v>
          </cell>
          <cell r="E530">
            <v>750</v>
          </cell>
        </row>
        <row r="531">
          <cell r="B531">
            <v>1</v>
          </cell>
          <cell r="C531" t="str">
            <v>Genting Morando</v>
          </cell>
          <cell r="D531" t="str">
            <v>bh</v>
          </cell>
          <cell r="E531">
            <v>1600</v>
          </cell>
        </row>
        <row r="532">
          <cell r="A532" t="str">
            <v>BX14</v>
          </cell>
          <cell r="B532">
            <v>494</v>
          </cell>
          <cell r="C532" t="str">
            <v>Bubung Genteng pres Bulat Ex Jatiwangi</v>
          </cell>
          <cell r="D532" t="str">
            <v>bh</v>
          </cell>
          <cell r="E532">
            <v>3500</v>
          </cell>
        </row>
        <row r="533">
          <cell r="A533" t="str">
            <v>BX15</v>
          </cell>
          <cell r="B533">
            <v>495</v>
          </cell>
          <cell r="C533" t="str">
            <v>Genteng Bubungan Ex Jatiwangi Segi Tiga</v>
          </cell>
          <cell r="D533" t="str">
            <v>bh</v>
          </cell>
          <cell r="E533">
            <v>2800</v>
          </cell>
        </row>
        <row r="534">
          <cell r="A534" t="str">
            <v>BX16</v>
          </cell>
          <cell r="B534">
            <v>496</v>
          </cell>
          <cell r="C534" t="str">
            <v>Genteng Bubungan Beton</v>
          </cell>
          <cell r="D534" t="str">
            <v>bh</v>
          </cell>
          <cell r="E534">
            <v>3300</v>
          </cell>
        </row>
        <row r="535">
          <cell r="B535">
            <v>497</v>
          </cell>
          <cell r="C535" t="str">
            <v>Genteng Beton Warna 14,5/m2</v>
          </cell>
          <cell r="D535" t="str">
            <v>bh</v>
          </cell>
          <cell r="E535">
            <v>4750</v>
          </cell>
        </row>
        <row r="536">
          <cell r="B536">
            <v>498</v>
          </cell>
          <cell r="C536" t="str">
            <v>Genteng Beton Natural</v>
          </cell>
          <cell r="D536" t="str">
            <v>bh</v>
          </cell>
          <cell r="E536">
            <v>2700</v>
          </cell>
        </row>
        <row r="537">
          <cell r="A537" t="str">
            <v>BX17</v>
          </cell>
          <cell r="B537">
            <v>499</v>
          </cell>
          <cell r="C537" t="str">
            <v>Genteng Metal  ( Rainbow Roof )</v>
          </cell>
          <cell r="D537" t="str">
            <v>m²</v>
          </cell>
          <cell r="E537">
            <v>150000</v>
          </cell>
        </row>
        <row r="538">
          <cell r="A538" t="str">
            <v>BX18</v>
          </cell>
          <cell r="B538">
            <v>500</v>
          </cell>
          <cell r="C538" t="str">
            <v xml:space="preserve">Genteng Metal Hana </v>
          </cell>
          <cell r="D538" t="str">
            <v>m²</v>
          </cell>
          <cell r="E538">
            <v>111000</v>
          </cell>
        </row>
        <row r="539">
          <cell r="A539" t="str">
            <v>BX19</v>
          </cell>
          <cell r="B539">
            <v>501</v>
          </cell>
          <cell r="C539" t="str">
            <v>Nok Atas Metal ( Rainbow Roof )</v>
          </cell>
          <cell r="D539" t="str">
            <v>m1</v>
          </cell>
          <cell r="E539">
            <v>100000</v>
          </cell>
        </row>
        <row r="540">
          <cell r="A540" t="str">
            <v>BX20</v>
          </cell>
          <cell r="B540">
            <v>502</v>
          </cell>
          <cell r="C540" t="str">
            <v>Nok Atas Metal Hana</v>
          </cell>
          <cell r="D540" t="str">
            <v>m1</v>
          </cell>
          <cell r="E540">
            <v>55000</v>
          </cell>
        </row>
        <row r="541">
          <cell r="A541" t="str">
            <v>BX21</v>
          </cell>
          <cell r="B541">
            <v>503</v>
          </cell>
          <cell r="C541" t="str">
            <v>Nok Pinggir Metal ( Rainbow Roof )</v>
          </cell>
          <cell r="D541" t="str">
            <v>m1</v>
          </cell>
          <cell r="E541">
            <v>70000</v>
          </cell>
        </row>
        <row r="542">
          <cell r="A542" t="str">
            <v>BX22</v>
          </cell>
          <cell r="B542">
            <v>504</v>
          </cell>
          <cell r="C542" t="str">
            <v>Nok Pinggir Hana</v>
          </cell>
          <cell r="D542" t="str">
            <v>m1</v>
          </cell>
          <cell r="E542">
            <v>55000</v>
          </cell>
        </row>
        <row r="543">
          <cell r="A543" t="str">
            <v>BX23</v>
          </cell>
          <cell r="B543">
            <v>505</v>
          </cell>
          <cell r="C543" t="str">
            <v>Wall Flashing ( Rainbow Roof )</v>
          </cell>
          <cell r="D543" t="str">
            <v>m1</v>
          </cell>
          <cell r="E543">
            <v>70000</v>
          </cell>
        </row>
        <row r="544">
          <cell r="A544" t="str">
            <v>BX24</v>
          </cell>
          <cell r="B544">
            <v>506</v>
          </cell>
          <cell r="C544" t="str">
            <v>Wall Flashing Hana</v>
          </cell>
          <cell r="D544" t="str">
            <v>m1</v>
          </cell>
          <cell r="E544">
            <v>55000</v>
          </cell>
        </row>
        <row r="545">
          <cell r="A545" t="str">
            <v>BX25</v>
          </cell>
          <cell r="B545">
            <v>507</v>
          </cell>
          <cell r="C545" t="str">
            <v>Atap Genteng Beton Warna 14,5/m2</v>
          </cell>
          <cell r="D545" t="str">
            <v>m²</v>
          </cell>
          <cell r="E545">
            <v>68875</v>
          </cell>
        </row>
        <row r="546">
          <cell r="A546" t="str">
            <v>BX26</v>
          </cell>
          <cell r="B546">
            <v>508</v>
          </cell>
          <cell r="C546" t="str">
            <v>Genteng Beton Natural</v>
          </cell>
          <cell r="D546" t="str">
            <v>m²</v>
          </cell>
          <cell r="E546">
            <v>16380</v>
          </cell>
        </row>
        <row r="547">
          <cell r="A547" t="str">
            <v>BX27</v>
          </cell>
          <cell r="B547">
            <v>509</v>
          </cell>
          <cell r="C547" t="str">
            <v>Sirap Kelas I ( 80 / m2 )</v>
          </cell>
          <cell r="D547" t="str">
            <v>bh</v>
          </cell>
          <cell r="E547">
            <v>1400</v>
          </cell>
        </row>
        <row r="548">
          <cell r="B548">
            <v>510</v>
          </cell>
          <cell r="C548" t="str">
            <v>Sirap</v>
          </cell>
          <cell r="D548" t="str">
            <v>m²</v>
          </cell>
          <cell r="E548">
            <v>114999.99999999999</v>
          </cell>
        </row>
        <row r="549">
          <cell r="B549">
            <v>511</v>
          </cell>
          <cell r="C549" t="str">
            <v xml:space="preserve">Genteng Keramik </v>
          </cell>
          <cell r="D549" t="str">
            <v>bh</v>
          </cell>
          <cell r="E549">
            <v>5500</v>
          </cell>
        </row>
        <row r="550">
          <cell r="A550" t="str">
            <v>BX28</v>
          </cell>
          <cell r="B550">
            <v>512</v>
          </cell>
          <cell r="C550" t="str">
            <v>Genteng Keramik Natural Intan 14,5 / m2</v>
          </cell>
          <cell r="D550" t="str">
            <v>m²</v>
          </cell>
          <cell r="E550">
            <v>70000</v>
          </cell>
        </row>
        <row r="551">
          <cell r="A551" t="str">
            <v>BX29</v>
          </cell>
          <cell r="B551">
            <v>513</v>
          </cell>
          <cell r="C551" t="str">
            <v>Genteng Keramik Glasur Standard 14,5 / m2</v>
          </cell>
          <cell r="D551" t="str">
            <v>m²</v>
          </cell>
          <cell r="E551">
            <v>75000</v>
          </cell>
        </row>
        <row r="552">
          <cell r="A552" t="str">
            <v>BX30</v>
          </cell>
          <cell r="B552">
            <v>514</v>
          </cell>
          <cell r="C552" t="str">
            <v>Genteng Keramik Glasur Special 14,5 / m2</v>
          </cell>
          <cell r="D552" t="str">
            <v>m²</v>
          </cell>
          <cell r="E552">
            <v>83500</v>
          </cell>
        </row>
        <row r="553">
          <cell r="A553" t="str">
            <v>BX31</v>
          </cell>
          <cell r="B553">
            <v>515</v>
          </cell>
          <cell r="C553" t="str">
            <v>Genteng Keramik Glasur Premium 14,5 / m2</v>
          </cell>
          <cell r="D553" t="str">
            <v>m²</v>
          </cell>
          <cell r="E553">
            <v>94000</v>
          </cell>
        </row>
        <row r="554">
          <cell r="A554" t="str">
            <v>BX32</v>
          </cell>
          <cell r="B554">
            <v>516</v>
          </cell>
          <cell r="C554" t="str">
            <v>Genteng Murando Natural 1m2 = 18 bh</v>
          </cell>
          <cell r="D554" t="str">
            <v>bh</v>
          </cell>
          <cell r="E554">
            <v>1500</v>
          </cell>
        </row>
        <row r="555">
          <cell r="A555" t="str">
            <v>BX33</v>
          </cell>
          <cell r="B555">
            <v>517</v>
          </cell>
          <cell r="C555" t="str">
            <v>Genteng Murando Glasur 1m2 = 20 bh</v>
          </cell>
          <cell r="D555" t="str">
            <v>bh</v>
          </cell>
          <cell r="E555">
            <v>3000</v>
          </cell>
        </row>
        <row r="556">
          <cell r="B556">
            <v>518</v>
          </cell>
          <cell r="C556" t="str">
            <v>Genting Magas</v>
          </cell>
          <cell r="D556" t="str">
            <v>bh</v>
          </cell>
          <cell r="E556">
            <v>950</v>
          </cell>
        </row>
        <row r="557">
          <cell r="B557">
            <v>519</v>
          </cell>
          <cell r="C557" t="str">
            <v>Genteng Super Roof Multicolor</v>
          </cell>
          <cell r="D557" t="str">
            <v>m²</v>
          </cell>
          <cell r="E557">
            <v>148000</v>
          </cell>
        </row>
        <row r="558">
          <cell r="A558" t="str">
            <v>BX34</v>
          </cell>
          <cell r="B558">
            <v>520</v>
          </cell>
          <cell r="C558" t="str">
            <v>Bubung Murando Natural</v>
          </cell>
          <cell r="D558" t="str">
            <v>bh</v>
          </cell>
          <cell r="E558">
            <v>4600</v>
          </cell>
        </row>
        <row r="559">
          <cell r="A559" t="str">
            <v>BX35</v>
          </cell>
          <cell r="B559">
            <v>521</v>
          </cell>
          <cell r="C559" t="str">
            <v>Bubung Murando Glasur</v>
          </cell>
          <cell r="D559" t="str">
            <v>bh</v>
          </cell>
          <cell r="E559">
            <v>6899.9999999999991</v>
          </cell>
        </row>
        <row r="560">
          <cell r="A560" t="str">
            <v>BX36</v>
          </cell>
          <cell r="B560">
            <v>522</v>
          </cell>
          <cell r="C560" t="str">
            <v>Bubungan Genteng Keramik</v>
          </cell>
          <cell r="D560" t="str">
            <v>bh</v>
          </cell>
          <cell r="E560">
            <v>6000</v>
          </cell>
        </row>
        <row r="561">
          <cell r="B561">
            <v>523</v>
          </cell>
          <cell r="C561" t="str">
            <v>Bubungan Genteng Palentong</v>
          </cell>
          <cell r="D561" t="str">
            <v>bh</v>
          </cell>
          <cell r="E561">
            <v>1750</v>
          </cell>
        </row>
        <row r="562">
          <cell r="B562">
            <v>2</v>
          </cell>
          <cell r="C562" t="str">
            <v>Bubungan Genteng Murando</v>
          </cell>
          <cell r="D562" t="str">
            <v>bh</v>
          </cell>
          <cell r="E562">
            <v>4600</v>
          </cell>
        </row>
        <row r="563">
          <cell r="B563">
            <v>525</v>
          </cell>
          <cell r="C563" t="str">
            <v>Bubungan asbes</v>
          </cell>
          <cell r="D563" t="str">
            <v>bh</v>
          </cell>
          <cell r="E563">
            <v>17250</v>
          </cell>
        </row>
        <row r="564">
          <cell r="B564">
            <v>526</v>
          </cell>
          <cell r="C564" t="str">
            <v>Bubungan Genting Flam</v>
          </cell>
          <cell r="D564" t="str">
            <v>bh</v>
          </cell>
          <cell r="E564">
            <v>1450</v>
          </cell>
        </row>
        <row r="565">
          <cell r="B565">
            <v>527</v>
          </cell>
          <cell r="C565" t="str">
            <v>Bubungan Genting Magas eks banjar</v>
          </cell>
          <cell r="D565" t="str">
            <v>bh</v>
          </cell>
          <cell r="E565">
            <v>1750</v>
          </cell>
        </row>
        <row r="566">
          <cell r="B566">
            <v>528</v>
          </cell>
          <cell r="C566" t="str">
            <v>Bubungan Genteng Super Roof Multicolor</v>
          </cell>
          <cell r="D566" t="str">
            <v>bh</v>
          </cell>
          <cell r="E566">
            <v>60374.999999999993</v>
          </cell>
        </row>
        <row r="568">
          <cell r="B568" t="str">
            <v>N</v>
          </cell>
          <cell r="C568" t="str">
            <v xml:space="preserve"> BAHAN MEKANIKAL</v>
          </cell>
        </row>
        <row r="569">
          <cell r="A569" t="str">
            <v>BZ01</v>
          </cell>
          <cell r="B569">
            <v>529</v>
          </cell>
          <cell r="C569" t="str">
            <v>Jockey Pump kap. 80 gln / menit 100 m1  ( 18,6 kW )</v>
          </cell>
          <cell r="D569" t="str">
            <v>unit</v>
          </cell>
          <cell r="E569">
            <v>47775000</v>
          </cell>
        </row>
        <row r="570">
          <cell r="A570" t="str">
            <v>BZ02</v>
          </cell>
          <cell r="B570">
            <v>530</v>
          </cell>
          <cell r="C570" t="str">
            <v>Electrical Pump kap. 750 gln / menit 120 m1  ( 90 kW )</v>
          </cell>
          <cell r="D570" t="str">
            <v>unit</v>
          </cell>
          <cell r="E570">
            <v>163800000</v>
          </cell>
        </row>
        <row r="571">
          <cell r="A571" t="str">
            <v>BZ03</v>
          </cell>
          <cell r="B571">
            <v>531</v>
          </cell>
          <cell r="C571" t="str">
            <v>Diesel Pump kap. 750 gln / menit 120 m1  ( 105 kW )</v>
          </cell>
          <cell r="D571" t="str">
            <v>unit</v>
          </cell>
          <cell r="E571">
            <v>409500000</v>
          </cell>
        </row>
        <row r="572">
          <cell r="A572" t="str">
            <v>BZ04</v>
          </cell>
          <cell r="B572">
            <v>532</v>
          </cell>
          <cell r="C572" t="str">
            <v xml:space="preserve">Presure Tank kap. 500 liter lengkap </v>
          </cell>
          <cell r="D572" t="str">
            <v>unit</v>
          </cell>
          <cell r="E572">
            <v>23887500</v>
          </cell>
        </row>
        <row r="573">
          <cell r="A573" t="str">
            <v>BZ05</v>
          </cell>
          <cell r="B573">
            <v>533</v>
          </cell>
          <cell r="C573" t="str">
            <v>Hydran Box dalam Gedung  (lengkap)</v>
          </cell>
          <cell r="D573" t="str">
            <v>unit</v>
          </cell>
          <cell r="E573">
            <v>4231500</v>
          </cell>
        </row>
        <row r="574">
          <cell r="A574" t="str">
            <v>BZ06</v>
          </cell>
          <cell r="B574">
            <v>534</v>
          </cell>
          <cell r="C574" t="str">
            <v>Fire House 1.5 x 30 m + nose</v>
          </cell>
          <cell r="D574" t="str">
            <v>unit</v>
          </cell>
          <cell r="E574">
            <v>3412500</v>
          </cell>
        </row>
        <row r="575">
          <cell r="A575" t="str">
            <v>BZ07</v>
          </cell>
          <cell r="B575">
            <v>535</v>
          </cell>
          <cell r="C575" t="str">
            <v>Exhouse Fan H 360 W 60 x 60 cm</v>
          </cell>
          <cell r="D575" t="str">
            <v>unit</v>
          </cell>
          <cell r="E575">
            <v>4777500</v>
          </cell>
        </row>
        <row r="576">
          <cell r="A576" t="str">
            <v>BZ08</v>
          </cell>
          <cell r="B576">
            <v>536</v>
          </cell>
          <cell r="C576" t="str">
            <v xml:space="preserve">Exhouse Fan H 380 W CFM 55 x 55 cm </v>
          </cell>
          <cell r="D576" t="str">
            <v>unit</v>
          </cell>
          <cell r="E576">
            <v>4231500</v>
          </cell>
        </row>
        <row r="577">
          <cell r="A577" t="str">
            <v>BZ09</v>
          </cell>
          <cell r="B577">
            <v>537</v>
          </cell>
          <cell r="C577" t="str">
            <v xml:space="preserve">Exhouse Fan H 100 W 40 x 40 cm </v>
          </cell>
          <cell r="D577" t="str">
            <v>unit</v>
          </cell>
          <cell r="E577">
            <v>819000</v>
          </cell>
        </row>
        <row r="578">
          <cell r="A578" t="str">
            <v>BZ10</v>
          </cell>
          <cell r="B578">
            <v>538</v>
          </cell>
          <cell r="C578" t="str">
            <v>AC Split 3 PK Setara TOSHIBA</v>
          </cell>
          <cell r="D578" t="str">
            <v>unit</v>
          </cell>
          <cell r="E578">
            <v>11943750</v>
          </cell>
        </row>
        <row r="579">
          <cell r="A579" t="str">
            <v>BZ11</v>
          </cell>
          <cell r="B579">
            <v>539</v>
          </cell>
          <cell r="C579" t="str">
            <v>AC Split  2 PK Setara TOSHIBA</v>
          </cell>
          <cell r="D579" t="str">
            <v>unit</v>
          </cell>
          <cell r="E579">
            <v>8872500</v>
          </cell>
        </row>
        <row r="580">
          <cell r="A580" t="str">
            <v>BZ12</v>
          </cell>
          <cell r="B580">
            <v>540</v>
          </cell>
          <cell r="C580" t="str">
            <v>AC Split  1 PK Setara TOSHIBA</v>
          </cell>
          <cell r="D580" t="str">
            <v>unit</v>
          </cell>
          <cell r="E580">
            <v>4777500</v>
          </cell>
        </row>
        <row r="581">
          <cell r="A581" t="str">
            <v>BZ13</v>
          </cell>
          <cell r="B581">
            <v>541</v>
          </cell>
          <cell r="C581" t="str">
            <v>Mesin AC Split  DAIKIN ( Indoor / Outdoor Unit )</v>
          </cell>
          <cell r="D581" t="str">
            <v xml:space="preserve">1 BTU </v>
          </cell>
          <cell r="E581">
            <v>1950</v>
          </cell>
        </row>
        <row r="582">
          <cell r="B582">
            <v>542</v>
          </cell>
          <cell r="C582" t="str">
            <v>AC Split 1 PK Setara Canghong</v>
          </cell>
          <cell r="D582" t="str">
            <v>unit</v>
          </cell>
          <cell r="E582">
            <v>3500000</v>
          </cell>
        </row>
        <row r="583">
          <cell r="B583">
            <v>543</v>
          </cell>
          <cell r="C583" t="str">
            <v>AC Split 2 PK Setara Canghong</v>
          </cell>
          <cell r="D583" t="str">
            <v>unit</v>
          </cell>
          <cell r="E583">
            <v>4500000</v>
          </cell>
        </row>
        <row r="585">
          <cell r="B585" t="str">
            <v>L</v>
          </cell>
          <cell r="C585" t="str">
            <v>BAHAN ELEKTRIKAL</v>
          </cell>
          <cell r="D585">
            <v>1.5</v>
          </cell>
        </row>
        <row r="586">
          <cell r="A586" t="str">
            <v>BZ16</v>
          </cell>
          <cell r="B586">
            <v>544</v>
          </cell>
          <cell r="C586" t="str">
            <v>Kabel NYA  1x 1.5  Prima (1 rol = 50 m')</v>
          </cell>
          <cell r="D586" t="str">
            <v>ROLL</v>
          </cell>
          <cell r="E586">
            <v>39000</v>
          </cell>
        </row>
        <row r="587">
          <cell r="A587" t="str">
            <v>BZ17</v>
          </cell>
          <cell r="B587">
            <v>545</v>
          </cell>
          <cell r="C587" t="str">
            <v>Kabel NYA  1x 2.5  Prima (1 rol = 50 m')</v>
          </cell>
          <cell r="D587" t="str">
            <v>ROLL</v>
          </cell>
          <cell r="E587">
            <v>62000</v>
          </cell>
        </row>
        <row r="588">
          <cell r="A588" t="str">
            <v>BZ18</v>
          </cell>
          <cell r="B588">
            <v>546</v>
          </cell>
          <cell r="C588" t="str">
            <v>Kabel NYM 2 x 1.5 Prima (1 rol = 50 m')</v>
          </cell>
          <cell r="D588" t="str">
            <v>m'</v>
          </cell>
          <cell r="E588">
            <v>2000</v>
          </cell>
        </row>
        <row r="589">
          <cell r="A589" t="str">
            <v>BZ19</v>
          </cell>
          <cell r="B589">
            <v>547</v>
          </cell>
          <cell r="C589" t="str">
            <v>Kabel NYM 3 x 1.5 Prima (1 rol = 50 m')</v>
          </cell>
          <cell r="D589" t="str">
            <v>m'</v>
          </cell>
          <cell r="E589">
            <v>3000</v>
          </cell>
        </row>
        <row r="590">
          <cell r="A590" t="str">
            <v>BZ20</v>
          </cell>
          <cell r="B590">
            <v>548</v>
          </cell>
          <cell r="C590" t="str">
            <v>Kabel NYM 2 x 2.5 Prima (1 rol = 50 m')</v>
          </cell>
          <cell r="D590" t="str">
            <v>m'</v>
          </cell>
          <cell r="E590">
            <v>2500</v>
          </cell>
        </row>
        <row r="591">
          <cell r="A591" t="str">
            <v>BZ21</v>
          </cell>
          <cell r="B591">
            <v>549</v>
          </cell>
          <cell r="C591" t="str">
            <v>Kabel NYM 3 x 2.5 Prima (1 rol = 50 m')</v>
          </cell>
          <cell r="D591" t="str">
            <v>m'</v>
          </cell>
          <cell r="E591">
            <v>4250</v>
          </cell>
        </row>
        <row r="592">
          <cell r="A592" t="str">
            <v>BZ22</v>
          </cell>
          <cell r="B592">
            <v>550</v>
          </cell>
          <cell r="C592" t="str">
            <v>Kabel NYM 4 x 2.5 Prima (1 rol = 50 m')</v>
          </cell>
          <cell r="D592" t="str">
            <v>m'</v>
          </cell>
          <cell r="E592">
            <v>3625</v>
          </cell>
        </row>
        <row r="593">
          <cell r="A593" t="str">
            <v>BZ23</v>
          </cell>
          <cell r="B593">
            <v>551</v>
          </cell>
          <cell r="C593" t="str">
            <v>Kabel NYM 2 x 4    Prima (1 rol = 50 m')</v>
          </cell>
          <cell r="D593" t="str">
            <v>m'</v>
          </cell>
          <cell r="E593">
            <v>3000</v>
          </cell>
        </row>
        <row r="594">
          <cell r="A594" t="str">
            <v>BZ24</v>
          </cell>
          <cell r="B594">
            <v>552</v>
          </cell>
          <cell r="C594" t="str">
            <v>Kabel NYM 3 x 4    Prima (1 rol = 50 m')</v>
          </cell>
          <cell r="D594" t="str">
            <v>m'</v>
          </cell>
          <cell r="E594">
            <v>7000</v>
          </cell>
        </row>
        <row r="595">
          <cell r="A595" t="str">
            <v>BZ25</v>
          </cell>
          <cell r="B595">
            <v>553</v>
          </cell>
          <cell r="C595" t="str">
            <v>Kabel NYM 4 x 4    Prima (1 rol = 50 m')</v>
          </cell>
          <cell r="D595" t="str">
            <v>m'</v>
          </cell>
          <cell r="E595">
            <v>9825</v>
          </cell>
        </row>
        <row r="596">
          <cell r="A596" t="str">
            <v>BZ26</v>
          </cell>
          <cell r="B596">
            <v>554</v>
          </cell>
          <cell r="C596" t="str">
            <v>Kabel NYM 2 x 6    Supreme (1 rol = 50 m')</v>
          </cell>
          <cell r="D596" t="str">
            <v>m'</v>
          </cell>
          <cell r="E596">
            <v>5500</v>
          </cell>
        </row>
        <row r="597">
          <cell r="A597" t="str">
            <v>BZ27</v>
          </cell>
          <cell r="B597">
            <v>555</v>
          </cell>
          <cell r="C597" t="str">
            <v>Kabel NYM 3 x 6    Supreme (1 rol = 50 m')</v>
          </cell>
          <cell r="D597" t="str">
            <v>m'</v>
          </cell>
          <cell r="E597">
            <v>7350</v>
          </cell>
        </row>
        <row r="598">
          <cell r="A598" t="str">
            <v>BZ28</v>
          </cell>
          <cell r="B598">
            <v>556</v>
          </cell>
          <cell r="C598" t="str">
            <v>Kabel NYM 4 x 6    Supreme (1 rol = 50 m')</v>
          </cell>
          <cell r="D598" t="str">
            <v>m'</v>
          </cell>
          <cell r="E598">
            <v>9825</v>
          </cell>
        </row>
        <row r="599">
          <cell r="A599" t="str">
            <v>BZ29</v>
          </cell>
          <cell r="B599">
            <v>557</v>
          </cell>
          <cell r="C599" t="str">
            <v>Kabel NYM 2 x 10  Supreme (1 rol = 50 m')</v>
          </cell>
          <cell r="D599" t="str">
            <v>m'</v>
          </cell>
          <cell r="E599">
            <v>9125</v>
          </cell>
        </row>
        <row r="600">
          <cell r="A600" t="str">
            <v>BZ30</v>
          </cell>
          <cell r="B600">
            <v>558</v>
          </cell>
          <cell r="C600" t="str">
            <v>Kabel NYM 3 x 10  Supreme (1 rol = 50 m')</v>
          </cell>
          <cell r="D600" t="str">
            <v>m'</v>
          </cell>
          <cell r="E600">
            <v>12250</v>
          </cell>
        </row>
        <row r="601">
          <cell r="A601" t="str">
            <v>BZ31</v>
          </cell>
          <cell r="B601">
            <v>559</v>
          </cell>
          <cell r="C601" t="str">
            <v>Kabel NYM 4 x 10  Supreme (1 rol = 50 m')</v>
          </cell>
          <cell r="D601" t="str">
            <v>m'</v>
          </cell>
          <cell r="E601">
            <v>13450</v>
          </cell>
        </row>
        <row r="602">
          <cell r="A602" t="str">
            <v>BZ32</v>
          </cell>
          <cell r="B602">
            <v>560</v>
          </cell>
          <cell r="C602" t="str">
            <v>Kabel NYM 4 x 16  Supreme (1 rol = 50 m')</v>
          </cell>
          <cell r="D602" t="str">
            <v>m'</v>
          </cell>
          <cell r="E602">
            <v>18350</v>
          </cell>
        </row>
        <row r="603">
          <cell r="A603" t="str">
            <v>BZ33</v>
          </cell>
          <cell r="B603">
            <v>561</v>
          </cell>
          <cell r="C603" t="str">
            <v>Kabel NYY 2  x 4    Supreme (1 rol = 50 m')</v>
          </cell>
          <cell r="D603" t="str">
            <v>m'</v>
          </cell>
          <cell r="E603">
            <v>5500</v>
          </cell>
        </row>
        <row r="604">
          <cell r="A604" t="str">
            <v>BZ34</v>
          </cell>
          <cell r="B604">
            <v>562</v>
          </cell>
          <cell r="C604" t="str">
            <v>Kabel NYY 3  x 4    Supreme (1 rol = 50 m')</v>
          </cell>
          <cell r="D604" t="str">
            <v>m'</v>
          </cell>
          <cell r="E604">
            <v>7375</v>
          </cell>
        </row>
        <row r="605">
          <cell r="A605" t="str">
            <v>BZ35</v>
          </cell>
          <cell r="B605">
            <v>563</v>
          </cell>
          <cell r="C605" t="str">
            <v>Kabel NYY 4  x 4    Supreme (1 rol = 50 m')</v>
          </cell>
          <cell r="D605" t="str">
            <v>m'</v>
          </cell>
          <cell r="E605">
            <v>12275</v>
          </cell>
        </row>
        <row r="606">
          <cell r="A606" t="str">
            <v>BZ36</v>
          </cell>
          <cell r="B606">
            <v>564</v>
          </cell>
          <cell r="C606" t="str">
            <v>Kabel NYY 2  x 6    Supreme (1 rol = 50 m')</v>
          </cell>
          <cell r="D606" t="str">
            <v>m'</v>
          </cell>
          <cell r="E606">
            <v>5500</v>
          </cell>
        </row>
        <row r="607">
          <cell r="A607" t="str">
            <v>BZ37</v>
          </cell>
          <cell r="B607">
            <v>565</v>
          </cell>
          <cell r="C607" t="str">
            <v>Kabel NYY 3  x 6    Supreme (1 rol = 50 m')</v>
          </cell>
          <cell r="D607" t="str">
            <v>m'</v>
          </cell>
          <cell r="E607">
            <v>9125</v>
          </cell>
        </row>
        <row r="608">
          <cell r="A608" t="str">
            <v>BZ38</v>
          </cell>
          <cell r="B608">
            <v>566</v>
          </cell>
          <cell r="C608" t="str">
            <v>Kabel NYY 4  x 6    Supreme (1 rol = 50 m')</v>
          </cell>
          <cell r="D608" t="str">
            <v>m'</v>
          </cell>
          <cell r="E608">
            <v>11350</v>
          </cell>
        </row>
        <row r="609">
          <cell r="A609" t="str">
            <v>BZ39</v>
          </cell>
          <cell r="B609">
            <v>567</v>
          </cell>
          <cell r="C609" t="str">
            <v>Kabel NYY 2 x 10   Supreme (1 rol = 50 m')</v>
          </cell>
          <cell r="D609" t="str">
            <v>m'</v>
          </cell>
          <cell r="E609">
            <v>9825</v>
          </cell>
        </row>
        <row r="610">
          <cell r="A610" t="str">
            <v>BZ40</v>
          </cell>
          <cell r="B610">
            <v>568</v>
          </cell>
          <cell r="C610" t="str">
            <v>Kabel NYY 3 x 10   Supreme (1 rol = 50 m')</v>
          </cell>
          <cell r="D610" t="str">
            <v>m'</v>
          </cell>
          <cell r="E610">
            <v>13500</v>
          </cell>
        </row>
        <row r="611">
          <cell r="A611" t="str">
            <v>BZ41</v>
          </cell>
          <cell r="B611">
            <v>569</v>
          </cell>
          <cell r="C611" t="str">
            <v>Kabel NYY 4 x 10   Supreme (1 rol = 50 m')</v>
          </cell>
          <cell r="D611" t="str">
            <v>m'</v>
          </cell>
          <cell r="E611">
            <v>16500</v>
          </cell>
        </row>
        <row r="612">
          <cell r="A612" t="str">
            <v>BZ42</v>
          </cell>
          <cell r="B612">
            <v>570</v>
          </cell>
          <cell r="C612" t="str">
            <v>Kabel NYY 4 x 16   Supreme (1 rol = 50 m')</v>
          </cell>
          <cell r="D612" t="str">
            <v>m'</v>
          </cell>
          <cell r="E612">
            <v>26325</v>
          </cell>
        </row>
        <row r="613">
          <cell r="B613">
            <v>571</v>
          </cell>
          <cell r="C613" t="str">
            <v>Kabel Tembaga</v>
          </cell>
          <cell r="D613" t="str">
            <v>Kg</v>
          </cell>
          <cell r="E613">
            <v>33800</v>
          </cell>
        </row>
        <row r="614">
          <cell r="B614">
            <v>572</v>
          </cell>
          <cell r="C614" t="str">
            <v>Kabel Tik 2 10 mm</v>
          </cell>
          <cell r="D614" t="str">
            <v>m'</v>
          </cell>
          <cell r="E614">
            <v>11250</v>
          </cell>
        </row>
        <row r="615">
          <cell r="A615" t="str">
            <v>BZ43</v>
          </cell>
          <cell r="B615">
            <v>573</v>
          </cell>
          <cell r="C615" t="str">
            <v>NSFB FUJI EA - 100 A</v>
          </cell>
          <cell r="D615" t="str">
            <v>bh</v>
          </cell>
          <cell r="E615">
            <v>522000</v>
          </cell>
        </row>
        <row r="616">
          <cell r="A616" t="str">
            <v>BZ44</v>
          </cell>
          <cell r="B616">
            <v>574</v>
          </cell>
          <cell r="C616" t="str">
            <v>NSFB FUJI EA - 150 A</v>
          </cell>
          <cell r="D616" t="str">
            <v>bh</v>
          </cell>
          <cell r="E616">
            <v>1350000</v>
          </cell>
        </row>
        <row r="617">
          <cell r="A617" t="str">
            <v>BZ45</v>
          </cell>
          <cell r="B617">
            <v>575</v>
          </cell>
          <cell r="C617" t="str">
            <v>Rumah Panel 30 x 60 cm (kosong)</v>
          </cell>
          <cell r="D617" t="str">
            <v>unt</v>
          </cell>
          <cell r="E617">
            <v>92000</v>
          </cell>
        </row>
        <row r="618">
          <cell r="A618" t="str">
            <v>BZ46</v>
          </cell>
          <cell r="B618">
            <v>576</v>
          </cell>
          <cell r="C618" t="str">
            <v>Skring Kas 2 grop Biasa</v>
          </cell>
          <cell r="D618" t="str">
            <v>unt</v>
          </cell>
          <cell r="E618">
            <v>106225</v>
          </cell>
        </row>
        <row r="619">
          <cell r="A619" t="str">
            <v>BZ47</v>
          </cell>
          <cell r="B619">
            <v>577</v>
          </cell>
          <cell r="C619" t="str">
            <v>Skring Kas 3 grop Biasa</v>
          </cell>
          <cell r="D619" t="str">
            <v>unt</v>
          </cell>
          <cell r="E619">
            <v>134400</v>
          </cell>
        </row>
        <row r="620">
          <cell r="A620" t="str">
            <v>BZ48</v>
          </cell>
          <cell r="B620">
            <v>578</v>
          </cell>
          <cell r="C620" t="str">
            <v>Skring Kas 5 grop Biasa</v>
          </cell>
          <cell r="D620" t="str">
            <v>unt</v>
          </cell>
          <cell r="E620">
            <v>282500</v>
          </cell>
        </row>
        <row r="621">
          <cell r="B621">
            <v>579</v>
          </cell>
          <cell r="C621" t="str">
            <v>MCB Mercury</v>
          </cell>
          <cell r="D621" t="str">
            <v>bh</v>
          </cell>
          <cell r="E621">
            <v>55225</v>
          </cell>
        </row>
        <row r="622">
          <cell r="A622" t="str">
            <v>BZ49</v>
          </cell>
          <cell r="B622">
            <v>580</v>
          </cell>
          <cell r="C622" t="str">
            <v>MCB 1 PAS</v>
          </cell>
          <cell r="D622" t="str">
            <v>bh</v>
          </cell>
          <cell r="E622">
            <v>31225</v>
          </cell>
        </row>
        <row r="623">
          <cell r="A623" t="str">
            <v>BZ50</v>
          </cell>
          <cell r="B623">
            <v>581</v>
          </cell>
          <cell r="C623" t="str">
            <v>MCB 3 PAS</v>
          </cell>
          <cell r="D623" t="str">
            <v>bh</v>
          </cell>
          <cell r="E623">
            <v>52750</v>
          </cell>
        </row>
        <row r="624">
          <cell r="A624" t="str">
            <v>BZ51</v>
          </cell>
          <cell r="B624">
            <v>582</v>
          </cell>
          <cell r="C624" t="str">
            <v>Tahanan 50 A Merk Fuji</v>
          </cell>
          <cell r="D624" t="str">
            <v>bh</v>
          </cell>
          <cell r="E624">
            <v>318000</v>
          </cell>
        </row>
        <row r="625">
          <cell r="B625">
            <v>583</v>
          </cell>
          <cell r="C625" t="str">
            <v>Saklar Tunggal Biasa</v>
          </cell>
          <cell r="D625" t="str">
            <v>bh</v>
          </cell>
          <cell r="E625">
            <v>3625</v>
          </cell>
        </row>
        <row r="626">
          <cell r="B626">
            <v>584</v>
          </cell>
          <cell r="C626" t="str">
            <v>Saklar Ganda Biasa</v>
          </cell>
          <cell r="D626" t="str">
            <v>bh</v>
          </cell>
          <cell r="E626">
            <v>6000</v>
          </cell>
        </row>
        <row r="627">
          <cell r="B627">
            <v>585</v>
          </cell>
          <cell r="C627" t="str">
            <v>Saklar Magnet 25 PK</v>
          </cell>
          <cell r="D627" t="str">
            <v>bh</v>
          </cell>
          <cell r="E627">
            <v>798500</v>
          </cell>
        </row>
        <row r="628">
          <cell r="A628" t="str">
            <v>BZ53</v>
          </cell>
          <cell r="B628">
            <v>1</v>
          </cell>
          <cell r="C628" t="str">
            <v>Saklar Broko Tunggal Standard ( 1 Phase )</v>
          </cell>
          <cell r="D628" t="str">
            <v>bh</v>
          </cell>
          <cell r="E628">
            <v>9825</v>
          </cell>
        </row>
        <row r="629">
          <cell r="A629" t="str">
            <v>BZ54</v>
          </cell>
          <cell r="B629">
            <v>2</v>
          </cell>
          <cell r="C629" t="str">
            <v>Saklar Broko Seri Standard ( 1 Phase )</v>
          </cell>
          <cell r="D629" t="str">
            <v>bh</v>
          </cell>
          <cell r="E629">
            <v>14000</v>
          </cell>
        </row>
        <row r="630">
          <cell r="B630">
            <v>588</v>
          </cell>
          <cell r="C630" t="str">
            <v>Stop Kontak Biasa</v>
          </cell>
          <cell r="D630" t="str">
            <v>bh</v>
          </cell>
          <cell r="E630">
            <v>6000</v>
          </cell>
        </row>
        <row r="631">
          <cell r="B631">
            <v>589</v>
          </cell>
          <cell r="C631" t="str">
            <v>Stop Kontak Putar</v>
          </cell>
          <cell r="D631" t="str">
            <v>bh</v>
          </cell>
          <cell r="E631">
            <v>19750</v>
          </cell>
        </row>
        <row r="632">
          <cell r="A632" t="str">
            <v>BZ55</v>
          </cell>
          <cell r="B632">
            <v>3</v>
          </cell>
          <cell r="C632" t="str">
            <v>Stop Kontak Broko Standard ( 1 Phase )</v>
          </cell>
          <cell r="D632" t="str">
            <v>bh</v>
          </cell>
          <cell r="E632">
            <v>14000</v>
          </cell>
        </row>
        <row r="633">
          <cell r="A633" t="str">
            <v>BZ56</v>
          </cell>
          <cell r="B633">
            <v>4</v>
          </cell>
          <cell r="C633" t="str">
            <v xml:space="preserve">Stop Kontak Broko 3 Phase ( Out Bow )  </v>
          </cell>
          <cell r="D633" t="str">
            <v>bh</v>
          </cell>
          <cell r="E633">
            <v>54600</v>
          </cell>
        </row>
        <row r="634">
          <cell r="A634" t="str">
            <v>BZ57</v>
          </cell>
          <cell r="B634">
            <v>5</v>
          </cell>
          <cell r="C634" t="str">
            <v xml:space="preserve">Stop Kontak Broko 3 Phase ( In Bow )  </v>
          </cell>
          <cell r="D634" t="str">
            <v>bh</v>
          </cell>
          <cell r="E634">
            <v>93125</v>
          </cell>
        </row>
        <row r="635">
          <cell r="A635" t="str">
            <v>BZ58</v>
          </cell>
          <cell r="B635">
            <v>6</v>
          </cell>
          <cell r="C635" t="str">
            <v xml:space="preserve">Stop Kontak Handle 3 Phase  </v>
          </cell>
          <cell r="D635" t="str">
            <v>bh</v>
          </cell>
          <cell r="E635">
            <v>56500</v>
          </cell>
        </row>
        <row r="636">
          <cell r="A636" t="str">
            <v>BZ59</v>
          </cell>
          <cell r="B636">
            <v>7</v>
          </cell>
          <cell r="C636" t="str">
            <v>Instalasi Titik Lampu / Stop Kontak ( Upah dan Alat )</v>
          </cell>
          <cell r="D636" t="str">
            <v>ttk</v>
          </cell>
          <cell r="E636">
            <v>61500</v>
          </cell>
        </row>
        <row r="637">
          <cell r="A637" t="str">
            <v>BZ60</v>
          </cell>
          <cell r="B637">
            <v>595</v>
          </cell>
          <cell r="C637" t="str">
            <v>Lampu pijar 25 Watt s/d 100 Watt</v>
          </cell>
          <cell r="D637" t="str">
            <v>bh</v>
          </cell>
          <cell r="E637">
            <v>4950</v>
          </cell>
        </row>
        <row r="638">
          <cell r="A638" t="str">
            <v>BZ61</v>
          </cell>
          <cell r="B638">
            <v>8</v>
          </cell>
          <cell r="C638" t="str">
            <v>Lampu Neon TL Philip 20 W</v>
          </cell>
          <cell r="D638" t="str">
            <v>bh</v>
          </cell>
          <cell r="E638">
            <v>14000</v>
          </cell>
        </row>
        <row r="639">
          <cell r="A639" t="str">
            <v>BZ62</v>
          </cell>
          <cell r="B639">
            <v>597</v>
          </cell>
          <cell r="C639" t="str">
            <v>Lampu Neon TL Philip 40 W</v>
          </cell>
          <cell r="D639" t="str">
            <v>bh</v>
          </cell>
          <cell r="E639">
            <v>16850</v>
          </cell>
        </row>
        <row r="640">
          <cell r="A640" t="str">
            <v>BZ63</v>
          </cell>
          <cell r="B640">
            <v>598</v>
          </cell>
          <cell r="C640" t="str">
            <v>Trapo TL 20 W ( Philip )</v>
          </cell>
          <cell r="D640" t="str">
            <v>bh</v>
          </cell>
          <cell r="E640">
            <v>20500</v>
          </cell>
        </row>
        <row r="641">
          <cell r="A641" t="str">
            <v>BZ64</v>
          </cell>
          <cell r="B641">
            <v>599</v>
          </cell>
          <cell r="C641" t="str">
            <v>Trapo TL 40 W ( Philip )</v>
          </cell>
          <cell r="D641" t="str">
            <v>bh</v>
          </cell>
          <cell r="E641">
            <v>22550</v>
          </cell>
        </row>
        <row r="642">
          <cell r="A642" t="str">
            <v>BZ65</v>
          </cell>
          <cell r="B642">
            <v>600</v>
          </cell>
          <cell r="C642" t="str">
            <v>Trapo TL 20 W ( Sinar )</v>
          </cell>
          <cell r="D642" t="str">
            <v>bh</v>
          </cell>
          <cell r="E642">
            <v>21400</v>
          </cell>
        </row>
        <row r="643">
          <cell r="A643" t="str">
            <v>BZ66</v>
          </cell>
          <cell r="B643">
            <v>601</v>
          </cell>
          <cell r="C643" t="str">
            <v>Trapo TL 40 W ( Sinar )</v>
          </cell>
          <cell r="D643" t="str">
            <v>bh</v>
          </cell>
          <cell r="E643">
            <v>20350</v>
          </cell>
        </row>
        <row r="644">
          <cell r="B644">
            <v>602</v>
          </cell>
          <cell r="C644" t="str">
            <v>Trapo Ballas</v>
          </cell>
          <cell r="D644" t="str">
            <v>bh</v>
          </cell>
          <cell r="E644">
            <v>241375</v>
          </cell>
        </row>
        <row r="645">
          <cell r="A645" t="str">
            <v>BZ67</v>
          </cell>
          <cell r="B645">
            <v>603</v>
          </cell>
          <cell r="C645" t="str">
            <v>Stater Neon Philip</v>
          </cell>
          <cell r="D645" t="str">
            <v>bh</v>
          </cell>
          <cell r="E645">
            <v>3500</v>
          </cell>
        </row>
        <row r="646">
          <cell r="A646" t="str">
            <v>BZ68</v>
          </cell>
          <cell r="B646">
            <v>604</v>
          </cell>
          <cell r="C646" t="str">
            <v>Stater Neon Biasa</v>
          </cell>
          <cell r="D646" t="str">
            <v>bh</v>
          </cell>
          <cell r="E646">
            <v>1400</v>
          </cell>
        </row>
        <row r="647">
          <cell r="A647" t="str">
            <v>BZ69</v>
          </cell>
          <cell r="B647">
            <v>605</v>
          </cell>
          <cell r="C647" t="str">
            <v>Rumah TL In Bow / Out Bow 2 x 20 W ( Kosongan )</v>
          </cell>
          <cell r="D647" t="str">
            <v>bh</v>
          </cell>
          <cell r="E647">
            <v>70200</v>
          </cell>
        </row>
        <row r="648">
          <cell r="A648" t="str">
            <v>BZ70</v>
          </cell>
          <cell r="B648">
            <v>606</v>
          </cell>
          <cell r="C648" t="str">
            <v>Down Light + SL 25 W</v>
          </cell>
          <cell r="D648" t="str">
            <v>bh</v>
          </cell>
          <cell r="E648">
            <v>185500</v>
          </cell>
        </row>
        <row r="649">
          <cell r="A649" t="str">
            <v>BZ71</v>
          </cell>
          <cell r="B649">
            <v>607</v>
          </cell>
          <cell r="C649" t="str">
            <v>Lampu SL Philip 25 W</v>
          </cell>
          <cell r="D649" t="str">
            <v>bh</v>
          </cell>
          <cell r="E649">
            <v>66500</v>
          </cell>
        </row>
        <row r="650">
          <cell r="A650" t="str">
            <v>BZ72</v>
          </cell>
          <cell r="B650">
            <v>608</v>
          </cell>
          <cell r="C650" t="str">
            <v>Lampu Sirkel TL 20 W Lengkap</v>
          </cell>
          <cell r="D650" t="str">
            <v>bh</v>
          </cell>
          <cell r="E650">
            <v>42500</v>
          </cell>
        </row>
        <row r="651">
          <cell r="A651" t="str">
            <v>BZ73</v>
          </cell>
          <cell r="B651">
            <v>9</v>
          </cell>
          <cell r="C651" t="str">
            <v>Lampu Mercuri 80 W</v>
          </cell>
          <cell r="D651" t="str">
            <v>bh</v>
          </cell>
          <cell r="E651">
            <v>86000</v>
          </cell>
        </row>
        <row r="652">
          <cell r="A652" t="str">
            <v>BZ74</v>
          </cell>
          <cell r="B652">
            <v>10</v>
          </cell>
          <cell r="C652" t="str">
            <v>Lampu Mercuri 250 W</v>
          </cell>
          <cell r="D652" t="str">
            <v>bh</v>
          </cell>
          <cell r="E652">
            <v>113000</v>
          </cell>
        </row>
        <row r="653">
          <cell r="A653" t="str">
            <v>BZ75</v>
          </cell>
          <cell r="B653">
            <v>11</v>
          </cell>
          <cell r="C653" t="str">
            <v>Lampu Son 150 W</v>
          </cell>
          <cell r="D653" t="str">
            <v>bh</v>
          </cell>
          <cell r="E653">
            <v>160000</v>
          </cell>
        </row>
        <row r="654">
          <cell r="A654" t="str">
            <v>BZ76</v>
          </cell>
          <cell r="B654">
            <v>12</v>
          </cell>
          <cell r="C654" t="str">
            <v xml:space="preserve">Lampu Taman + Tiang + Lampu 1 Buah </v>
          </cell>
          <cell r="D654" t="str">
            <v>bh</v>
          </cell>
          <cell r="E654">
            <v>484350</v>
          </cell>
        </row>
        <row r="655">
          <cell r="A655" t="str">
            <v>BZ77</v>
          </cell>
          <cell r="B655">
            <v>613</v>
          </cell>
          <cell r="C655" t="str">
            <v>Lampu Baret 30 cm + Neon</v>
          </cell>
          <cell r="D655" t="str">
            <v>bh</v>
          </cell>
          <cell r="E655">
            <v>65000</v>
          </cell>
        </row>
        <row r="656">
          <cell r="A656" t="str">
            <v>BZ78</v>
          </cell>
          <cell r="B656">
            <v>614</v>
          </cell>
          <cell r="C656" t="str">
            <v xml:space="preserve">Lampu Neon Arcrilik 2 x 40 W lengkap </v>
          </cell>
          <cell r="D656" t="str">
            <v>bh</v>
          </cell>
          <cell r="E656">
            <v>14150</v>
          </cell>
        </row>
        <row r="657">
          <cell r="A657" t="str">
            <v>BZ79</v>
          </cell>
          <cell r="B657">
            <v>615</v>
          </cell>
          <cell r="C657" t="str">
            <v>Pentanahan Penangkal Petir</v>
          </cell>
          <cell r="D657" t="str">
            <v>ttk</v>
          </cell>
          <cell r="E657">
            <v>273500</v>
          </cell>
        </row>
        <row r="658">
          <cell r="A658" t="str">
            <v>BZ80</v>
          </cell>
          <cell r="B658">
            <v>616</v>
          </cell>
          <cell r="C658" t="str">
            <v>Pentanahan Panel</v>
          </cell>
          <cell r="D658" t="str">
            <v>ttk</v>
          </cell>
          <cell r="E658">
            <v>118200</v>
          </cell>
        </row>
        <row r="659">
          <cell r="B659">
            <v>617</v>
          </cell>
          <cell r="C659" t="str">
            <v xml:space="preserve">Pipa Penangkal Petir </v>
          </cell>
          <cell r="D659" t="str">
            <v>bh</v>
          </cell>
          <cell r="E659">
            <v>21150</v>
          </cell>
        </row>
        <row r="660">
          <cell r="B660">
            <v>13</v>
          </cell>
          <cell r="C660" t="str">
            <v>Box Sekering</v>
          </cell>
          <cell r="D660" t="str">
            <v>bh</v>
          </cell>
          <cell r="E660">
            <v>20500</v>
          </cell>
        </row>
        <row r="661">
          <cell r="B661">
            <v>14</v>
          </cell>
          <cell r="C661" t="str">
            <v>Box Lampu Mercury</v>
          </cell>
          <cell r="D661" t="str">
            <v>bh</v>
          </cell>
          <cell r="E661">
            <v>30300</v>
          </cell>
        </row>
        <row r="662">
          <cell r="B662">
            <v>15</v>
          </cell>
          <cell r="C662" t="str">
            <v>Terminal Kabel</v>
          </cell>
          <cell r="D662" t="str">
            <v>bh</v>
          </cell>
          <cell r="E662">
            <v>7700</v>
          </cell>
        </row>
        <row r="663">
          <cell r="B663">
            <v>16</v>
          </cell>
          <cell r="C663" t="str">
            <v>Tangkai Box lampu 3 m</v>
          </cell>
          <cell r="D663" t="str">
            <v>bh</v>
          </cell>
          <cell r="E663">
            <v>278000</v>
          </cell>
        </row>
        <row r="664">
          <cell r="B664">
            <v>622</v>
          </cell>
          <cell r="C664" t="str">
            <v>Stainless steel</v>
          </cell>
          <cell r="D664" t="str">
            <v>m</v>
          </cell>
          <cell r="E664">
            <v>11000</v>
          </cell>
        </row>
        <row r="665">
          <cell r="B665">
            <v>623</v>
          </cell>
          <cell r="C665" t="str">
            <v>Capasitor</v>
          </cell>
          <cell r="D665" t="str">
            <v>bh</v>
          </cell>
          <cell r="E665">
            <v>70000</v>
          </cell>
        </row>
        <row r="666">
          <cell r="B666">
            <v>624</v>
          </cell>
          <cell r="C666" t="str">
            <v>Link Buckle</v>
          </cell>
          <cell r="D666" t="str">
            <v>bh</v>
          </cell>
          <cell r="E666">
            <v>4500</v>
          </cell>
        </row>
        <row r="667">
          <cell r="B667">
            <v>625</v>
          </cell>
          <cell r="C667" t="str">
            <v>Stoping Buckle</v>
          </cell>
          <cell r="D667" t="str">
            <v>bh</v>
          </cell>
          <cell r="E667">
            <v>4500</v>
          </cell>
        </row>
        <row r="668">
          <cell r="B668">
            <v>626</v>
          </cell>
          <cell r="C668" t="str">
            <v>Wed Clem</v>
          </cell>
          <cell r="D668" t="str">
            <v>bh</v>
          </cell>
          <cell r="E668">
            <v>12000</v>
          </cell>
        </row>
        <row r="669">
          <cell r="B669">
            <v>17</v>
          </cell>
          <cell r="C669" t="str">
            <v>Tiang Besi 7m</v>
          </cell>
          <cell r="D669" t="str">
            <v>bh</v>
          </cell>
          <cell r="E669">
            <v>1175000</v>
          </cell>
        </row>
        <row r="670">
          <cell r="B670">
            <v>628</v>
          </cell>
          <cell r="C670" t="str">
            <v>Ignitor SN</v>
          </cell>
          <cell r="D670" t="str">
            <v>bh</v>
          </cell>
          <cell r="E670">
            <v>105000</v>
          </cell>
        </row>
        <row r="671">
          <cell r="B671">
            <v>629</v>
          </cell>
          <cell r="C671" t="str">
            <v>Tap Connector</v>
          </cell>
          <cell r="D671" t="str">
            <v>bh</v>
          </cell>
          <cell r="E671">
            <v>9500</v>
          </cell>
        </row>
        <row r="672">
          <cell r="B672">
            <v>630</v>
          </cell>
          <cell r="C672" t="str">
            <v>Foto Cell 6 Ampere</v>
          </cell>
          <cell r="D672" t="str">
            <v>bh</v>
          </cell>
          <cell r="E672">
            <v>117000</v>
          </cell>
        </row>
        <row r="674">
          <cell r="B674" t="str">
            <v>M</v>
          </cell>
          <cell r="C674" t="str">
            <v>BAHAN ALAT PENGANTUNG DAN KUNCI</v>
          </cell>
        </row>
        <row r="675">
          <cell r="A675" t="str">
            <v>CC01</v>
          </cell>
          <cell r="B675">
            <v>631</v>
          </cell>
          <cell r="C675" t="str">
            <v>Kunci Silinder ALFA untuk Pintu Alumunium</v>
          </cell>
          <cell r="D675" t="str">
            <v>bh</v>
          </cell>
          <cell r="E675">
            <v>185000</v>
          </cell>
        </row>
        <row r="676">
          <cell r="A676" t="str">
            <v>CC02</v>
          </cell>
          <cell r="B676">
            <v>632</v>
          </cell>
          <cell r="C676" t="str">
            <v xml:space="preserve">Tarikan Pintu </v>
          </cell>
          <cell r="D676" t="str">
            <v>bh</v>
          </cell>
          <cell r="E676">
            <v>40500</v>
          </cell>
        </row>
        <row r="677">
          <cell r="A677" t="str">
            <v>CC03</v>
          </cell>
          <cell r="B677">
            <v>633</v>
          </cell>
          <cell r="C677" t="str">
            <v xml:space="preserve">Kunci 2 Slaag ROYAL </v>
          </cell>
          <cell r="D677" t="str">
            <v>bh</v>
          </cell>
          <cell r="E677">
            <v>55000</v>
          </cell>
        </row>
        <row r="678">
          <cell r="A678" t="str">
            <v>CC04</v>
          </cell>
          <cell r="B678">
            <v>634</v>
          </cell>
          <cell r="C678" t="str">
            <v>Rel Henderson Lengkap</v>
          </cell>
          <cell r="D678" t="str">
            <v>bh</v>
          </cell>
          <cell r="E678">
            <v>556500</v>
          </cell>
        </row>
        <row r="679">
          <cell r="A679" t="str">
            <v>CC05</v>
          </cell>
          <cell r="B679">
            <v>635</v>
          </cell>
          <cell r="C679" t="str">
            <v>Rel Maraton I Pintu</v>
          </cell>
          <cell r="D679" t="str">
            <v>unt</v>
          </cell>
          <cell r="E679">
            <v>61500</v>
          </cell>
        </row>
        <row r="680">
          <cell r="A680" t="str">
            <v>CC06</v>
          </cell>
          <cell r="B680">
            <v>636</v>
          </cell>
          <cell r="C680" t="str">
            <v xml:space="preserve">Kunci 2 Slaag Silinder SEIS Asli type 210 s/d type 226 </v>
          </cell>
          <cell r="D680" t="str">
            <v>bh</v>
          </cell>
          <cell r="E680">
            <v>192000</v>
          </cell>
        </row>
        <row r="681">
          <cell r="A681" t="str">
            <v>CC07</v>
          </cell>
          <cell r="B681">
            <v>637</v>
          </cell>
          <cell r="C681" t="str">
            <v>Kunci 2 Slaag Ancor Asli</v>
          </cell>
          <cell r="D681" t="str">
            <v>bh</v>
          </cell>
          <cell r="E681">
            <v>80000</v>
          </cell>
        </row>
        <row r="682">
          <cell r="A682" t="str">
            <v>CC08</v>
          </cell>
          <cell r="B682">
            <v>1</v>
          </cell>
          <cell r="C682" t="str">
            <v>Kunci 2 Slaag ISO</v>
          </cell>
          <cell r="D682" t="str">
            <v>bh</v>
          </cell>
          <cell r="E682">
            <v>92000</v>
          </cell>
        </row>
        <row r="683">
          <cell r="A683" t="str">
            <v>CC09</v>
          </cell>
          <cell r="B683">
            <v>639</v>
          </cell>
          <cell r="C683" t="str">
            <v xml:space="preserve">Kunci KM Bulat Kualitas Biasa </v>
          </cell>
          <cell r="D683" t="str">
            <v>bh</v>
          </cell>
          <cell r="E683">
            <v>37000</v>
          </cell>
        </row>
        <row r="684">
          <cell r="A684" t="str">
            <v>CC10</v>
          </cell>
          <cell r="B684">
            <v>640</v>
          </cell>
          <cell r="C684" t="str">
            <v xml:space="preserve">Kunci  KM Bulat Sekwalitas ALFA </v>
          </cell>
          <cell r="D684" t="str">
            <v>bh</v>
          </cell>
          <cell r="E684">
            <v>24500</v>
          </cell>
        </row>
        <row r="685">
          <cell r="A685" t="str">
            <v>CC11</v>
          </cell>
          <cell r="B685">
            <v>641</v>
          </cell>
          <cell r="C685" t="str">
            <v xml:space="preserve">Kunci 2 Slaag Silinder Utama Standard </v>
          </cell>
          <cell r="D685" t="str">
            <v>bh</v>
          </cell>
          <cell r="E685">
            <v>154000</v>
          </cell>
        </row>
        <row r="686">
          <cell r="A686" t="str">
            <v>CC12</v>
          </cell>
          <cell r="B686">
            <v>642</v>
          </cell>
          <cell r="C686" t="str">
            <v xml:space="preserve">Kunci Gembok </v>
          </cell>
          <cell r="D686" t="str">
            <v>bh</v>
          </cell>
          <cell r="E686">
            <v>9500</v>
          </cell>
        </row>
        <row r="687">
          <cell r="B687">
            <v>643</v>
          </cell>
          <cell r="C687" t="str">
            <v>Kunci tanam Slaag Royal</v>
          </cell>
          <cell r="D687" t="str">
            <v>bh</v>
          </cell>
          <cell r="E687">
            <v>78500</v>
          </cell>
        </row>
        <row r="688">
          <cell r="B688">
            <v>644</v>
          </cell>
          <cell r="C688" t="str">
            <v>Kunci tanam Slaag Ancor</v>
          </cell>
          <cell r="D688" t="str">
            <v>bh</v>
          </cell>
          <cell r="E688">
            <v>62000</v>
          </cell>
        </row>
        <row r="689">
          <cell r="A689" t="str">
            <v>CC13</v>
          </cell>
          <cell r="B689">
            <v>645</v>
          </cell>
          <cell r="C689" t="str">
            <v xml:space="preserve">Kunci 2 Slaag Kuda Terbang </v>
          </cell>
          <cell r="D689" t="str">
            <v>bh</v>
          </cell>
          <cell r="E689">
            <v>50000</v>
          </cell>
        </row>
        <row r="690">
          <cell r="B690">
            <v>646</v>
          </cell>
          <cell r="C690" t="str">
            <v>Kunci Jendela</v>
          </cell>
          <cell r="D690" t="str">
            <v>bh</v>
          </cell>
          <cell r="E690">
            <v>9500</v>
          </cell>
        </row>
        <row r="691">
          <cell r="A691" t="str">
            <v>CC14</v>
          </cell>
          <cell r="B691">
            <v>647</v>
          </cell>
          <cell r="C691" t="str">
            <v>Espangolet</v>
          </cell>
          <cell r="D691" t="str">
            <v>ps</v>
          </cell>
          <cell r="E691">
            <v>46000</v>
          </cell>
        </row>
        <row r="692">
          <cell r="B692">
            <v>648</v>
          </cell>
          <cell r="C692" t="str">
            <v>Grendel Hitam Biasa 15 cm</v>
          </cell>
          <cell r="D692" t="str">
            <v>bh</v>
          </cell>
          <cell r="E692">
            <v>6000</v>
          </cell>
        </row>
        <row r="693">
          <cell r="A693" t="str">
            <v>CC15</v>
          </cell>
          <cell r="B693">
            <v>649</v>
          </cell>
          <cell r="C693" t="str">
            <v>Grendel 15 cm</v>
          </cell>
          <cell r="D693" t="str">
            <v>bh</v>
          </cell>
          <cell r="E693">
            <v>9850</v>
          </cell>
        </row>
        <row r="694">
          <cell r="A694" t="str">
            <v>CC16</v>
          </cell>
          <cell r="B694">
            <v>650</v>
          </cell>
          <cell r="C694" t="str">
            <v>Grendel 5 cm  biasa</v>
          </cell>
          <cell r="D694" t="str">
            <v>bh</v>
          </cell>
          <cell r="E694">
            <v>2500</v>
          </cell>
        </row>
        <row r="695">
          <cell r="A695" t="str">
            <v>CC17</v>
          </cell>
          <cell r="B695">
            <v>2</v>
          </cell>
          <cell r="C695" t="str">
            <v>Hak Angin Kait Jendela Biasa</v>
          </cell>
          <cell r="D695" t="str">
            <v>ps</v>
          </cell>
          <cell r="E695">
            <v>6000</v>
          </cell>
        </row>
        <row r="696">
          <cell r="A696" t="str">
            <v>CC18</v>
          </cell>
          <cell r="B696">
            <v>652</v>
          </cell>
          <cell r="C696" t="str">
            <v>Hak Angin Jendela Antik</v>
          </cell>
          <cell r="D696" t="str">
            <v>ps</v>
          </cell>
          <cell r="E696">
            <v>15000</v>
          </cell>
        </row>
        <row r="697">
          <cell r="A697" t="str">
            <v>CC19</v>
          </cell>
          <cell r="B697">
            <v>653</v>
          </cell>
          <cell r="C697" t="str">
            <v>Hak Angin Sendok Stainless / Kuningan</v>
          </cell>
          <cell r="D697" t="str">
            <v>bh</v>
          </cell>
          <cell r="E697">
            <v>15000</v>
          </cell>
        </row>
        <row r="698">
          <cell r="A698" t="str">
            <v>CC20</v>
          </cell>
          <cell r="B698">
            <v>654</v>
          </cell>
          <cell r="C698" t="str">
            <v>Nako Lengkap Tralis 1 Daun</v>
          </cell>
          <cell r="D698" t="str">
            <v>dn</v>
          </cell>
          <cell r="E698">
            <v>12500</v>
          </cell>
        </row>
        <row r="699">
          <cell r="A699" t="str">
            <v>CC21</v>
          </cell>
          <cell r="B699">
            <v>655</v>
          </cell>
          <cell r="C699" t="str">
            <v>Sloot Pintu berikut  Rantai</v>
          </cell>
          <cell r="D699" t="str">
            <v>bh</v>
          </cell>
          <cell r="E699">
            <v>21500</v>
          </cell>
        </row>
        <row r="700">
          <cell r="A700" t="str">
            <v>CC22</v>
          </cell>
          <cell r="B700">
            <v>3</v>
          </cell>
          <cell r="C700" t="str">
            <v>Sloot Jendela Tunggal</v>
          </cell>
          <cell r="D700" t="str">
            <v>bh</v>
          </cell>
          <cell r="E700">
            <v>8000</v>
          </cell>
        </row>
        <row r="701">
          <cell r="B701">
            <v>657</v>
          </cell>
          <cell r="C701" t="str">
            <v>Engsel Pintu Biasa</v>
          </cell>
          <cell r="D701" t="str">
            <v>bh</v>
          </cell>
          <cell r="E701">
            <v>11000</v>
          </cell>
        </row>
        <row r="702">
          <cell r="A702" t="str">
            <v>CC23</v>
          </cell>
          <cell r="B702">
            <v>4</v>
          </cell>
          <cell r="C702" t="str">
            <v>Engsel Pintu Unilon Standard</v>
          </cell>
          <cell r="D702" t="str">
            <v>ps</v>
          </cell>
          <cell r="E702">
            <v>16500</v>
          </cell>
        </row>
        <row r="703">
          <cell r="B703">
            <v>659</v>
          </cell>
          <cell r="C703" t="str">
            <v>Engsel Jendela Biasa</v>
          </cell>
          <cell r="D703" t="str">
            <v>bh</v>
          </cell>
          <cell r="E703">
            <v>6700</v>
          </cell>
        </row>
        <row r="704">
          <cell r="A704" t="str">
            <v>CC24</v>
          </cell>
          <cell r="B704">
            <v>5</v>
          </cell>
          <cell r="C704" t="str">
            <v>Engsel Jendela Unilon</v>
          </cell>
          <cell r="D704" t="str">
            <v>ps</v>
          </cell>
          <cell r="E704">
            <v>8000</v>
          </cell>
        </row>
        <row r="705">
          <cell r="A705" t="str">
            <v>CC25</v>
          </cell>
          <cell r="B705">
            <v>661</v>
          </cell>
          <cell r="C705" t="str">
            <v>Engsel Patrun</v>
          </cell>
          <cell r="D705" t="str">
            <v>ps</v>
          </cell>
          <cell r="E705">
            <v>5000</v>
          </cell>
        </row>
        <row r="706">
          <cell r="A706" t="str">
            <v>CC26</v>
          </cell>
          <cell r="B706">
            <v>662</v>
          </cell>
          <cell r="C706" t="str">
            <v>Engsel Harmonika</v>
          </cell>
          <cell r="D706" t="str">
            <v>m1</v>
          </cell>
          <cell r="E706">
            <v>10500</v>
          </cell>
        </row>
        <row r="707">
          <cell r="A707" t="str">
            <v>CC27</v>
          </cell>
          <cell r="B707">
            <v>663</v>
          </cell>
          <cell r="C707" t="str">
            <v>Door Closer Kelas Standard ( Kelas Sedang )</v>
          </cell>
          <cell r="D707" t="str">
            <v>unt</v>
          </cell>
          <cell r="E707">
            <v>117000</v>
          </cell>
        </row>
        <row r="708">
          <cell r="A708" t="str">
            <v>CC28</v>
          </cell>
          <cell r="B708">
            <v>664</v>
          </cell>
          <cell r="C708" t="str">
            <v>Door Closer Kelas Standard ( Kelas Baik )</v>
          </cell>
          <cell r="D708" t="str">
            <v>unt</v>
          </cell>
          <cell r="E708">
            <v>430000</v>
          </cell>
        </row>
        <row r="709">
          <cell r="A709" t="str">
            <v>CC29</v>
          </cell>
          <cell r="B709">
            <v>665</v>
          </cell>
          <cell r="C709" t="str">
            <v>Door Closer Kelas Rendah</v>
          </cell>
          <cell r="D709" t="str">
            <v>unt</v>
          </cell>
          <cell r="E709">
            <v>98500</v>
          </cell>
        </row>
        <row r="710">
          <cell r="A710" t="str">
            <v>CC30</v>
          </cell>
          <cell r="B710">
            <v>666</v>
          </cell>
          <cell r="C710" t="str">
            <v>Tarikan Almari Rata - rata</v>
          </cell>
          <cell r="D710" t="str">
            <v>bh</v>
          </cell>
          <cell r="E710">
            <v>8500</v>
          </cell>
        </row>
        <row r="711">
          <cell r="A711" t="str">
            <v>CC31</v>
          </cell>
          <cell r="B711">
            <v>6</v>
          </cell>
          <cell r="C711" t="str">
            <v>Seng BJLS 30 lebar 60cm (1 rol 50 m' )</v>
          </cell>
          <cell r="D711" t="str">
            <v>m1</v>
          </cell>
          <cell r="E711">
            <v>23900</v>
          </cell>
        </row>
        <row r="712">
          <cell r="A712" t="str">
            <v>CC32</v>
          </cell>
          <cell r="B712">
            <v>668</v>
          </cell>
          <cell r="C712" t="str">
            <v>Seng BJLS 30 lebar 90cm (1 rol 50 m' )</v>
          </cell>
          <cell r="D712" t="str">
            <v>m1</v>
          </cell>
          <cell r="E712">
            <v>30500</v>
          </cell>
        </row>
        <row r="713">
          <cell r="B713">
            <v>7</v>
          </cell>
          <cell r="C713" t="str">
            <v>Reiling Tangga Stainlessteel</v>
          </cell>
          <cell r="D713" t="str">
            <v>m'</v>
          </cell>
          <cell r="E713">
            <v>160000</v>
          </cell>
        </row>
        <row r="715">
          <cell r="B715" t="str">
            <v>N</v>
          </cell>
          <cell r="C715" t="str">
            <v>BAHAN PENGIKAT UNTUK KONTRUKSI JALAN</v>
          </cell>
        </row>
        <row r="716">
          <cell r="A716" t="str">
            <v>CE01</v>
          </cell>
          <cell r="B716">
            <v>670</v>
          </cell>
          <cell r="C716" t="str">
            <v>Hotmix Jadi berikut alat dan bahan bakar ( T = 5 cm  =&gt; 9 m2 )</v>
          </cell>
          <cell r="D716" t="str">
            <v>ton</v>
          </cell>
          <cell r="E716">
            <v>650000</v>
          </cell>
        </row>
        <row r="717">
          <cell r="A717" t="str">
            <v>CE02</v>
          </cell>
          <cell r="B717">
            <v>671</v>
          </cell>
          <cell r="C717" t="str">
            <v>Aspal ( ESO ) 1 Drum 150 Kg</v>
          </cell>
          <cell r="D717" t="str">
            <v>kg</v>
          </cell>
          <cell r="E717">
            <v>5000</v>
          </cell>
        </row>
        <row r="718">
          <cell r="A718" t="str">
            <v>CE03</v>
          </cell>
          <cell r="B718">
            <v>672</v>
          </cell>
          <cell r="C718" t="str">
            <v>Aspal Curah</v>
          </cell>
          <cell r="D718" t="str">
            <v>kg</v>
          </cell>
          <cell r="E718">
            <v>3500</v>
          </cell>
        </row>
        <row r="719">
          <cell r="A719" t="str">
            <v>CE04</v>
          </cell>
          <cell r="B719">
            <v>673</v>
          </cell>
          <cell r="C719" t="str">
            <v>Aspal RC 70 ( Cilacap )</v>
          </cell>
          <cell r="D719" t="str">
            <v>kg</v>
          </cell>
          <cell r="E719">
            <v>4875</v>
          </cell>
        </row>
        <row r="720">
          <cell r="B720">
            <v>1</v>
          </cell>
          <cell r="C720" t="str">
            <v>Aspal Bitumen * M061</v>
          </cell>
          <cell r="D720" t="str">
            <v>kg</v>
          </cell>
          <cell r="E720">
            <v>4875</v>
          </cell>
        </row>
        <row r="721">
          <cell r="B721">
            <v>675</v>
          </cell>
          <cell r="C721" t="str">
            <v>As Buton  *M062</v>
          </cell>
          <cell r="D721" t="str">
            <v>kg</v>
          </cell>
          <cell r="E721">
            <v>1500</v>
          </cell>
        </row>
        <row r="722">
          <cell r="B722">
            <v>676</v>
          </cell>
          <cell r="C722" t="str">
            <v>Minyak Fluk *M063</v>
          </cell>
          <cell r="D722" t="str">
            <v>Lt</v>
          </cell>
          <cell r="E722">
            <v>6370</v>
          </cell>
        </row>
        <row r="723">
          <cell r="B723">
            <v>2</v>
          </cell>
          <cell r="C723" t="str">
            <v>Minyak Aspal  *M064</v>
          </cell>
          <cell r="D723" t="str">
            <v>Lt</v>
          </cell>
          <cell r="E723">
            <v>1560</v>
          </cell>
        </row>
        <row r="724">
          <cell r="B724">
            <v>3</v>
          </cell>
          <cell r="C724" t="str">
            <v>Minyak Tanah  *M065</v>
          </cell>
          <cell r="D724" t="str">
            <v>Lt</v>
          </cell>
          <cell r="E724">
            <v>3000</v>
          </cell>
        </row>
        <row r="726">
          <cell r="B726" t="str">
            <v>R</v>
          </cell>
          <cell r="C726" t="str">
            <v>BAHAN PENGHISAP AIR SUMUR DALAM</v>
          </cell>
        </row>
        <row r="727">
          <cell r="A727" t="str">
            <v>CG01</v>
          </cell>
          <cell r="B727">
            <v>679</v>
          </cell>
          <cell r="C727" t="str">
            <v>Pompa Kodok</v>
          </cell>
          <cell r="D727" t="str">
            <v>unit</v>
          </cell>
          <cell r="E727">
            <v>155000</v>
          </cell>
        </row>
        <row r="728">
          <cell r="A728" t="str">
            <v>CG02</v>
          </cell>
          <cell r="B728">
            <v>680</v>
          </cell>
          <cell r="C728" t="str">
            <v xml:space="preserve">Pompa Dragon Tegal </v>
          </cell>
          <cell r="D728" t="str">
            <v>unit</v>
          </cell>
          <cell r="E728">
            <v>140000</v>
          </cell>
        </row>
        <row r="729">
          <cell r="A729" t="str">
            <v>CG03</v>
          </cell>
          <cell r="B729">
            <v>681</v>
          </cell>
          <cell r="C729" t="str">
            <v xml:space="preserve">Pompa Dragon Asli </v>
          </cell>
          <cell r="D729" t="str">
            <v>unit</v>
          </cell>
          <cell r="E729">
            <v>307000</v>
          </cell>
        </row>
        <row r="730">
          <cell r="A730" t="str">
            <v>CG04</v>
          </cell>
          <cell r="B730">
            <v>682</v>
          </cell>
          <cell r="C730" t="str">
            <v>Mesin Pompa Air 100 W - Sanyo</v>
          </cell>
          <cell r="D730" t="str">
            <v>unit</v>
          </cell>
          <cell r="E730">
            <v>1050000</v>
          </cell>
        </row>
        <row r="731">
          <cell r="A731" t="str">
            <v>CG05</v>
          </cell>
          <cell r="B731">
            <v>683</v>
          </cell>
          <cell r="C731" t="str">
            <v>Mesin Pompa Air 150 W - Sanyo</v>
          </cell>
          <cell r="D731" t="str">
            <v>unit</v>
          </cell>
          <cell r="E731">
            <v>1500000</v>
          </cell>
        </row>
        <row r="732">
          <cell r="A732" t="str">
            <v>CG06</v>
          </cell>
          <cell r="B732">
            <v>684</v>
          </cell>
          <cell r="C732" t="str">
            <v>Pompa Zet pump 250 W - Sanyo</v>
          </cell>
          <cell r="D732" t="str">
            <v>unit</v>
          </cell>
          <cell r="E732">
            <v>5250000</v>
          </cell>
        </row>
        <row r="733">
          <cell r="A733" t="str">
            <v>CG07</v>
          </cell>
          <cell r="B733">
            <v>685</v>
          </cell>
          <cell r="C733" t="str">
            <v>Pompa Zet pump 450 W - Sanyo</v>
          </cell>
          <cell r="D733" t="str">
            <v>unit</v>
          </cell>
          <cell r="E733">
            <v>6200000</v>
          </cell>
        </row>
        <row r="734">
          <cell r="A734" t="str">
            <v>CG08</v>
          </cell>
          <cell r="B734">
            <v>686</v>
          </cell>
          <cell r="C734" t="str">
            <v>Pompa Submersible kap. 150 liter/menit 3 kW</v>
          </cell>
          <cell r="D734" t="str">
            <v>unit</v>
          </cell>
          <cell r="E734">
            <v>22750000</v>
          </cell>
        </row>
        <row r="735">
          <cell r="A735" t="str">
            <v>CG09</v>
          </cell>
          <cell r="B735">
            <v>687</v>
          </cell>
          <cell r="C735" t="str">
            <v xml:space="preserve">Gear Pump kap. 60 liter/menit </v>
          </cell>
          <cell r="D735" t="str">
            <v>unit</v>
          </cell>
          <cell r="E735">
            <v>13000000</v>
          </cell>
        </row>
        <row r="736">
          <cell r="A736" t="str">
            <v>CG10</v>
          </cell>
          <cell r="B736">
            <v>688</v>
          </cell>
          <cell r="C736" t="str">
            <v xml:space="preserve">Deep Well dengan kelengkapannya kap. 150 liter/menit </v>
          </cell>
          <cell r="D736" t="str">
            <v>unit</v>
          </cell>
          <cell r="E736">
            <v>190000000</v>
          </cell>
        </row>
        <row r="737">
          <cell r="A737" t="str">
            <v>CG11</v>
          </cell>
          <cell r="B737">
            <v>689</v>
          </cell>
          <cell r="C737" t="str">
            <v xml:space="preserve">Hand Oil Pump </v>
          </cell>
          <cell r="D737" t="str">
            <v>unit</v>
          </cell>
          <cell r="E737">
            <v>3900000</v>
          </cell>
        </row>
        <row r="739">
          <cell r="B739" t="str">
            <v>S</v>
          </cell>
          <cell r="C739" t="str">
            <v>BAHAN PENAMPUNG AIR</v>
          </cell>
        </row>
        <row r="740">
          <cell r="A740" t="str">
            <v>CI01</v>
          </cell>
          <cell r="B740">
            <v>690</v>
          </cell>
          <cell r="C740" t="str">
            <v>Tangki Air Fiber Glass 0.5 m3 ( Excel )</v>
          </cell>
          <cell r="D740" t="str">
            <v>bh</v>
          </cell>
          <cell r="E740">
            <v>450000</v>
          </cell>
        </row>
        <row r="741">
          <cell r="A741" t="str">
            <v>CI02</v>
          </cell>
          <cell r="B741">
            <v>691</v>
          </cell>
          <cell r="C741" t="str">
            <v>Tangki Air Fiber Glass 1 m3 ( Excel )</v>
          </cell>
          <cell r="D741" t="str">
            <v>bh</v>
          </cell>
          <cell r="E741">
            <v>700000</v>
          </cell>
        </row>
        <row r="742">
          <cell r="A742" t="str">
            <v>CI03</v>
          </cell>
          <cell r="B742">
            <v>692</v>
          </cell>
          <cell r="C742" t="str">
            <v>Tangki Air Fiber Glass 2 m3 ( Excel )</v>
          </cell>
          <cell r="D742" t="str">
            <v>bh</v>
          </cell>
          <cell r="E742">
            <v>1500000</v>
          </cell>
        </row>
        <row r="743">
          <cell r="A743" t="str">
            <v>CI05</v>
          </cell>
          <cell r="B743">
            <v>693</v>
          </cell>
          <cell r="C743" t="str">
            <v>Bak Taraso WC 40 x 40</v>
          </cell>
          <cell r="D743" t="str">
            <v>bh</v>
          </cell>
          <cell r="E743">
            <v>27500</v>
          </cell>
        </row>
        <row r="744">
          <cell r="A744" t="str">
            <v>CI06</v>
          </cell>
          <cell r="B744">
            <v>694</v>
          </cell>
          <cell r="C744" t="str">
            <v>Bak KM Taraso 60 x 60</v>
          </cell>
          <cell r="D744" t="str">
            <v>bh</v>
          </cell>
          <cell r="E744">
            <v>67500</v>
          </cell>
        </row>
        <row r="746">
          <cell r="B746" t="str">
            <v>T</v>
          </cell>
          <cell r="C746" t="str">
            <v>BIAYA QUALITY CONTROL , IZIN - IZIN, PENGUKURAN</v>
          </cell>
        </row>
        <row r="747">
          <cell r="C747" t="str">
            <v>DAN BIAYA PENYAMBUNGAN</v>
          </cell>
        </row>
        <row r="748">
          <cell r="A748" t="str">
            <v>CJ01</v>
          </cell>
          <cell r="B748">
            <v>695</v>
          </cell>
          <cell r="C748" t="str">
            <v>Penyambungan Listrik PLN</v>
          </cell>
          <cell r="D748" t="str">
            <v>1w</v>
          </cell>
          <cell r="E748" t="str">
            <v>dihitung</v>
          </cell>
        </row>
        <row r="749">
          <cell r="A749" t="str">
            <v>CJ02</v>
          </cell>
          <cell r="B749">
            <v>696</v>
          </cell>
          <cell r="C749" t="str">
            <v>IMB Bertingkat Rata - rata (Rumah )</v>
          </cell>
          <cell r="D749" t="str">
            <v>m²</v>
          </cell>
          <cell r="E749" t="str">
            <v>dihitung</v>
          </cell>
        </row>
        <row r="750">
          <cell r="A750" t="str">
            <v>CJ02'</v>
          </cell>
          <cell r="B750">
            <v>697</v>
          </cell>
          <cell r="C750" t="str">
            <v>IMB Bertingkat Rata - rata (Kantor)</v>
          </cell>
          <cell r="D750" t="str">
            <v>m²</v>
          </cell>
          <cell r="E750" t="str">
            <v>dihitung</v>
          </cell>
        </row>
        <row r="751">
          <cell r="A751" t="str">
            <v>CJ03</v>
          </cell>
          <cell r="B751">
            <v>698</v>
          </cell>
          <cell r="C751" t="str">
            <v>IMB tidak bertingkat Rata - rata (Rumah / Kantor)</v>
          </cell>
          <cell r="D751" t="str">
            <v>m²</v>
          </cell>
          <cell r="E751" t="str">
            <v>dihitung</v>
          </cell>
        </row>
        <row r="752">
          <cell r="A752" t="str">
            <v>CJ04</v>
          </cell>
          <cell r="B752">
            <v>699</v>
          </cell>
          <cell r="C752" t="str">
            <v>IMB Bertingkat Rata - rata (untuk Usaha)</v>
          </cell>
          <cell r="D752" t="str">
            <v>m²</v>
          </cell>
          <cell r="E752" t="str">
            <v>dihitung</v>
          </cell>
        </row>
        <row r="753">
          <cell r="A753" t="str">
            <v>CJ05</v>
          </cell>
          <cell r="B753">
            <v>700</v>
          </cell>
          <cell r="C753" t="str">
            <v>IMB tidak bertingkat Rata - rata (untuk Usaha)</v>
          </cell>
          <cell r="D753" t="str">
            <v>m²</v>
          </cell>
          <cell r="E753" t="str">
            <v>dihitung</v>
          </cell>
        </row>
        <row r="754">
          <cell r="A754" t="str">
            <v>CJ06</v>
          </cell>
          <cell r="B754">
            <v>701</v>
          </cell>
          <cell r="C754" t="str">
            <v>Sondir Rata - rata</v>
          </cell>
          <cell r="D754" t="str">
            <v>1 ttk</v>
          </cell>
          <cell r="E754" t="str">
            <v>dihitung</v>
          </cell>
        </row>
        <row r="755">
          <cell r="A755" t="str">
            <v>CJ07</v>
          </cell>
          <cell r="B755">
            <v>702</v>
          </cell>
          <cell r="C755" t="str">
            <v>Pengukuran Site + Patok</v>
          </cell>
          <cell r="D755" t="str">
            <v>m²</v>
          </cell>
          <cell r="E755" t="str">
            <v>dihitung</v>
          </cell>
        </row>
        <row r="756">
          <cell r="A756" t="str">
            <v>CJ08</v>
          </cell>
          <cell r="B756">
            <v>703</v>
          </cell>
          <cell r="C756" t="str">
            <v>Biaya Tes Jalan ( quality control )</v>
          </cell>
          <cell r="D756" t="str">
            <v>ttk</v>
          </cell>
          <cell r="E756" t="str">
            <v>dihitung</v>
          </cell>
        </row>
        <row r="757">
          <cell r="B757">
            <v>704</v>
          </cell>
          <cell r="C757" t="str">
            <v>Biaya Tes 1 Macam Beton</v>
          </cell>
          <cell r="D757" t="str">
            <v>1 spl</v>
          </cell>
          <cell r="E757" t="str">
            <v>dihitung</v>
          </cell>
        </row>
        <row r="758">
          <cell r="A758" t="str">
            <v>CJ09</v>
          </cell>
          <cell r="B758">
            <v>705</v>
          </cell>
          <cell r="C758" t="str">
            <v>Biaya Pengujian Bahan Agregat</v>
          </cell>
          <cell r="D758" t="str">
            <v>1 spl</v>
          </cell>
          <cell r="E758" t="str">
            <v>dihitung</v>
          </cell>
        </row>
        <row r="759">
          <cell r="A759" t="str">
            <v>CJ10</v>
          </cell>
          <cell r="B759">
            <v>706</v>
          </cell>
          <cell r="C759" t="str">
            <v>Biaya Pengujian Listrik + gambar + trafo &amp; Adm</v>
          </cell>
          <cell r="D759" t="str">
            <v>1 watt</v>
          </cell>
          <cell r="E759" t="str">
            <v>dihitung</v>
          </cell>
        </row>
        <row r="760">
          <cell r="A760" t="str">
            <v>CJ11</v>
          </cell>
          <cell r="B760">
            <v>707</v>
          </cell>
          <cell r="C760" t="str">
            <v>Izin Sumur Artesis Lengkap</v>
          </cell>
          <cell r="D760" t="str">
            <v>unit</v>
          </cell>
          <cell r="E760" t="str">
            <v>dihitung</v>
          </cell>
        </row>
        <row r="761">
          <cell r="A761" t="str">
            <v>CJ12</v>
          </cell>
          <cell r="B761">
            <v>708</v>
          </cell>
          <cell r="C761" t="str">
            <v>Penyambungan PDAM untuk rumah</v>
          </cell>
          <cell r="D761" t="str">
            <v>unit</v>
          </cell>
          <cell r="E761" t="str">
            <v>dihitung</v>
          </cell>
        </row>
        <row r="762">
          <cell r="A762" t="str">
            <v>CJ13</v>
          </cell>
          <cell r="B762">
            <v>709</v>
          </cell>
          <cell r="C762" t="str">
            <v>Geolistrik</v>
          </cell>
          <cell r="D762" t="str">
            <v>1 ttk</v>
          </cell>
          <cell r="E762" t="str">
            <v>dihitung</v>
          </cell>
        </row>
        <row r="763">
          <cell r="A763" t="str">
            <v>CJ14</v>
          </cell>
          <cell r="B763">
            <v>710</v>
          </cell>
          <cell r="C763" t="str">
            <v>Geolistrik</v>
          </cell>
          <cell r="D763" t="str">
            <v>1 ttk</v>
          </cell>
          <cell r="E763" t="str">
            <v>dihitung</v>
          </cell>
        </row>
        <row r="765">
          <cell r="B765" t="str">
            <v>U</v>
          </cell>
          <cell r="C765" t="str">
            <v>ALAT TUKANG.</v>
          </cell>
        </row>
        <row r="766">
          <cell r="A766" t="str">
            <v>CL01</v>
          </cell>
          <cell r="B766">
            <v>711</v>
          </cell>
          <cell r="C766" t="str">
            <v>Palu 0,5 kg</v>
          </cell>
          <cell r="D766" t="str">
            <v>bh</v>
          </cell>
          <cell r="E766">
            <v>25000</v>
          </cell>
        </row>
        <row r="767">
          <cell r="A767" t="str">
            <v>CL02</v>
          </cell>
          <cell r="B767">
            <v>712</v>
          </cell>
          <cell r="C767" t="str">
            <v>Cangkul</v>
          </cell>
          <cell r="D767" t="str">
            <v>bh</v>
          </cell>
          <cell r="E767">
            <v>27500</v>
          </cell>
        </row>
        <row r="768">
          <cell r="A768" t="str">
            <v>CL03</v>
          </cell>
          <cell r="B768">
            <v>713</v>
          </cell>
          <cell r="C768" t="str">
            <v>Singkup</v>
          </cell>
          <cell r="D768" t="str">
            <v>bh</v>
          </cell>
          <cell r="E768">
            <v>33500</v>
          </cell>
        </row>
        <row r="769">
          <cell r="A769" t="str">
            <v>CL04</v>
          </cell>
          <cell r="B769">
            <v>714</v>
          </cell>
          <cell r="C769" t="str">
            <v>Sekrop</v>
          </cell>
          <cell r="D769" t="str">
            <v>bh</v>
          </cell>
          <cell r="E769">
            <v>42000</v>
          </cell>
        </row>
        <row r="770">
          <cell r="A770" t="str">
            <v>CL05</v>
          </cell>
          <cell r="B770">
            <v>715</v>
          </cell>
          <cell r="C770" t="str">
            <v>Pengki</v>
          </cell>
          <cell r="D770" t="str">
            <v>bh</v>
          </cell>
          <cell r="E770">
            <v>2100</v>
          </cell>
        </row>
        <row r="771">
          <cell r="A771" t="str">
            <v>CL06</v>
          </cell>
          <cell r="B771">
            <v>716</v>
          </cell>
          <cell r="C771" t="str">
            <v>Linggis</v>
          </cell>
          <cell r="D771" t="str">
            <v>bh</v>
          </cell>
          <cell r="E771">
            <v>25000</v>
          </cell>
        </row>
        <row r="772">
          <cell r="A772" t="str">
            <v>CL07</v>
          </cell>
          <cell r="B772">
            <v>717</v>
          </cell>
          <cell r="C772" t="str">
            <v>Rool Meter 30 meter ( Bahan Plastik )</v>
          </cell>
          <cell r="D772" t="str">
            <v>bh</v>
          </cell>
          <cell r="E772">
            <v>55000</v>
          </cell>
        </row>
        <row r="773">
          <cell r="A773" t="str">
            <v>CL08</v>
          </cell>
          <cell r="B773">
            <v>718</v>
          </cell>
          <cell r="C773" t="str">
            <v>Rool Meter 5 meter ( Bahan Besi )</v>
          </cell>
          <cell r="D773" t="str">
            <v>bh</v>
          </cell>
          <cell r="E773">
            <v>12250</v>
          </cell>
        </row>
        <row r="774">
          <cell r="A774" t="str">
            <v>CL09</v>
          </cell>
          <cell r="B774">
            <v>719</v>
          </cell>
          <cell r="C774" t="str">
            <v xml:space="preserve">Selang Plastik untuk Water Pas dia. 0.5 cm </v>
          </cell>
          <cell r="D774" t="str">
            <v>bh</v>
          </cell>
          <cell r="E774">
            <v>1200</v>
          </cell>
        </row>
        <row r="775">
          <cell r="A775" t="str">
            <v>CL10</v>
          </cell>
          <cell r="B775">
            <v>720</v>
          </cell>
          <cell r="C775" t="str">
            <v xml:space="preserve"> Water Pas Alumuniumm 60 cm </v>
          </cell>
          <cell r="D775" t="str">
            <v>bh</v>
          </cell>
          <cell r="E775">
            <v>62000</v>
          </cell>
        </row>
        <row r="777">
          <cell r="B777" t="str">
            <v>V</v>
          </cell>
          <cell r="C777" t="str">
            <v xml:space="preserve">STANDARD RATA - RATA SEWA ALAT BESAR , ALAT MEKANIK </v>
          </cell>
        </row>
        <row r="778">
          <cell r="C778" t="str">
            <v>TRUK, KENDARAAN RODA 4 &amp; LAINNYA</v>
          </cell>
        </row>
        <row r="779">
          <cell r="A779" t="str">
            <v>CN01</v>
          </cell>
          <cell r="B779">
            <v>721</v>
          </cell>
          <cell r="C779" t="str">
            <v>Sewa Mesin Gilas 8 Ton s/d 10 ton</v>
          </cell>
          <cell r="D779" t="str">
            <v>hari</v>
          </cell>
          <cell r="E779">
            <v>184275</v>
          </cell>
        </row>
        <row r="780">
          <cell r="A780" t="str">
            <v>CN02</v>
          </cell>
          <cell r="B780">
            <v>722</v>
          </cell>
          <cell r="C780" t="str">
            <v>Tirud Roller 3 Jam / hari</v>
          </cell>
          <cell r="D780" t="str">
            <v>hari</v>
          </cell>
          <cell r="E780">
            <v>202644</v>
          </cell>
        </row>
        <row r="781">
          <cell r="A781" t="str">
            <v>CN03</v>
          </cell>
          <cell r="B781">
            <v>723</v>
          </cell>
          <cell r="C781" t="str">
            <v>Tamdam Roller 6 - 8 Ton 5 Jam / hr</v>
          </cell>
          <cell r="D781" t="str">
            <v>hari</v>
          </cell>
          <cell r="E781">
            <v>300924</v>
          </cell>
        </row>
        <row r="782">
          <cell r="A782" t="str">
            <v>CN04</v>
          </cell>
          <cell r="B782">
            <v>724</v>
          </cell>
          <cell r="C782" t="str">
            <v>Tamdam Roller 8 - 10 Ton 5 Jam / hr</v>
          </cell>
          <cell r="D782" t="str">
            <v>hari</v>
          </cell>
          <cell r="E782">
            <v>282555</v>
          </cell>
        </row>
        <row r="783">
          <cell r="A783" t="str">
            <v>CN05</v>
          </cell>
          <cell r="B783">
            <v>725</v>
          </cell>
          <cell r="C783" t="str">
            <v>Roller Viberator - Ped 1 Ton 4 Jam /hr</v>
          </cell>
          <cell r="D783" t="str">
            <v>hari</v>
          </cell>
          <cell r="E783">
            <v>257985</v>
          </cell>
        </row>
        <row r="784">
          <cell r="A784" t="str">
            <v>CN06</v>
          </cell>
          <cell r="B784">
            <v>726</v>
          </cell>
          <cell r="C784" t="str">
            <v>Roller Viberator - Self 7 Ton 5 Jam /hr</v>
          </cell>
          <cell r="D784" t="str">
            <v>hari</v>
          </cell>
          <cell r="E784">
            <v>307125</v>
          </cell>
        </row>
        <row r="785">
          <cell r="A785" t="str">
            <v>CN07</v>
          </cell>
          <cell r="B785">
            <v>727</v>
          </cell>
          <cell r="C785" t="str">
            <v>Roller 3 Wheeled - 8 Ton 5 Jam /hr</v>
          </cell>
          <cell r="D785" t="str">
            <v>hari</v>
          </cell>
          <cell r="E785">
            <v>178074</v>
          </cell>
        </row>
        <row r="786">
          <cell r="A786" t="str">
            <v>CN08</v>
          </cell>
          <cell r="B786">
            <v>728</v>
          </cell>
          <cell r="C786" t="str">
            <v>Roller Pneumatic  8 - 15 Ton 5 Jam /hr</v>
          </cell>
          <cell r="D786" t="str">
            <v>hari</v>
          </cell>
          <cell r="E786">
            <v>307125</v>
          </cell>
        </row>
        <row r="787">
          <cell r="A787" t="str">
            <v>CN09</v>
          </cell>
          <cell r="B787">
            <v>729</v>
          </cell>
          <cell r="C787" t="str">
            <v>Loader Wheeled 5 Jam /hr</v>
          </cell>
          <cell r="D787" t="str">
            <v>hari</v>
          </cell>
          <cell r="E787">
            <v>429975</v>
          </cell>
        </row>
        <row r="788">
          <cell r="A788" t="str">
            <v>CN10</v>
          </cell>
          <cell r="B788">
            <v>730</v>
          </cell>
          <cell r="C788" t="str">
            <v>Sewa Kran 30 Ton</v>
          </cell>
          <cell r="D788" t="str">
            <v>hari</v>
          </cell>
          <cell r="E788">
            <v>2211300</v>
          </cell>
        </row>
        <row r="789">
          <cell r="A789" t="str">
            <v>CN11</v>
          </cell>
          <cell r="B789">
            <v>731</v>
          </cell>
          <cell r="C789" t="str">
            <v>Sewa Exavator Backhoe 5 Jam /hari</v>
          </cell>
          <cell r="D789" t="str">
            <v>hari</v>
          </cell>
          <cell r="E789">
            <v>644904</v>
          </cell>
        </row>
        <row r="790">
          <cell r="A790" t="str">
            <v>CN12</v>
          </cell>
          <cell r="B790">
            <v>732</v>
          </cell>
          <cell r="C790" t="str">
            <v>Sewa Draklint</v>
          </cell>
          <cell r="D790" t="str">
            <v>jam</v>
          </cell>
          <cell r="E790">
            <v>153504</v>
          </cell>
        </row>
        <row r="791">
          <cell r="A791" t="str">
            <v>CN13</v>
          </cell>
          <cell r="B791">
            <v>733</v>
          </cell>
          <cell r="C791" t="str">
            <v>Whell Loader</v>
          </cell>
          <cell r="D791" t="str">
            <v>jam</v>
          </cell>
          <cell r="E791">
            <v>184275</v>
          </cell>
        </row>
        <row r="792">
          <cell r="A792" t="str">
            <v>CN14</v>
          </cell>
          <cell r="B792">
            <v>734</v>
          </cell>
          <cell r="C792" t="str">
            <v>Buldozer 4 Jam /hr</v>
          </cell>
          <cell r="D792" t="str">
            <v>hari</v>
          </cell>
          <cell r="E792">
            <v>706329</v>
          </cell>
        </row>
        <row r="793">
          <cell r="A793" t="str">
            <v>CN15</v>
          </cell>
          <cell r="B793">
            <v>735</v>
          </cell>
          <cell r="C793" t="str">
            <v>Ecavator Hydr 1 m3</v>
          </cell>
          <cell r="D793" t="str">
            <v>hari</v>
          </cell>
          <cell r="E793">
            <v>675675</v>
          </cell>
        </row>
        <row r="794">
          <cell r="A794" t="str">
            <v>CN16</v>
          </cell>
          <cell r="B794">
            <v>736</v>
          </cell>
          <cell r="C794" t="str">
            <v>Backu</v>
          </cell>
          <cell r="D794" t="str">
            <v>hari</v>
          </cell>
          <cell r="E794">
            <v>104364</v>
          </cell>
        </row>
        <row r="795">
          <cell r="A795" t="str">
            <v>CN17</v>
          </cell>
          <cell r="B795">
            <v>737</v>
          </cell>
          <cell r="C795" t="str">
            <v>Motor Grader 5 Jam /hr</v>
          </cell>
          <cell r="D795" t="str">
            <v>jam</v>
          </cell>
          <cell r="E795">
            <v>644904</v>
          </cell>
        </row>
        <row r="796">
          <cell r="A796" t="str">
            <v>CN18</v>
          </cell>
          <cell r="B796">
            <v>738</v>
          </cell>
          <cell r="C796" t="str">
            <v>Pheumatic Drill Hammer 3 Jam / hr</v>
          </cell>
          <cell r="D796" t="str">
            <v>hari</v>
          </cell>
          <cell r="E796">
            <v>214929</v>
          </cell>
        </row>
        <row r="797">
          <cell r="A797" t="str">
            <v>CN19</v>
          </cell>
          <cell r="B797">
            <v>739</v>
          </cell>
          <cell r="C797" t="str">
            <v>Vibro Roller</v>
          </cell>
          <cell r="D797" t="str">
            <v>hari</v>
          </cell>
          <cell r="E797">
            <v>184275</v>
          </cell>
        </row>
        <row r="798">
          <cell r="A798" t="str">
            <v>CN20</v>
          </cell>
          <cell r="B798">
            <v>740</v>
          </cell>
          <cell r="C798" t="str">
            <v>Stone Crusher</v>
          </cell>
          <cell r="D798" t="str">
            <v>hari</v>
          </cell>
          <cell r="E798">
            <v>214929</v>
          </cell>
        </row>
        <row r="799">
          <cell r="A799" t="str">
            <v>CN21</v>
          </cell>
          <cell r="B799">
            <v>741</v>
          </cell>
          <cell r="C799" t="str">
            <v>AMP</v>
          </cell>
          <cell r="D799" t="str">
            <v>hari</v>
          </cell>
          <cell r="E799">
            <v>276354</v>
          </cell>
        </row>
        <row r="800">
          <cell r="A800" t="str">
            <v>CN22</v>
          </cell>
          <cell r="B800">
            <v>742</v>
          </cell>
          <cell r="C800" t="str">
            <v>Teractor Equament 2 Jam /hr</v>
          </cell>
          <cell r="D800" t="str">
            <v>hari</v>
          </cell>
          <cell r="E800">
            <v>92079</v>
          </cell>
        </row>
        <row r="801">
          <cell r="A801" t="str">
            <v>CN23</v>
          </cell>
          <cell r="B801">
            <v>743</v>
          </cell>
          <cell r="C801" t="str">
            <v>Screning Plent 5 Jam /hr</v>
          </cell>
          <cell r="D801" t="str">
            <v>hari</v>
          </cell>
          <cell r="E801">
            <v>368550</v>
          </cell>
        </row>
        <row r="802">
          <cell r="A802" t="str">
            <v>CN24</v>
          </cell>
          <cell r="B802">
            <v>744</v>
          </cell>
          <cell r="C802" t="str">
            <v>Asphal Finisher</v>
          </cell>
          <cell r="D802" t="str">
            <v>hari</v>
          </cell>
          <cell r="E802">
            <v>276354</v>
          </cell>
        </row>
        <row r="803">
          <cell r="A803" t="str">
            <v>CN25</v>
          </cell>
          <cell r="B803">
            <v>745</v>
          </cell>
          <cell r="C803" t="str">
            <v>Asphal Melting Kalte</v>
          </cell>
          <cell r="D803" t="str">
            <v>hari</v>
          </cell>
          <cell r="E803">
            <v>153504</v>
          </cell>
        </row>
        <row r="804">
          <cell r="A804" t="str">
            <v>CN26</v>
          </cell>
          <cell r="B804">
            <v>746</v>
          </cell>
          <cell r="C804" t="str">
            <v>Asphal Spayer</v>
          </cell>
          <cell r="D804" t="str">
            <v>hari</v>
          </cell>
          <cell r="E804">
            <v>122850</v>
          </cell>
        </row>
        <row r="805">
          <cell r="A805" t="str">
            <v>CN27</v>
          </cell>
          <cell r="B805">
            <v>747</v>
          </cell>
          <cell r="C805" t="str">
            <v>Asphal MIxing Plant</v>
          </cell>
          <cell r="D805" t="str">
            <v>hari</v>
          </cell>
          <cell r="E805">
            <v>276354</v>
          </cell>
        </row>
        <row r="806">
          <cell r="A806" t="str">
            <v>CN28</v>
          </cell>
          <cell r="B806">
            <v>748</v>
          </cell>
          <cell r="C806" t="str">
            <v>Sprayer,Self - Prop. 10001 4 Jam/hr</v>
          </cell>
          <cell r="D806" t="str">
            <v>hari</v>
          </cell>
          <cell r="E806">
            <v>307125</v>
          </cell>
        </row>
        <row r="807">
          <cell r="A807" t="str">
            <v>CN29</v>
          </cell>
          <cell r="B807">
            <v>749</v>
          </cell>
          <cell r="C807" t="str">
            <v>Tamper, Viberator Plate 3 Jam /hari</v>
          </cell>
          <cell r="D807" t="str">
            <v>hari</v>
          </cell>
          <cell r="E807">
            <v>245700</v>
          </cell>
        </row>
        <row r="808">
          <cell r="A808" t="str">
            <v>CN30</v>
          </cell>
          <cell r="B808">
            <v>750</v>
          </cell>
          <cell r="C808" t="str">
            <v>Crusher / SCR</v>
          </cell>
          <cell r="D808" t="str">
            <v>hari</v>
          </cell>
          <cell r="E808">
            <v>921375</v>
          </cell>
        </row>
        <row r="809">
          <cell r="A809" t="str">
            <v>CN31</v>
          </cell>
          <cell r="B809">
            <v>751</v>
          </cell>
          <cell r="C809" t="str">
            <v>Concrete Mixer 0.125 m3</v>
          </cell>
          <cell r="D809" t="str">
            <v>hari</v>
          </cell>
          <cell r="E809">
            <v>73710</v>
          </cell>
        </row>
        <row r="810">
          <cell r="A810" t="str">
            <v>CN32</v>
          </cell>
          <cell r="B810">
            <v>752</v>
          </cell>
          <cell r="C810" t="str">
            <v>Concrete Mixer 0.5 m3</v>
          </cell>
          <cell r="D810" t="str">
            <v>hari</v>
          </cell>
          <cell r="E810">
            <v>105651</v>
          </cell>
        </row>
        <row r="811">
          <cell r="A811" t="str">
            <v>CN33</v>
          </cell>
          <cell r="B811">
            <v>753</v>
          </cell>
          <cell r="C811" t="str">
            <v>Concrete Viberator</v>
          </cell>
          <cell r="D811" t="str">
            <v>hari</v>
          </cell>
          <cell r="E811">
            <v>73710</v>
          </cell>
        </row>
        <row r="812">
          <cell r="A812" t="str">
            <v>CN34</v>
          </cell>
          <cell r="B812">
            <v>754</v>
          </cell>
          <cell r="C812" t="str">
            <v>Pick Up</v>
          </cell>
          <cell r="D812" t="str">
            <v>hari</v>
          </cell>
          <cell r="E812">
            <v>214929</v>
          </cell>
        </row>
        <row r="813">
          <cell r="A813" t="str">
            <v>CN35</v>
          </cell>
          <cell r="B813">
            <v>755</v>
          </cell>
          <cell r="C813" t="str">
            <v>Dump Truck 3.5 Ton</v>
          </cell>
          <cell r="D813" t="str">
            <v>hari</v>
          </cell>
          <cell r="E813">
            <v>307125</v>
          </cell>
        </row>
        <row r="814">
          <cell r="A814" t="str">
            <v>CN36</v>
          </cell>
          <cell r="B814">
            <v>756</v>
          </cell>
          <cell r="C814" t="str">
            <v>Dump Truck 5 Ton 4 Jam /hr</v>
          </cell>
          <cell r="D814" t="str">
            <v>hari</v>
          </cell>
          <cell r="E814">
            <v>368550</v>
          </cell>
        </row>
        <row r="815">
          <cell r="A815" t="str">
            <v>CN37</v>
          </cell>
          <cell r="B815">
            <v>757</v>
          </cell>
          <cell r="C815" t="str">
            <v>Flatbed Truck 3.5 Ton</v>
          </cell>
          <cell r="D815" t="str">
            <v>hari</v>
          </cell>
          <cell r="E815">
            <v>294840</v>
          </cell>
        </row>
        <row r="816">
          <cell r="A816" t="str">
            <v>CN38</v>
          </cell>
          <cell r="B816">
            <v>758</v>
          </cell>
          <cell r="C816" t="str">
            <v>Truck 3/4 ( Colt Disel )</v>
          </cell>
          <cell r="D816" t="str">
            <v>hari</v>
          </cell>
          <cell r="E816">
            <v>307125</v>
          </cell>
        </row>
        <row r="817">
          <cell r="A817" t="str">
            <v>CN39</v>
          </cell>
          <cell r="B817">
            <v>759</v>
          </cell>
          <cell r="C817" t="str">
            <v>Truck Fuso</v>
          </cell>
          <cell r="D817" t="str">
            <v>hari</v>
          </cell>
          <cell r="E817">
            <v>737100</v>
          </cell>
        </row>
        <row r="818">
          <cell r="A818" t="str">
            <v>CN40</v>
          </cell>
          <cell r="B818">
            <v>760</v>
          </cell>
          <cell r="C818" t="str">
            <v>Mesin Las Listrik 18 pk  8 jam</v>
          </cell>
          <cell r="D818" t="str">
            <v>hari</v>
          </cell>
          <cell r="E818">
            <v>122850</v>
          </cell>
        </row>
        <row r="819">
          <cell r="A819" t="str">
            <v>CN41</v>
          </cell>
          <cell r="B819">
            <v>761</v>
          </cell>
          <cell r="C819" t="str">
            <v>Mesin Pompa Air  3 "</v>
          </cell>
          <cell r="D819" t="str">
            <v>hari</v>
          </cell>
          <cell r="E819">
            <v>92079</v>
          </cell>
        </row>
        <row r="820">
          <cell r="A820" t="str">
            <v>CN42</v>
          </cell>
          <cell r="B820">
            <v>762</v>
          </cell>
          <cell r="C820" t="str">
            <v>Stamper 8 Jam</v>
          </cell>
          <cell r="D820" t="str">
            <v>hari</v>
          </cell>
          <cell r="E820">
            <v>98280</v>
          </cell>
        </row>
        <row r="821">
          <cell r="A821" t="str">
            <v>CN43</v>
          </cell>
          <cell r="B821">
            <v>763</v>
          </cell>
          <cell r="C821" t="str">
            <v>Compresor Air</v>
          </cell>
          <cell r="D821" t="str">
            <v>hari</v>
          </cell>
          <cell r="E821">
            <v>92079</v>
          </cell>
        </row>
        <row r="822">
          <cell r="A822" t="str">
            <v>CN44</v>
          </cell>
          <cell r="B822">
            <v>764</v>
          </cell>
          <cell r="C822" t="str">
            <v>Pump Water ( 5 cm ) 30 m3 / hari</v>
          </cell>
          <cell r="D822" t="str">
            <v>hari</v>
          </cell>
          <cell r="E822">
            <v>61425</v>
          </cell>
        </row>
        <row r="823">
          <cell r="A823" t="str">
            <v>CN45</v>
          </cell>
          <cell r="B823">
            <v>765</v>
          </cell>
          <cell r="C823" t="str">
            <v>Trailler, Towed 1 Ton 3 Jam/hr</v>
          </cell>
          <cell r="D823" t="str">
            <v>hari</v>
          </cell>
          <cell r="E823">
            <v>61425</v>
          </cell>
        </row>
        <row r="824">
          <cell r="A824" t="str">
            <v>CN46</v>
          </cell>
          <cell r="B824">
            <v>766</v>
          </cell>
          <cell r="C824" t="str">
            <v>Water Tank Truck 2 Jam/hr</v>
          </cell>
          <cell r="D824" t="str">
            <v>hari</v>
          </cell>
          <cell r="E824">
            <v>184275</v>
          </cell>
        </row>
        <row r="825">
          <cell r="B825" t="str">
            <v>O</v>
          </cell>
          <cell r="C825" t="str">
            <v>BAHAN BAKAR DAN PELUMAS</v>
          </cell>
        </row>
        <row r="826">
          <cell r="A826" t="str">
            <v>CP01</v>
          </cell>
          <cell r="B826">
            <v>1</v>
          </cell>
          <cell r="C826" t="str">
            <v>Minyak Tanah</v>
          </cell>
          <cell r="D826" t="str">
            <v>lt</v>
          </cell>
          <cell r="E826">
            <v>3250</v>
          </cell>
        </row>
        <row r="827">
          <cell r="B827">
            <v>768</v>
          </cell>
          <cell r="C827" t="str">
            <v>Kapur Bakar  *M081</v>
          </cell>
          <cell r="D827" t="str">
            <v>m³</v>
          </cell>
          <cell r="E827">
            <v>101660</v>
          </cell>
        </row>
        <row r="828">
          <cell r="A828" t="str">
            <v>CP02</v>
          </cell>
          <cell r="B828">
            <v>2</v>
          </cell>
          <cell r="C828" t="str">
            <v>Kayu Bakar  *M070</v>
          </cell>
          <cell r="D828" t="str">
            <v>m³</v>
          </cell>
          <cell r="E828">
            <v>44980</v>
          </cell>
        </row>
        <row r="829">
          <cell r="A829" t="str">
            <v>CP03</v>
          </cell>
          <cell r="B829">
            <v>770</v>
          </cell>
          <cell r="C829" t="str">
            <v>Bahan Bakar Residu</v>
          </cell>
          <cell r="D829" t="str">
            <v>lt</v>
          </cell>
          <cell r="E829">
            <v>650</v>
          </cell>
        </row>
        <row r="830">
          <cell r="A830" t="str">
            <v>CP04</v>
          </cell>
          <cell r="B830">
            <v>771</v>
          </cell>
          <cell r="C830" t="str">
            <v>Minyak Solar</v>
          </cell>
          <cell r="D830" t="str">
            <v>lt</v>
          </cell>
          <cell r="E830">
            <v>5590</v>
          </cell>
        </row>
        <row r="831">
          <cell r="A831" t="str">
            <v>CP05</v>
          </cell>
          <cell r="B831">
            <v>772</v>
          </cell>
          <cell r="C831" t="str">
            <v>Bensin Premium</v>
          </cell>
          <cell r="D831" t="str">
            <v>lt</v>
          </cell>
          <cell r="E831">
            <v>5850</v>
          </cell>
        </row>
        <row r="832">
          <cell r="A832" t="str">
            <v>CP06</v>
          </cell>
          <cell r="B832">
            <v>773</v>
          </cell>
          <cell r="C832" t="str">
            <v>Plus Oil</v>
          </cell>
          <cell r="D832" t="str">
            <v>lt</v>
          </cell>
          <cell r="E832">
            <v>1040</v>
          </cell>
        </row>
        <row r="833">
          <cell r="A833" t="str">
            <v>CP07</v>
          </cell>
          <cell r="B833">
            <v>3</v>
          </cell>
          <cell r="C833" t="str">
            <v>Minyak Pelumas</v>
          </cell>
          <cell r="D833" t="str">
            <v>lt</v>
          </cell>
          <cell r="E833">
            <v>23790</v>
          </cell>
        </row>
        <row r="834">
          <cell r="A834" t="str">
            <v>CP08</v>
          </cell>
          <cell r="B834">
            <v>775</v>
          </cell>
          <cell r="C834" t="str">
            <v>Elpiji / botol</v>
          </cell>
          <cell r="D834" t="str">
            <v>15 kg</v>
          </cell>
          <cell r="E834">
            <v>81900</v>
          </cell>
        </row>
        <row r="835">
          <cell r="A835" t="str">
            <v>CP09</v>
          </cell>
          <cell r="B835">
            <v>776</v>
          </cell>
          <cell r="C835" t="str">
            <v>Asitilin / botol</v>
          </cell>
          <cell r="D835" t="str">
            <v>15.1 kg</v>
          </cell>
          <cell r="E835">
            <v>69550</v>
          </cell>
        </row>
        <row r="836">
          <cell r="A836" t="str">
            <v>CP10</v>
          </cell>
          <cell r="B836">
            <v>777</v>
          </cell>
          <cell r="C836" t="str">
            <v>Angin ( 02 ) / botol</v>
          </cell>
          <cell r="D836" t="str">
            <v>btl</v>
          </cell>
          <cell r="E836">
            <v>44330</v>
          </cell>
        </row>
        <row r="837">
          <cell r="A837" t="str">
            <v>CP11</v>
          </cell>
          <cell r="B837">
            <v>778</v>
          </cell>
          <cell r="C837" t="str">
            <v>Kawat Las Listrik</v>
          </cell>
          <cell r="D837" t="str">
            <v>kg</v>
          </cell>
          <cell r="E837">
            <v>13650</v>
          </cell>
        </row>
        <row r="838">
          <cell r="A838" t="str">
            <v>CP12</v>
          </cell>
          <cell r="B838">
            <v>779</v>
          </cell>
          <cell r="C838" t="str">
            <v>Karbit</v>
          </cell>
          <cell r="D838" t="str">
            <v>kg</v>
          </cell>
          <cell r="E838">
            <v>6760</v>
          </cell>
        </row>
        <row r="839">
          <cell r="B839">
            <v>780</v>
          </cell>
          <cell r="C839" t="str">
            <v>Aspal</v>
          </cell>
          <cell r="D839">
            <v>0</v>
          </cell>
          <cell r="E839">
            <v>4875</v>
          </cell>
        </row>
        <row r="840">
          <cell r="B840">
            <v>781</v>
          </cell>
          <cell r="C840" t="str">
            <v>Aspal Kemas Pand Grade 60/70</v>
          </cell>
          <cell r="D840" t="str">
            <v>Drum</v>
          </cell>
          <cell r="E840">
            <v>583440</v>
          </cell>
        </row>
        <row r="841">
          <cell r="B841">
            <v>740</v>
          </cell>
          <cell r="C841" t="str">
            <v>Pintu Air Sorong 50  x 50 cm</v>
          </cell>
        </row>
        <row r="842">
          <cell r="B842">
            <v>741</v>
          </cell>
          <cell r="C842" t="str">
            <v>Pintu Air Double Stang 1  x 2 Meter</v>
          </cell>
        </row>
        <row r="843">
          <cell r="B843">
            <v>742</v>
          </cell>
          <cell r="C843" t="str">
            <v>Pintu Air Double Stang 1,5  x 2 Meter</v>
          </cell>
        </row>
        <row r="844">
          <cell r="B844">
            <v>743</v>
          </cell>
          <cell r="C844" t="str">
            <v>Pintu Air Double Stang 1  x 2,5 Meter</v>
          </cell>
        </row>
        <row r="845">
          <cell r="B845">
            <v>744</v>
          </cell>
          <cell r="C845" t="str">
            <v>Pintu Air Double Stang 1,5  x 2,5 Meter</v>
          </cell>
        </row>
        <row r="846">
          <cell r="B846">
            <v>745</v>
          </cell>
          <cell r="C846" t="str">
            <v>Pintu Air Stang Tunggal  1x 1,5 Meter</v>
          </cell>
        </row>
        <row r="847">
          <cell r="B847">
            <v>746</v>
          </cell>
          <cell r="C847" t="str">
            <v>Pintu Air Stang Tunggal 0,5  x 1 Meter</v>
          </cell>
        </row>
        <row r="849">
          <cell r="B849" t="str">
            <v>X</v>
          </cell>
          <cell r="C849" t="str">
            <v>BAHAN FASILITAS LALU LINTAS</v>
          </cell>
        </row>
        <row r="850">
          <cell r="B850">
            <v>782</v>
          </cell>
          <cell r="C850" t="str">
            <v>Rambu Jalan Uk. 45 x 45 cm</v>
          </cell>
          <cell r="D850" t="str">
            <v>bh</v>
          </cell>
          <cell r="E850">
            <v>304980</v>
          </cell>
        </row>
        <row r="851">
          <cell r="B851">
            <v>783</v>
          </cell>
          <cell r="C851" t="str">
            <v>Rambu Jalan Uk. 60 x 60 cm</v>
          </cell>
          <cell r="D851" t="str">
            <v>bh</v>
          </cell>
          <cell r="E851">
            <v>465790</v>
          </cell>
        </row>
        <row r="852">
          <cell r="B852">
            <v>784</v>
          </cell>
          <cell r="C852" t="str">
            <v>Rambu Jalan Uk. 70 x 70 cm</v>
          </cell>
          <cell r="D852" t="str">
            <v>bh</v>
          </cell>
          <cell r="E852">
            <v>617630</v>
          </cell>
        </row>
        <row r="853">
          <cell r="B853">
            <v>785</v>
          </cell>
          <cell r="C853" t="str">
            <v>RPPJ Uk. 105 x 140 cm</v>
          </cell>
          <cell r="D853" t="str">
            <v>bh</v>
          </cell>
          <cell r="E853">
            <v>1781260</v>
          </cell>
        </row>
        <row r="854">
          <cell r="B854">
            <v>786</v>
          </cell>
          <cell r="C854" t="str">
            <v>RPPJ Uk. 120 x 160 cm</v>
          </cell>
          <cell r="D854" t="str">
            <v>bh</v>
          </cell>
          <cell r="E854">
            <v>2139540</v>
          </cell>
        </row>
        <row r="855">
          <cell r="B855">
            <v>787</v>
          </cell>
          <cell r="C855" t="str">
            <v>Pagar Pengaman Jalan</v>
          </cell>
          <cell r="D855" t="str">
            <v>bh</v>
          </cell>
          <cell r="E855">
            <v>605670</v>
          </cell>
        </row>
        <row r="856">
          <cell r="B856">
            <v>788</v>
          </cell>
          <cell r="C856" t="str">
            <v>Marka Jalan (Road Marking) Uk. 0,2 x 12 cm</v>
          </cell>
          <cell r="D856" t="str">
            <v>m</v>
          </cell>
          <cell r="E856">
            <v>27300</v>
          </cell>
        </row>
        <row r="857">
          <cell r="B857">
            <v>789</v>
          </cell>
          <cell r="C857" t="str">
            <v>Paku Marka uk. 2 x 10 x 10 cm</v>
          </cell>
          <cell r="D857" t="str">
            <v>bh</v>
          </cell>
          <cell r="E857">
            <v>233740</v>
          </cell>
        </row>
        <row r="858">
          <cell r="B858">
            <v>790</v>
          </cell>
          <cell r="C858" t="str">
            <v>Paku Marka uk. 2 x 10 x 12 cm</v>
          </cell>
          <cell r="D858" t="str">
            <v>bh</v>
          </cell>
          <cell r="E858">
            <v>242190</v>
          </cell>
        </row>
        <row r="859">
          <cell r="B859">
            <v>791</v>
          </cell>
          <cell r="C859" t="str">
            <v>Apill (Trafic Light)-Simpang Tiga</v>
          </cell>
          <cell r="D859" t="str">
            <v>unit</v>
          </cell>
          <cell r="E859">
            <v>101124270</v>
          </cell>
        </row>
        <row r="860">
          <cell r="B860">
            <v>792</v>
          </cell>
          <cell r="C860" t="str">
            <v>Apill (Trafic Light)-Simpang Empat</v>
          </cell>
          <cell r="D860" t="str">
            <v>unit</v>
          </cell>
          <cell r="E860">
            <v>120601130</v>
          </cell>
        </row>
        <row r="861">
          <cell r="B861">
            <v>793</v>
          </cell>
          <cell r="C861" t="str">
            <v>Lampu Peringatan (Warning Light)</v>
          </cell>
          <cell r="D861" t="str">
            <v>unit</v>
          </cell>
          <cell r="E861">
            <v>54315040</v>
          </cell>
        </row>
        <row r="862">
          <cell r="B862">
            <v>794</v>
          </cell>
          <cell r="C862" t="str">
            <v>Patok Tikungan (dilineator) bahan plastik</v>
          </cell>
          <cell r="D862" t="str">
            <v>bh</v>
          </cell>
          <cell r="E862">
            <v>399230</v>
          </cell>
        </row>
        <row r="863">
          <cell r="B863">
            <v>795</v>
          </cell>
          <cell r="C863" t="str">
            <v>Patok Tikungan (dilineator) pipa besi</v>
          </cell>
          <cell r="D863" t="str">
            <v>bh</v>
          </cell>
          <cell r="E863">
            <v>300300</v>
          </cell>
        </row>
        <row r="864">
          <cell r="B864">
            <v>796</v>
          </cell>
          <cell r="C864" t="str">
            <v>Cermin Tikungan</v>
          </cell>
          <cell r="D864" t="str">
            <v>unit</v>
          </cell>
          <cell r="E864">
            <v>4692090</v>
          </cell>
        </row>
        <row r="865">
          <cell r="B865">
            <v>797</v>
          </cell>
          <cell r="C865" t="str">
            <v>Kerucut Lalu Lintas Uk. 90 cm</v>
          </cell>
          <cell r="D865" t="str">
            <v>bh</v>
          </cell>
          <cell r="E865">
            <v>315640</v>
          </cell>
        </row>
        <row r="866">
          <cell r="B866">
            <v>798</v>
          </cell>
          <cell r="C866" t="str">
            <v>Kerucut Lalu Lintas Uk. 75 cm</v>
          </cell>
          <cell r="D866" t="str">
            <v>bh</v>
          </cell>
          <cell r="E866">
            <v>332670</v>
          </cell>
        </row>
        <row r="867">
          <cell r="B867">
            <v>799</v>
          </cell>
          <cell r="C867" t="str">
            <v>Kerucut Lalu Lintas Uk. 60 cm</v>
          </cell>
          <cell r="D867" t="str">
            <v>bh</v>
          </cell>
          <cell r="E867">
            <v>315640</v>
          </cell>
        </row>
        <row r="868">
          <cell r="B868">
            <v>800</v>
          </cell>
          <cell r="C868" t="str">
            <v>Timbangan Portable</v>
          </cell>
          <cell r="D868" t="str">
            <v>unit</v>
          </cell>
          <cell r="E868">
            <v>637105170</v>
          </cell>
        </row>
        <row r="869">
          <cell r="B869">
            <v>801</v>
          </cell>
          <cell r="C869" t="str">
            <v>Peralatan PKB otomatik</v>
          </cell>
          <cell r="D869" t="str">
            <v>unit</v>
          </cell>
          <cell r="E869">
            <v>7556145870</v>
          </cell>
        </row>
        <row r="870">
          <cell r="B870">
            <v>802</v>
          </cell>
          <cell r="C870" t="str">
            <v>Peralatan PKB semi otomatik</v>
          </cell>
          <cell r="D870" t="str">
            <v>unit</v>
          </cell>
          <cell r="E870">
            <v>4800597100</v>
          </cell>
        </row>
        <row r="871">
          <cell r="B871">
            <v>803</v>
          </cell>
          <cell r="C871" t="str">
            <v>Peralatan Uji Pemeriksaan dan Pengawasan Kb di Jalan</v>
          </cell>
          <cell r="D871" t="str">
            <v>unit</v>
          </cell>
          <cell r="E871">
            <v>4275343800</v>
          </cell>
        </row>
        <row r="874">
          <cell r="D874" t="str">
            <v>Banjar,     Februari 2006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11"/>
      <sheetName val="RAB TAMBAH KRNG (2)"/>
      <sheetName val="REKAP11"/>
      <sheetName val="m10"/>
      <sheetName val="SC"/>
      <sheetName val="m11"/>
      <sheetName val="BAHAN"/>
      <sheetName val="ANALISA"/>
      <sheetName val="REKAP"/>
      <sheetName val="RAB"/>
      <sheetName val="REKAPITULASI BIAYA"/>
      <sheetName val="RAB TAMBAH KRNG"/>
      <sheetName val="REKAPITULASI TBH KRNG"/>
      <sheetName val="cek list"/>
      <sheetName val="mggu 1"/>
      <sheetName val="mggu 2"/>
      <sheetName val="mggu 3"/>
      <sheetName val="mggu 4"/>
      <sheetName val="mggu 5"/>
      <sheetName val="mggu 6"/>
      <sheetName val="mggu 7"/>
      <sheetName val="mggu 8"/>
      <sheetName val="mggu 9"/>
      <sheetName val="mggu 10"/>
      <sheetName val="mggu 11"/>
      <sheetName val="mggu 12"/>
      <sheetName val="RAB TAMBAH KRNG (3)"/>
      <sheetName val="REKAP11 (2)"/>
      <sheetName val="mggu 8 (2)"/>
      <sheetName val="REKAP11 (3)"/>
      <sheetName val="Pipe"/>
      <sheetName val="Elektrikal"/>
      <sheetName val="Agregat Halus &amp; K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terbilang"/>
    </definedNames>
    <sheetDataSet>
      <sheetData sheetId="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ANALISA"/>
      <sheetName val="BOR"/>
      <sheetName val="JADWAL"/>
      <sheetName val="Sheet1"/>
    </sheetNames>
    <sheetDataSet>
      <sheetData sheetId="0" refreshError="1"/>
      <sheetData sheetId="1" refreshError="1">
        <row r="99">
          <cell r="G99">
            <v>31031.55</v>
          </cell>
        </row>
        <row r="168">
          <cell r="C168" t="str">
            <v xml:space="preserve">Tee PVC dia. 1" x 1/2" </v>
          </cell>
        </row>
        <row r="169">
          <cell r="C169" t="str">
            <v>Reducer PVC  dia. 1" x 1/2"</v>
          </cell>
        </row>
        <row r="183">
          <cell r="C183" t="str">
            <v xml:space="preserve">Rabat Beton Dudukan Box SR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SMKK"/>
      <sheetName val="ANALISA"/>
      <sheetName val="JADWAL"/>
      <sheetName val="BOR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A</v>
          </cell>
          <cell r="C9" t="str">
            <v>PENYIAPAN RKK</v>
          </cell>
        </row>
        <row r="10">
          <cell r="C10">
            <v>1</v>
          </cell>
          <cell r="D10" t="str">
            <v>Pembuatan Dokumen Rencana Keselematan Konstruksi</v>
          </cell>
          <cell r="G10" t="str">
            <v>set</v>
          </cell>
        </row>
        <row r="11">
          <cell r="C11">
            <v>2</v>
          </cell>
          <cell r="D11" t="str">
            <v>Pembuatan Prosedur dan Instruksi Kerja</v>
          </cell>
        </row>
        <row r="12">
          <cell r="C12">
            <v>3</v>
          </cell>
          <cell r="D12" t="str">
            <v>Penyiapan Formulir</v>
          </cell>
        </row>
        <row r="14">
          <cell r="B14" t="str">
            <v>B</v>
          </cell>
          <cell r="C14" t="str">
            <v>SOSIALISASI , PROMOSI DAN PELATIHAN</v>
          </cell>
        </row>
        <row r="15">
          <cell r="C15">
            <v>1</v>
          </cell>
        </row>
        <row r="16">
          <cell r="C16">
            <v>2</v>
          </cell>
        </row>
        <row r="17">
          <cell r="C17">
            <v>3</v>
          </cell>
        </row>
        <row r="18">
          <cell r="C18">
            <v>4</v>
          </cell>
        </row>
        <row r="20">
          <cell r="B20" t="str">
            <v>C</v>
          </cell>
          <cell r="C20" t="str">
            <v>PERALATAN PELINDUNGKERJA (APK) DAN ALAT PELINDUNG DIRI DIRI (APD)</v>
          </cell>
        </row>
        <row r="21">
          <cell r="C21">
            <v>1</v>
          </cell>
          <cell r="D21" t="str">
            <v>Alat Pelindung Diri (APD) terdiri atas:</v>
          </cell>
        </row>
        <row r="23">
          <cell r="G23" t="str">
            <v>bh</v>
          </cell>
        </row>
        <row r="24">
          <cell r="G24" t="str">
            <v>psg</v>
          </cell>
        </row>
        <row r="25">
          <cell r="G25" t="str">
            <v>psg</v>
          </cell>
        </row>
        <row r="28">
          <cell r="B28" t="str">
            <v>D</v>
          </cell>
          <cell r="C28" t="str">
            <v>ASURANSI DAN PERIZINAN</v>
          </cell>
        </row>
        <row r="29">
          <cell r="C29">
            <v>1</v>
          </cell>
          <cell r="D29" t="str">
            <v>Asuransi dan Perizinan</v>
          </cell>
        </row>
        <row r="31">
          <cell r="B31" t="str">
            <v>F</v>
          </cell>
          <cell r="C31" t="str">
            <v>FASILITAS SARANA KESEHATAN</v>
          </cell>
        </row>
        <row r="32">
          <cell r="C32">
            <v>1</v>
          </cell>
          <cell r="G32" t="str">
            <v>set</v>
          </cell>
        </row>
        <row r="34">
          <cell r="B34" t="str">
            <v>G</v>
          </cell>
          <cell r="C34" t="str">
            <v>RAMBU RAMBU LALULINTAS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ANALISA"/>
      <sheetName val="JADWAL"/>
      <sheetName val="AN-ALAT BOR"/>
    </sheetNames>
    <sheetDataSet>
      <sheetData sheetId="0" refreshError="1"/>
      <sheetData sheetId="1">
        <row r="37">
          <cell r="H37">
            <v>145000</v>
          </cell>
        </row>
      </sheetData>
      <sheetData sheetId="2"/>
      <sheetData sheetId="3"/>
      <sheetData sheetId="4" refreshError="1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ANALISA"/>
      <sheetName val="JADWAL"/>
      <sheetName val="Sheet1"/>
      <sheetName val="BOR"/>
    </sheetNames>
    <sheetDataSet>
      <sheetData sheetId="0">
        <row r="5">
          <cell r="G5" t="str">
            <v>DINAS PERUMAHAN KAWASAN PERMUKIMAN DAN PERTANAHAN KABUPATEN CIANJUR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ANALISA"/>
      <sheetName val="JADWAL"/>
      <sheetName val="Sheet1"/>
    </sheetNames>
    <sheetDataSet>
      <sheetData sheetId="0"/>
      <sheetData sheetId="1" refreshError="1"/>
      <sheetData sheetId="2" refreshError="1"/>
      <sheetData sheetId="3" refreshError="1"/>
      <sheetData sheetId="4">
        <row r="27">
          <cell r="K27">
            <v>0.43761289323760183</v>
          </cell>
          <cell r="L27">
            <v>5.3761808899686852</v>
          </cell>
          <cell r="M27">
            <v>10.314748886699768</v>
          </cell>
          <cell r="N27">
            <v>15.253316883430852</v>
          </cell>
          <cell r="O27">
            <v>20.191884880161936</v>
          </cell>
          <cell r="P27">
            <v>25.13045287689302</v>
          </cell>
          <cell r="Q27">
            <v>30.069020873624105</v>
          </cell>
          <cell r="R27">
            <v>35.007588870355185</v>
          </cell>
          <cell r="S27">
            <v>39.946156867086266</v>
          </cell>
          <cell r="T27">
            <v>44.884724863817347</v>
          </cell>
          <cell r="U27">
            <v>50.772059901363356</v>
          </cell>
          <cell r="V27">
            <v>56.659394938909365</v>
          </cell>
          <cell r="W27">
            <v>67.040375413877371</v>
          </cell>
          <cell r="X27">
            <v>77.421355888845369</v>
          </cell>
          <cell r="Y27">
            <v>87.802336363813367</v>
          </cell>
          <cell r="Z27">
            <v>93.682361735287884</v>
          </cell>
          <cell r="AA27">
            <v>99.562387106762401</v>
          </cell>
          <cell r="AB27">
            <v>100</v>
          </cell>
        </row>
      </sheetData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 UP PKL"/>
      <sheetName val="Back UP JPO"/>
      <sheetName val="Hitungan"/>
      <sheetName val="Berat Besi"/>
      <sheetName val="DEV.6"/>
      <sheetName val="Galian alat berat"/>
      <sheetName val="Timbunan Tanah Pilihan"/>
      <sheetName val="kansteen"/>
      <sheetName val="bongkaran Paving"/>
      <sheetName val="Dev.2.3(1.h)"/>
      <sheetName val="DEV.3"/>
      <sheetName val="REKAP HPS"/>
      <sheetName val="LAMPIRAN HPS"/>
      <sheetName val="REKAP ANALISA PEK"/>
      <sheetName val="SMKK"/>
      <sheetName val="BACKUP VOLUME"/>
      <sheetName val="AHSP"/>
      <sheetName val="ANALISA BOR HORIZONTAL"/>
      <sheetName val="HARGA UPAH"/>
      <sheetName val="HARGA BAHAN &amp; ALAT"/>
      <sheetName val="ASURAN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68">
          <cell r="F168">
            <v>14000</v>
          </cell>
        </row>
        <row r="169">
          <cell r="F169">
            <v>426000</v>
          </cell>
          <cell r="J169">
            <v>0</v>
          </cell>
        </row>
        <row r="170">
          <cell r="F170">
            <v>34000</v>
          </cell>
          <cell r="J170">
            <v>0</v>
          </cell>
        </row>
        <row r="171">
          <cell r="H171">
            <v>0.71120000000000005</v>
          </cell>
        </row>
        <row r="175">
          <cell r="H175">
            <v>0.32629999999999998</v>
          </cell>
        </row>
        <row r="176">
          <cell r="H176">
            <v>0.86950000000000005</v>
          </cell>
        </row>
        <row r="178">
          <cell r="H178">
            <v>0</v>
          </cell>
        </row>
        <row r="179">
          <cell r="F179">
            <v>133200</v>
          </cell>
          <cell r="H179">
            <v>0.41020000000000001</v>
          </cell>
        </row>
        <row r="184">
          <cell r="D184" t="str">
            <v>APAR 3 kg (+ Set Komplit (Tabung+ABC Power+ Nitrogen)</v>
          </cell>
          <cell r="F184">
            <v>189000</v>
          </cell>
          <cell r="H184">
            <v>0.1673</v>
          </cell>
        </row>
        <row r="185">
          <cell r="F185">
            <v>52000</v>
          </cell>
        </row>
        <row r="186">
          <cell r="F186">
            <v>135000</v>
          </cell>
          <cell r="H186">
            <v>0.25380000000000003</v>
          </cell>
        </row>
        <row r="187">
          <cell r="F187">
            <v>10000</v>
          </cell>
        </row>
        <row r="188">
          <cell r="H188">
            <v>0.71220000000000006</v>
          </cell>
        </row>
        <row r="189">
          <cell r="F189">
            <v>135900</v>
          </cell>
        </row>
      </sheetData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"/>
      <sheetName val="HARSAT"/>
      <sheetName val="UPAH BAHAN"/>
      <sheetName val="ANALISA"/>
      <sheetName val="JADWAL"/>
      <sheetName val="Sheet1"/>
      <sheetName val="BOR DKL"/>
    </sheetNames>
    <sheetDataSet>
      <sheetData sheetId="0"/>
      <sheetData sheetId="1">
        <row r="35">
          <cell r="G35">
            <v>743325.29425000004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3" Type="http://schemas.openxmlformats.org/officeDocument/2006/relationships/hyperlink" Target="https://tkdn.kemenperin.go.id/sertifikat_perush.php?id=qlXiOPwQVC1Ugd23hMrAjlt4wrfHvpLDs0C4F-q3-1E,&amp;id_siinas=ajfIiFxWAc5tzDubq0-dX0MfNpFQ5ktPydWY9IqmyXk," TargetMode="External"/><Relationship Id="rId7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2" Type="http://schemas.openxmlformats.org/officeDocument/2006/relationships/hyperlink" Target="https://tkdn.kemenperin.go.id/sertifikat_perush.php?id=w-Y65P5c9W2YTOjPtMbiggEIxZYqgOC_2uf6vZXvY1s,&amp;id_siinas=vq2DN3VwRxHs25X0BxmbQiFY8n_irbYjEg-5_LMePFo," TargetMode="External"/><Relationship Id="rId1" Type="http://schemas.openxmlformats.org/officeDocument/2006/relationships/hyperlink" Target="https://tkdn.kemenperin.go.id/sertifikat_perush.php?id=LXgDzIgDALi1Ge2ukHE7ZXx53avqEQjgBFBeb1z21ps,&amp;id_siinas=LXgDzIgDALi1Ge2ukHE7ZXx53avqEQjgBFBeb1z21ps," TargetMode="External"/><Relationship Id="rId6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5" Type="http://schemas.openxmlformats.org/officeDocument/2006/relationships/hyperlink" Target="https://tkdn.kemenperin.go.id/sertifikat_perush.php?id=QSsoMNgrkDEYcCxSuXBQOYxgtTtMbAZEyUEZIjoHkeM,&amp;id_siinas=e_LvgcF-xqow-MxHTRxjI-78147nnLCAUxKl7HxUfnc," TargetMode="External"/><Relationship Id="rId10" Type="http://schemas.openxmlformats.org/officeDocument/2006/relationships/hyperlink" Target="https://tkdn.kemenperin.go.id/sertifikat_perush.php?id=1dU3IX_7z_CFV_eTU6p_b-V79Fe7qPLM64ZY5mFyRqE,&amp;id_siinas=j-Mc25-YrBhQ_AWr_-pp_xsKj_I_g5hXg-o_dsButnI," TargetMode="External"/><Relationship Id="rId4" Type="http://schemas.openxmlformats.org/officeDocument/2006/relationships/hyperlink" Target="https://tkdn.kemenperin.go.id/sertifikat_perush.php?id=BwjfXmFNy_PcPmlGSjWRfwFf_0CbZkh4h9MFN_ZqS8A,&amp;id_siinas=cKhWiTRLRcHuRXFwucFMztay0TF-lws89_R8XrROL5Y," TargetMode="External"/><Relationship Id="rId9" Type="http://schemas.openxmlformats.org/officeDocument/2006/relationships/hyperlink" Target="https://tkdn.kemenperin.go.id/sertifikat_perush.php?id=PoGlz6lDNjHjW3VZldQ4WzigaYNafopxEMoEvdhwHhY,&amp;id_siinas=MR8DDg3dPaYUSfFePML5VMM14cs-AdtXrfiG2349nWY,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AE0D-89DA-4572-A4E2-C5B2E4E2AFEE}">
  <dimension ref="B2:T394"/>
  <sheetViews>
    <sheetView tabSelected="1" view="pageBreakPreview" topLeftCell="B1" zoomScaleNormal="100" zoomScaleSheetLayoutView="100" workbookViewId="0">
      <selection activeCell="J14" sqref="J14"/>
    </sheetView>
  </sheetViews>
  <sheetFormatPr defaultColWidth="9.875" defaultRowHeight="13.8" x14ac:dyDescent="0.3"/>
  <cols>
    <col min="1" max="1" width="7.625" style="10" customWidth="1"/>
    <col min="2" max="2" width="7" style="10" customWidth="1"/>
    <col min="3" max="3" width="4.625" style="10" customWidth="1"/>
    <col min="4" max="4" width="3.875" style="10" customWidth="1"/>
    <col min="5" max="5" width="8.625" style="10" customWidth="1"/>
    <col min="6" max="6" width="4.375" style="10" customWidth="1"/>
    <col min="7" max="7" width="45.375" style="10" customWidth="1"/>
    <col min="8" max="8" width="9.125" style="10" customWidth="1"/>
    <col min="9" max="9" width="11.625" style="313" customWidth="1"/>
    <col min="10" max="10" width="18.125" style="313" customWidth="1"/>
    <col min="11" max="11" width="24" style="313" customWidth="1"/>
    <col min="12" max="12" width="16.375" style="313" customWidth="1"/>
    <col min="13" max="13" width="15" style="10" customWidth="1"/>
    <col min="14" max="14" width="15.625" style="313" customWidth="1"/>
    <col min="15" max="15" width="11.625" style="155" customWidth="1"/>
    <col min="16" max="16" width="10.625" style="155" customWidth="1"/>
    <col min="17" max="17" width="10.625" style="10" customWidth="1"/>
    <col min="18" max="18" width="21.625" style="10" customWidth="1"/>
    <col min="19" max="20" width="12.625" style="389" customWidth="1"/>
    <col min="21" max="256" width="9.875" style="10"/>
    <col min="257" max="257" width="7.625" style="10" customWidth="1"/>
    <col min="258" max="258" width="7" style="10" customWidth="1"/>
    <col min="259" max="259" width="4.625" style="10" customWidth="1"/>
    <col min="260" max="260" width="3.875" style="10" customWidth="1"/>
    <col min="261" max="261" width="8.625" style="10" customWidth="1"/>
    <col min="262" max="262" width="4.375" style="10" customWidth="1"/>
    <col min="263" max="263" width="45.375" style="10" customWidth="1"/>
    <col min="264" max="264" width="9.125" style="10" customWidth="1"/>
    <col min="265" max="265" width="11.625" style="10" customWidth="1"/>
    <col min="266" max="266" width="18.125" style="10" customWidth="1"/>
    <col min="267" max="267" width="24" style="10" customWidth="1"/>
    <col min="268" max="268" width="19.875" style="10" customWidth="1"/>
    <col min="269" max="269" width="16.875" style="10" customWidth="1"/>
    <col min="270" max="270" width="7.125" style="10" customWidth="1"/>
    <col min="271" max="271" width="17.875" style="10" customWidth="1"/>
    <col min="272" max="272" width="16.375" style="10" customWidth="1"/>
    <col min="273" max="273" width="9.875" style="10"/>
    <col min="274" max="274" width="17.125" style="10" customWidth="1"/>
    <col min="275" max="512" width="9.875" style="10"/>
    <col min="513" max="513" width="7.625" style="10" customWidth="1"/>
    <col min="514" max="514" width="7" style="10" customWidth="1"/>
    <col min="515" max="515" width="4.625" style="10" customWidth="1"/>
    <col min="516" max="516" width="3.875" style="10" customWidth="1"/>
    <col min="517" max="517" width="8.625" style="10" customWidth="1"/>
    <col min="518" max="518" width="4.375" style="10" customWidth="1"/>
    <col min="519" max="519" width="45.375" style="10" customWidth="1"/>
    <col min="520" max="520" width="9.125" style="10" customWidth="1"/>
    <col min="521" max="521" width="11.625" style="10" customWidth="1"/>
    <col min="522" max="522" width="18.125" style="10" customWidth="1"/>
    <col min="523" max="523" width="24" style="10" customWidth="1"/>
    <col min="524" max="524" width="19.875" style="10" customWidth="1"/>
    <col min="525" max="525" width="16.875" style="10" customWidth="1"/>
    <col min="526" max="526" width="7.125" style="10" customWidth="1"/>
    <col min="527" max="527" width="17.875" style="10" customWidth="1"/>
    <col min="528" max="528" width="16.375" style="10" customWidth="1"/>
    <col min="529" max="529" width="9.875" style="10"/>
    <col min="530" max="530" width="17.125" style="10" customWidth="1"/>
    <col min="531" max="768" width="9.875" style="10"/>
    <col min="769" max="769" width="7.625" style="10" customWidth="1"/>
    <col min="770" max="770" width="7" style="10" customWidth="1"/>
    <col min="771" max="771" width="4.625" style="10" customWidth="1"/>
    <col min="772" max="772" width="3.875" style="10" customWidth="1"/>
    <col min="773" max="773" width="8.625" style="10" customWidth="1"/>
    <col min="774" max="774" width="4.375" style="10" customWidth="1"/>
    <col min="775" max="775" width="45.375" style="10" customWidth="1"/>
    <col min="776" max="776" width="9.125" style="10" customWidth="1"/>
    <col min="777" max="777" width="11.625" style="10" customWidth="1"/>
    <col min="778" max="778" width="18.125" style="10" customWidth="1"/>
    <col min="779" max="779" width="24" style="10" customWidth="1"/>
    <col min="780" max="780" width="19.875" style="10" customWidth="1"/>
    <col min="781" max="781" width="16.875" style="10" customWidth="1"/>
    <col min="782" max="782" width="7.125" style="10" customWidth="1"/>
    <col min="783" max="783" width="17.875" style="10" customWidth="1"/>
    <col min="784" max="784" width="16.375" style="10" customWidth="1"/>
    <col min="785" max="785" width="9.875" style="10"/>
    <col min="786" max="786" width="17.125" style="10" customWidth="1"/>
    <col min="787" max="1024" width="9.875" style="10"/>
    <col min="1025" max="1025" width="7.625" style="10" customWidth="1"/>
    <col min="1026" max="1026" width="7" style="10" customWidth="1"/>
    <col min="1027" max="1027" width="4.625" style="10" customWidth="1"/>
    <col min="1028" max="1028" width="3.875" style="10" customWidth="1"/>
    <col min="1029" max="1029" width="8.625" style="10" customWidth="1"/>
    <col min="1030" max="1030" width="4.375" style="10" customWidth="1"/>
    <col min="1031" max="1031" width="45.375" style="10" customWidth="1"/>
    <col min="1032" max="1032" width="9.125" style="10" customWidth="1"/>
    <col min="1033" max="1033" width="11.625" style="10" customWidth="1"/>
    <col min="1034" max="1034" width="18.125" style="10" customWidth="1"/>
    <col min="1035" max="1035" width="24" style="10" customWidth="1"/>
    <col min="1036" max="1036" width="19.875" style="10" customWidth="1"/>
    <col min="1037" max="1037" width="16.875" style="10" customWidth="1"/>
    <col min="1038" max="1038" width="7.125" style="10" customWidth="1"/>
    <col min="1039" max="1039" width="17.875" style="10" customWidth="1"/>
    <col min="1040" max="1040" width="16.375" style="10" customWidth="1"/>
    <col min="1041" max="1041" width="9.875" style="10"/>
    <col min="1042" max="1042" width="17.125" style="10" customWidth="1"/>
    <col min="1043" max="1280" width="9.875" style="10"/>
    <col min="1281" max="1281" width="7.625" style="10" customWidth="1"/>
    <col min="1282" max="1282" width="7" style="10" customWidth="1"/>
    <col min="1283" max="1283" width="4.625" style="10" customWidth="1"/>
    <col min="1284" max="1284" width="3.875" style="10" customWidth="1"/>
    <col min="1285" max="1285" width="8.625" style="10" customWidth="1"/>
    <col min="1286" max="1286" width="4.375" style="10" customWidth="1"/>
    <col min="1287" max="1287" width="45.375" style="10" customWidth="1"/>
    <col min="1288" max="1288" width="9.125" style="10" customWidth="1"/>
    <col min="1289" max="1289" width="11.625" style="10" customWidth="1"/>
    <col min="1290" max="1290" width="18.125" style="10" customWidth="1"/>
    <col min="1291" max="1291" width="24" style="10" customWidth="1"/>
    <col min="1292" max="1292" width="19.875" style="10" customWidth="1"/>
    <col min="1293" max="1293" width="16.875" style="10" customWidth="1"/>
    <col min="1294" max="1294" width="7.125" style="10" customWidth="1"/>
    <col min="1295" max="1295" width="17.875" style="10" customWidth="1"/>
    <col min="1296" max="1296" width="16.375" style="10" customWidth="1"/>
    <col min="1297" max="1297" width="9.875" style="10"/>
    <col min="1298" max="1298" width="17.125" style="10" customWidth="1"/>
    <col min="1299" max="1536" width="9.875" style="10"/>
    <col min="1537" max="1537" width="7.625" style="10" customWidth="1"/>
    <col min="1538" max="1538" width="7" style="10" customWidth="1"/>
    <col min="1539" max="1539" width="4.625" style="10" customWidth="1"/>
    <col min="1540" max="1540" width="3.875" style="10" customWidth="1"/>
    <col min="1541" max="1541" width="8.625" style="10" customWidth="1"/>
    <col min="1542" max="1542" width="4.375" style="10" customWidth="1"/>
    <col min="1543" max="1543" width="45.375" style="10" customWidth="1"/>
    <col min="1544" max="1544" width="9.125" style="10" customWidth="1"/>
    <col min="1545" max="1545" width="11.625" style="10" customWidth="1"/>
    <col min="1546" max="1546" width="18.125" style="10" customWidth="1"/>
    <col min="1547" max="1547" width="24" style="10" customWidth="1"/>
    <col min="1548" max="1548" width="19.875" style="10" customWidth="1"/>
    <col min="1549" max="1549" width="16.875" style="10" customWidth="1"/>
    <col min="1550" max="1550" width="7.125" style="10" customWidth="1"/>
    <col min="1551" max="1551" width="17.875" style="10" customWidth="1"/>
    <col min="1552" max="1552" width="16.375" style="10" customWidth="1"/>
    <col min="1553" max="1553" width="9.875" style="10"/>
    <col min="1554" max="1554" width="17.125" style="10" customWidth="1"/>
    <col min="1555" max="1792" width="9.875" style="10"/>
    <col min="1793" max="1793" width="7.625" style="10" customWidth="1"/>
    <col min="1794" max="1794" width="7" style="10" customWidth="1"/>
    <col min="1795" max="1795" width="4.625" style="10" customWidth="1"/>
    <col min="1796" max="1796" width="3.875" style="10" customWidth="1"/>
    <col min="1797" max="1797" width="8.625" style="10" customWidth="1"/>
    <col min="1798" max="1798" width="4.375" style="10" customWidth="1"/>
    <col min="1799" max="1799" width="45.375" style="10" customWidth="1"/>
    <col min="1800" max="1800" width="9.125" style="10" customWidth="1"/>
    <col min="1801" max="1801" width="11.625" style="10" customWidth="1"/>
    <col min="1802" max="1802" width="18.125" style="10" customWidth="1"/>
    <col min="1803" max="1803" width="24" style="10" customWidth="1"/>
    <col min="1804" max="1804" width="19.875" style="10" customWidth="1"/>
    <col min="1805" max="1805" width="16.875" style="10" customWidth="1"/>
    <col min="1806" max="1806" width="7.125" style="10" customWidth="1"/>
    <col min="1807" max="1807" width="17.875" style="10" customWidth="1"/>
    <col min="1808" max="1808" width="16.375" style="10" customWidth="1"/>
    <col min="1809" max="1809" width="9.875" style="10"/>
    <col min="1810" max="1810" width="17.125" style="10" customWidth="1"/>
    <col min="1811" max="2048" width="9.875" style="10"/>
    <col min="2049" max="2049" width="7.625" style="10" customWidth="1"/>
    <col min="2050" max="2050" width="7" style="10" customWidth="1"/>
    <col min="2051" max="2051" width="4.625" style="10" customWidth="1"/>
    <col min="2052" max="2052" width="3.875" style="10" customWidth="1"/>
    <col min="2053" max="2053" width="8.625" style="10" customWidth="1"/>
    <col min="2054" max="2054" width="4.375" style="10" customWidth="1"/>
    <col min="2055" max="2055" width="45.375" style="10" customWidth="1"/>
    <col min="2056" max="2056" width="9.125" style="10" customWidth="1"/>
    <col min="2057" max="2057" width="11.625" style="10" customWidth="1"/>
    <col min="2058" max="2058" width="18.125" style="10" customWidth="1"/>
    <col min="2059" max="2059" width="24" style="10" customWidth="1"/>
    <col min="2060" max="2060" width="19.875" style="10" customWidth="1"/>
    <col min="2061" max="2061" width="16.875" style="10" customWidth="1"/>
    <col min="2062" max="2062" width="7.125" style="10" customWidth="1"/>
    <col min="2063" max="2063" width="17.875" style="10" customWidth="1"/>
    <col min="2064" max="2064" width="16.375" style="10" customWidth="1"/>
    <col min="2065" max="2065" width="9.875" style="10"/>
    <col min="2066" max="2066" width="17.125" style="10" customWidth="1"/>
    <col min="2067" max="2304" width="9.875" style="10"/>
    <col min="2305" max="2305" width="7.625" style="10" customWidth="1"/>
    <col min="2306" max="2306" width="7" style="10" customWidth="1"/>
    <col min="2307" max="2307" width="4.625" style="10" customWidth="1"/>
    <col min="2308" max="2308" width="3.875" style="10" customWidth="1"/>
    <col min="2309" max="2309" width="8.625" style="10" customWidth="1"/>
    <col min="2310" max="2310" width="4.375" style="10" customWidth="1"/>
    <col min="2311" max="2311" width="45.375" style="10" customWidth="1"/>
    <col min="2312" max="2312" width="9.125" style="10" customWidth="1"/>
    <col min="2313" max="2313" width="11.625" style="10" customWidth="1"/>
    <col min="2314" max="2314" width="18.125" style="10" customWidth="1"/>
    <col min="2315" max="2315" width="24" style="10" customWidth="1"/>
    <col min="2316" max="2316" width="19.875" style="10" customWidth="1"/>
    <col min="2317" max="2317" width="16.875" style="10" customWidth="1"/>
    <col min="2318" max="2318" width="7.125" style="10" customWidth="1"/>
    <col min="2319" max="2319" width="17.875" style="10" customWidth="1"/>
    <col min="2320" max="2320" width="16.375" style="10" customWidth="1"/>
    <col min="2321" max="2321" width="9.875" style="10"/>
    <col min="2322" max="2322" width="17.125" style="10" customWidth="1"/>
    <col min="2323" max="2560" width="9.875" style="10"/>
    <col min="2561" max="2561" width="7.625" style="10" customWidth="1"/>
    <col min="2562" max="2562" width="7" style="10" customWidth="1"/>
    <col min="2563" max="2563" width="4.625" style="10" customWidth="1"/>
    <col min="2564" max="2564" width="3.875" style="10" customWidth="1"/>
    <col min="2565" max="2565" width="8.625" style="10" customWidth="1"/>
    <col min="2566" max="2566" width="4.375" style="10" customWidth="1"/>
    <col min="2567" max="2567" width="45.375" style="10" customWidth="1"/>
    <col min="2568" max="2568" width="9.125" style="10" customWidth="1"/>
    <col min="2569" max="2569" width="11.625" style="10" customWidth="1"/>
    <col min="2570" max="2570" width="18.125" style="10" customWidth="1"/>
    <col min="2571" max="2571" width="24" style="10" customWidth="1"/>
    <col min="2572" max="2572" width="19.875" style="10" customWidth="1"/>
    <col min="2573" max="2573" width="16.875" style="10" customWidth="1"/>
    <col min="2574" max="2574" width="7.125" style="10" customWidth="1"/>
    <col min="2575" max="2575" width="17.875" style="10" customWidth="1"/>
    <col min="2576" max="2576" width="16.375" style="10" customWidth="1"/>
    <col min="2577" max="2577" width="9.875" style="10"/>
    <col min="2578" max="2578" width="17.125" style="10" customWidth="1"/>
    <col min="2579" max="2816" width="9.875" style="10"/>
    <col min="2817" max="2817" width="7.625" style="10" customWidth="1"/>
    <col min="2818" max="2818" width="7" style="10" customWidth="1"/>
    <col min="2819" max="2819" width="4.625" style="10" customWidth="1"/>
    <col min="2820" max="2820" width="3.875" style="10" customWidth="1"/>
    <col min="2821" max="2821" width="8.625" style="10" customWidth="1"/>
    <col min="2822" max="2822" width="4.375" style="10" customWidth="1"/>
    <col min="2823" max="2823" width="45.375" style="10" customWidth="1"/>
    <col min="2824" max="2824" width="9.125" style="10" customWidth="1"/>
    <col min="2825" max="2825" width="11.625" style="10" customWidth="1"/>
    <col min="2826" max="2826" width="18.125" style="10" customWidth="1"/>
    <col min="2827" max="2827" width="24" style="10" customWidth="1"/>
    <col min="2828" max="2828" width="19.875" style="10" customWidth="1"/>
    <col min="2829" max="2829" width="16.875" style="10" customWidth="1"/>
    <col min="2830" max="2830" width="7.125" style="10" customWidth="1"/>
    <col min="2831" max="2831" width="17.875" style="10" customWidth="1"/>
    <col min="2832" max="2832" width="16.375" style="10" customWidth="1"/>
    <col min="2833" max="2833" width="9.875" style="10"/>
    <col min="2834" max="2834" width="17.125" style="10" customWidth="1"/>
    <col min="2835" max="3072" width="9.875" style="10"/>
    <col min="3073" max="3073" width="7.625" style="10" customWidth="1"/>
    <col min="3074" max="3074" width="7" style="10" customWidth="1"/>
    <col min="3075" max="3075" width="4.625" style="10" customWidth="1"/>
    <col min="3076" max="3076" width="3.875" style="10" customWidth="1"/>
    <col min="3077" max="3077" width="8.625" style="10" customWidth="1"/>
    <col min="3078" max="3078" width="4.375" style="10" customWidth="1"/>
    <col min="3079" max="3079" width="45.375" style="10" customWidth="1"/>
    <col min="3080" max="3080" width="9.125" style="10" customWidth="1"/>
    <col min="3081" max="3081" width="11.625" style="10" customWidth="1"/>
    <col min="3082" max="3082" width="18.125" style="10" customWidth="1"/>
    <col min="3083" max="3083" width="24" style="10" customWidth="1"/>
    <col min="3084" max="3084" width="19.875" style="10" customWidth="1"/>
    <col min="3085" max="3085" width="16.875" style="10" customWidth="1"/>
    <col min="3086" max="3086" width="7.125" style="10" customWidth="1"/>
    <col min="3087" max="3087" width="17.875" style="10" customWidth="1"/>
    <col min="3088" max="3088" width="16.375" style="10" customWidth="1"/>
    <col min="3089" max="3089" width="9.875" style="10"/>
    <col min="3090" max="3090" width="17.125" style="10" customWidth="1"/>
    <col min="3091" max="3328" width="9.875" style="10"/>
    <col min="3329" max="3329" width="7.625" style="10" customWidth="1"/>
    <col min="3330" max="3330" width="7" style="10" customWidth="1"/>
    <col min="3331" max="3331" width="4.625" style="10" customWidth="1"/>
    <col min="3332" max="3332" width="3.875" style="10" customWidth="1"/>
    <col min="3333" max="3333" width="8.625" style="10" customWidth="1"/>
    <col min="3334" max="3334" width="4.375" style="10" customWidth="1"/>
    <col min="3335" max="3335" width="45.375" style="10" customWidth="1"/>
    <col min="3336" max="3336" width="9.125" style="10" customWidth="1"/>
    <col min="3337" max="3337" width="11.625" style="10" customWidth="1"/>
    <col min="3338" max="3338" width="18.125" style="10" customWidth="1"/>
    <col min="3339" max="3339" width="24" style="10" customWidth="1"/>
    <col min="3340" max="3340" width="19.875" style="10" customWidth="1"/>
    <col min="3341" max="3341" width="16.875" style="10" customWidth="1"/>
    <col min="3342" max="3342" width="7.125" style="10" customWidth="1"/>
    <col min="3343" max="3343" width="17.875" style="10" customWidth="1"/>
    <col min="3344" max="3344" width="16.375" style="10" customWidth="1"/>
    <col min="3345" max="3345" width="9.875" style="10"/>
    <col min="3346" max="3346" width="17.125" style="10" customWidth="1"/>
    <col min="3347" max="3584" width="9.875" style="10"/>
    <col min="3585" max="3585" width="7.625" style="10" customWidth="1"/>
    <col min="3586" max="3586" width="7" style="10" customWidth="1"/>
    <col min="3587" max="3587" width="4.625" style="10" customWidth="1"/>
    <col min="3588" max="3588" width="3.875" style="10" customWidth="1"/>
    <col min="3589" max="3589" width="8.625" style="10" customWidth="1"/>
    <col min="3590" max="3590" width="4.375" style="10" customWidth="1"/>
    <col min="3591" max="3591" width="45.375" style="10" customWidth="1"/>
    <col min="3592" max="3592" width="9.125" style="10" customWidth="1"/>
    <col min="3593" max="3593" width="11.625" style="10" customWidth="1"/>
    <col min="3594" max="3594" width="18.125" style="10" customWidth="1"/>
    <col min="3595" max="3595" width="24" style="10" customWidth="1"/>
    <col min="3596" max="3596" width="19.875" style="10" customWidth="1"/>
    <col min="3597" max="3597" width="16.875" style="10" customWidth="1"/>
    <col min="3598" max="3598" width="7.125" style="10" customWidth="1"/>
    <col min="3599" max="3599" width="17.875" style="10" customWidth="1"/>
    <col min="3600" max="3600" width="16.375" style="10" customWidth="1"/>
    <col min="3601" max="3601" width="9.875" style="10"/>
    <col min="3602" max="3602" width="17.125" style="10" customWidth="1"/>
    <col min="3603" max="3840" width="9.875" style="10"/>
    <col min="3841" max="3841" width="7.625" style="10" customWidth="1"/>
    <col min="3842" max="3842" width="7" style="10" customWidth="1"/>
    <col min="3843" max="3843" width="4.625" style="10" customWidth="1"/>
    <col min="3844" max="3844" width="3.875" style="10" customWidth="1"/>
    <col min="3845" max="3845" width="8.625" style="10" customWidth="1"/>
    <col min="3846" max="3846" width="4.375" style="10" customWidth="1"/>
    <col min="3847" max="3847" width="45.375" style="10" customWidth="1"/>
    <col min="3848" max="3848" width="9.125" style="10" customWidth="1"/>
    <col min="3849" max="3849" width="11.625" style="10" customWidth="1"/>
    <col min="3850" max="3850" width="18.125" style="10" customWidth="1"/>
    <col min="3851" max="3851" width="24" style="10" customWidth="1"/>
    <col min="3852" max="3852" width="19.875" style="10" customWidth="1"/>
    <col min="3853" max="3853" width="16.875" style="10" customWidth="1"/>
    <col min="3854" max="3854" width="7.125" style="10" customWidth="1"/>
    <col min="3855" max="3855" width="17.875" style="10" customWidth="1"/>
    <col min="3856" max="3856" width="16.375" style="10" customWidth="1"/>
    <col min="3857" max="3857" width="9.875" style="10"/>
    <col min="3858" max="3858" width="17.125" style="10" customWidth="1"/>
    <col min="3859" max="4096" width="9.875" style="10"/>
    <col min="4097" max="4097" width="7.625" style="10" customWidth="1"/>
    <col min="4098" max="4098" width="7" style="10" customWidth="1"/>
    <col min="4099" max="4099" width="4.625" style="10" customWidth="1"/>
    <col min="4100" max="4100" width="3.875" style="10" customWidth="1"/>
    <col min="4101" max="4101" width="8.625" style="10" customWidth="1"/>
    <col min="4102" max="4102" width="4.375" style="10" customWidth="1"/>
    <col min="4103" max="4103" width="45.375" style="10" customWidth="1"/>
    <col min="4104" max="4104" width="9.125" style="10" customWidth="1"/>
    <col min="4105" max="4105" width="11.625" style="10" customWidth="1"/>
    <col min="4106" max="4106" width="18.125" style="10" customWidth="1"/>
    <col min="4107" max="4107" width="24" style="10" customWidth="1"/>
    <col min="4108" max="4108" width="19.875" style="10" customWidth="1"/>
    <col min="4109" max="4109" width="16.875" style="10" customWidth="1"/>
    <col min="4110" max="4110" width="7.125" style="10" customWidth="1"/>
    <col min="4111" max="4111" width="17.875" style="10" customWidth="1"/>
    <col min="4112" max="4112" width="16.375" style="10" customWidth="1"/>
    <col min="4113" max="4113" width="9.875" style="10"/>
    <col min="4114" max="4114" width="17.125" style="10" customWidth="1"/>
    <col min="4115" max="4352" width="9.875" style="10"/>
    <col min="4353" max="4353" width="7.625" style="10" customWidth="1"/>
    <col min="4354" max="4354" width="7" style="10" customWidth="1"/>
    <col min="4355" max="4355" width="4.625" style="10" customWidth="1"/>
    <col min="4356" max="4356" width="3.875" style="10" customWidth="1"/>
    <col min="4357" max="4357" width="8.625" style="10" customWidth="1"/>
    <col min="4358" max="4358" width="4.375" style="10" customWidth="1"/>
    <col min="4359" max="4359" width="45.375" style="10" customWidth="1"/>
    <col min="4360" max="4360" width="9.125" style="10" customWidth="1"/>
    <col min="4361" max="4361" width="11.625" style="10" customWidth="1"/>
    <col min="4362" max="4362" width="18.125" style="10" customWidth="1"/>
    <col min="4363" max="4363" width="24" style="10" customWidth="1"/>
    <col min="4364" max="4364" width="19.875" style="10" customWidth="1"/>
    <col min="4365" max="4365" width="16.875" style="10" customWidth="1"/>
    <col min="4366" max="4366" width="7.125" style="10" customWidth="1"/>
    <col min="4367" max="4367" width="17.875" style="10" customWidth="1"/>
    <col min="4368" max="4368" width="16.375" style="10" customWidth="1"/>
    <col min="4369" max="4369" width="9.875" style="10"/>
    <col min="4370" max="4370" width="17.125" style="10" customWidth="1"/>
    <col min="4371" max="4608" width="9.875" style="10"/>
    <col min="4609" max="4609" width="7.625" style="10" customWidth="1"/>
    <col min="4610" max="4610" width="7" style="10" customWidth="1"/>
    <col min="4611" max="4611" width="4.625" style="10" customWidth="1"/>
    <col min="4612" max="4612" width="3.875" style="10" customWidth="1"/>
    <col min="4613" max="4613" width="8.625" style="10" customWidth="1"/>
    <col min="4614" max="4614" width="4.375" style="10" customWidth="1"/>
    <col min="4615" max="4615" width="45.375" style="10" customWidth="1"/>
    <col min="4616" max="4616" width="9.125" style="10" customWidth="1"/>
    <col min="4617" max="4617" width="11.625" style="10" customWidth="1"/>
    <col min="4618" max="4618" width="18.125" style="10" customWidth="1"/>
    <col min="4619" max="4619" width="24" style="10" customWidth="1"/>
    <col min="4620" max="4620" width="19.875" style="10" customWidth="1"/>
    <col min="4621" max="4621" width="16.875" style="10" customWidth="1"/>
    <col min="4622" max="4622" width="7.125" style="10" customWidth="1"/>
    <col min="4623" max="4623" width="17.875" style="10" customWidth="1"/>
    <col min="4624" max="4624" width="16.375" style="10" customWidth="1"/>
    <col min="4625" max="4625" width="9.875" style="10"/>
    <col min="4626" max="4626" width="17.125" style="10" customWidth="1"/>
    <col min="4627" max="4864" width="9.875" style="10"/>
    <col min="4865" max="4865" width="7.625" style="10" customWidth="1"/>
    <col min="4866" max="4866" width="7" style="10" customWidth="1"/>
    <col min="4867" max="4867" width="4.625" style="10" customWidth="1"/>
    <col min="4868" max="4868" width="3.875" style="10" customWidth="1"/>
    <col min="4869" max="4869" width="8.625" style="10" customWidth="1"/>
    <col min="4870" max="4870" width="4.375" style="10" customWidth="1"/>
    <col min="4871" max="4871" width="45.375" style="10" customWidth="1"/>
    <col min="4872" max="4872" width="9.125" style="10" customWidth="1"/>
    <col min="4873" max="4873" width="11.625" style="10" customWidth="1"/>
    <col min="4874" max="4874" width="18.125" style="10" customWidth="1"/>
    <col min="4875" max="4875" width="24" style="10" customWidth="1"/>
    <col min="4876" max="4876" width="19.875" style="10" customWidth="1"/>
    <col min="4877" max="4877" width="16.875" style="10" customWidth="1"/>
    <col min="4878" max="4878" width="7.125" style="10" customWidth="1"/>
    <col min="4879" max="4879" width="17.875" style="10" customWidth="1"/>
    <col min="4880" max="4880" width="16.375" style="10" customWidth="1"/>
    <col min="4881" max="4881" width="9.875" style="10"/>
    <col min="4882" max="4882" width="17.125" style="10" customWidth="1"/>
    <col min="4883" max="5120" width="9.875" style="10"/>
    <col min="5121" max="5121" width="7.625" style="10" customWidth="1"/>
    <col min="5122" max="5122" width="7" style="10" customWidth="1"/>
    <col min="5123" max="5123" width="4.625" style="10" customWidth="1"/>
    <col min="5124" max="5124" width="3.875" style="10" customWidth="1"/>
    <col min="5125" max="5125" width="8.625" style="10" customWidth="1"/>
    <col min="5126" max="5126" width="4.375" style="10" customWidth="1"/>
    <col min="5127" max="5127" width="45.375" style="10" customWidth="1"/>
    <col min="5128" max="5128" width="9.125" style="10" customWidth="1"/>
    <col min="5129" max="5129" width="11.625" style="10" customWidth="1"/>
    <col min="5130" max="5130" width="18.125" style="10" customWidth="1"/>
    <col min="5131" max="5131" width="24" style="10" customWidth="1"/>
    <col min="5132" max="5132" width="19.875" style="10" customWidth="1"/>
    <col min="5133" max="5133" width="16.875" style="10" customWidth="1"/>
    <col min="5134" max="5134" width="7.125" style="10" customWidth="1"/>
    <col min="5135" max="5135" width="17.875" style="10" customWidth="1"/>
    <col min="5136" max="5136" width="16.375" style="10" customWidth="1"/>
    <col min="5137" max="5137" width="9.875" style="10"/>
    <col min="5138" max="5138" width="17.125" style="10" customWidth="1"/>
    <col min="5139" max="5376" width="9.875" style="10"/>
    <col min="5377" max="5377" width="7.625" style="10" customWidth="1"/>
    <col min="5378" max="5378" width="7" style="10" customWidth="1"/>
    <col min="5379" max="5379" width="4.625" style="10" customWidth="1"/>
    <col min="5380" max="5380" width="3.875" style="10" customWidth="1"/>
    <col min="5381" max="5381" width="8.625" style="10" customWidth="1"/>
    <col min="5382" max="5382" width="4.375" style="10" customWidth="1"/>
    <col min="5383" max="5383" width="45.375" style="10" customWidth="1"/>
    <col min="5384" max="5384" width="9.125" style="10" customWidth="1"/>
    <col min="5385" max="5385" width="11.625" style="10" customWidth="1"/>
    <col min="5386" max="5386" width="18.125" style="10" customWidth="1"/>
    <col min="5387" max="5387" width="24" style="10" customWidth="1"/>
    <col min="5388" max="5388" width="19.875" style="10" customWidth="1"/>
    <col min="5389" max="5389" width="16.875" style="10" customWidth="1"/>
    <col min="5390" max="5390" width="7.125" style="10" customWidth="1"/>
    <col min="5391" max="5391" width="17.875" style="10" customWidth="1"/>
    <col min="5392" max="5392" width="16.375" style="10" customWidth="1"/>
    <col min="5393" max="5393" width="9.875" style="10"/>
    <col min="5394" max="5394" width="17.125" style="10" customWidth="1"/>
    <col min="5395" max="5632" width="9.875" style="10"/>
    <col min="5633" max="5633" width="7.625" style="10" customWidth="1"/>
    <col min="5634" max="5634" width="7" style="10" customWidth="1"/>
    <col min="5635" max="5635" width="4.625" style="10" customWidth="1"/>
    <col min="5636" max="5636" width="3.875" style="10" customWidth="1"/>
    <col min="5637" max="5637" width="8.625" style="10" customWidth="1"/>
    <col min="5638" max="5638" width="4.375" style="10" customWidth="1"/>
    <col min="5639" max="5639" width="45.375" style="10" customWidth="1"/>
    <col min="5640" max="5640" width="9.125" style="10" customWidth="1"/>
    <col min="5641" max="5641" width="11.625" style="10" customWidth="1"/>
    <col min="5642" max="5642" width="18.125" style="10" customWidth="1"/>
    <col min="5643" max="5643" width="24" style="10" customWidth="1"/>
    <col min="5644" max="5644" width="19.875" style="10" customWidth="1"/>
    <col min="5645" max="5645" width="16.875" style="10" customWidth="1"/>
    <col min="5646" max="5646" width="7.125" style="10" customWidth="1"/>
    <col min="5647" max="5647" width="17.875" style="10" customWidth="1"/>
    <col min="5648" max="5648" width="16.375" style="10" customWidth="1"/>
    <col min="5649" max="5649" width="9.875" style="10"/>
    <col min="5650" max="5650" width="17.125" style="10" customWidth="1"/>
    <col min="5651" max="5888" width="9.875" style="10"/>
    <col min="5889" max="5889" width="7.625" style="10" customWidth="1"/>
    <col min="5890" max="5890" width="7" style="10" customWidth="1"/>
    <col min="5891" max="5891" width="4.625" style="10" customWidth="1"/>
    <col min="5892" max="5892" width="3.875" style="10" customWidth="1"/>
    <col min="5893" max="5893" width="8.625" style="10" customWidth="1"/>
    <col min="5894" max="5894" width="4.375" style="10" customWidth="1"/>
    <col min="5895" max="5895" width="45.375" style="10" customWidth="1"/>
    <col min="5896" max="5896" width="9.125" style="10" customWidth="1"/>
    <col min="5897" max="5897" width="11.625" style="10" customWidth="1"/>
    <col min="5898" max="5898" width="18.125" style="10" customWidth="1"/>
    <col min="5899" max="5899" width="24" style="10" customWidth="1"/>
    <col min="5900" max="5900" width="19.875" style="10" customWidth="1"/>
    <col min="5901" max="5901" width="16.875" style="10" customWidth="1"/>
    <col min="5902" max="5902" width="7.125" style="10" customWidth="1"/>
    <col min="5903" max="5903" width="17.875" style="10" customWidth="1"/>
    <col min="5904" max="5904" width="16.375" style="10" customWidth="1"/>
    <col min="5905" max="5905" width="9.875" style="10"/>
    <col min="5906" max="5906" width="17.125" style="10" customWidth="1"/>
    <col min="5907" max="6144" width="9.875" style="10"/>
    <col min="6145" max="6145" width="7.625" style="10" customWidth="1"/>
    <col min="6146" max="6146" width="7" style="10" customWidth="1"/>
    <col min="6147" max="6147" width="4.625" style="10" customWidth="1"/>
    <col min="6148" max="6148" width="3.875" style="10" customWidth="1"/>
    <col min="6149" max="6149" width="8.625" style="10" customWidth="1"/>
    <col min="6150" max="6150" width="4.375" style="10" customWidth="1"/>
    <col min="6151" max="6151" width="45.375" style="10" customWidth="1"/>
    <col min="6152" max="6152" width="9.125" style="10" customWidth="1"/>
    <col min="6153" max="6153" width="11.625" style="10" customWidth="1"/>
    <col min="6154" max="6154" width="18.125" style="10" customWidth="1"/>
    <col min="6155" max="6155" width="24" style="10" customWidth="1"/>
    <col min="6156" max="6156" width="19.875" style="10" customWidth="1"/>
    <col min="6157" max="6157" width="16.875" style="10" customWidth="1"/>
    <col min="6158" max="6158" width="7.125" style="10" customWidth="1"/>
    <col min="6159" max="6159" width="17.875" style="10" customWidth="1"/>
    <col min="6160" max="6160" width="16.375" style="10" customWidth="1"/>
    <col min="6161" max="6161" width="9.875" style="10"/>
    <col min="6162" max="6162" width="17.125" style="10" customWidth="1"/>
    <col min="6163" max="6400" width="9.875" style="10"/>
    <col min="6401" max="6401" width="7.625" style="10" customWidth="1"/>
    <col min="6402" max="6402" width="7" style="10" customWidth="1"/>
    <col min="6403" max="6403" width="4.625" style="10" customWidth="1"/>
    <col min="6404" max="6404" width="3.875" style="10" customWidth="1"/>
    <col min="6405" max="6405" width="8.625" style="10" customWidth="1"/>
    <col min="6406" max="6406" width="4.375" style="10" customWidth="1"/>
    <col min="6407" max="6407" width="45.375" style="10" customWidth="1"/>
    <col min="6408" max="6408" width="9.125" style="10" customWidth="1"/>
    <col min="6409" max="6409" width="11.625" style="10" customWidth="1"/>
    <col min="6410" max="6410" width="18.125" style="10" customWidth="1"/>
    <col min="6411" max="6411" width="24" style="10" customWidth="1"/>
    <col min="6412" max="6412" width="19.875" style="10" customWidth="1"/>
    <col min="6413" max="6413" width="16.875" style="10" customWidth="1"/>
    <col min="6414" max="6414" width="7.125" style="10" customWidth="1"/>
    <col min="6415" max="6415" width="17.875" style="10" customWidth="1"/>
    <col min="6416" max="6416" width="16.375" style="10" customWidth="1"/>
    <col min="6417" max="6417" width="9.875" style="10"/>
    <col min="6418" max="6418" width="17.125" style="10" customWidth="1"/>
    <col min="6419" max="6656" width="9.875" style="10"/>
    <col min="6657" max="6657" width="7.625" style="10" customWidth="1"/>
    <col min="6658" max="6658" width="7" style="10" customWidth="1"/>
    <col min="6659" max="6659" width="4.625" style="10" customWidth="1"/>
    <col min="6660" max="6660" width="3.875" style="10" customWidth="1"/>
    <col min="6661" max="6661" width="8.625" style="10" customWidth="1"/>
    <col min="6662" max="6662" width="4.375" style="10" customWidth="1"/>
    <col min="6663" max="6663" width="45.375" style="10" customWidth="1"/>
    <col min="6664" max="6664" width="9.125" style="10" customWidth="1"/>
    <col min="6665" max="6665" width="11.625" style="10" customWidth="1"/>
    <col min="6666" max="6666" width="18.125" style="10" customWidth="1"/>
    <col min="6667" max="6667" width="24" style="10" customWidth="1"/>
    <col min="6668" max="6668" width="19.875" style="10" customWidth="1"/>
    <col min="6669" max="6669" width="16.875" style="10" customWidth="1"/>
    <col min="6670" max="6670" width="7.125" style="10" customWidth="1"/>
    <col min="6671" max="6671" width="17.875" style="10" customWidth="1"/>
    <col min="6672" max="6672" width="16.375" style="10" customWidth="1"/>
    <col min="6673" max="6673" width="9.875" style="10"/>
    <col min="6674" max="6674" width="17.125" style="10" customWidth="1"/>
    <col min="6675" max="6912" width="9.875" style="10"/>
    <col min="6913" max="6913" width="7.625" style="10" customWidth="1"/>
    <col min="6914" max="6914" width="7" style="10" customWidth="1"/>
    <col min="6915" max="6915" width="4.625" style="10" customWidth="1"/>
    <col min="6916" max="6916" width="3.875" style="10" customWidth="1"/>
    <col min="6917" max="6917" width="8.625" style="10" customWidth="1"/>
    <col min="6918" max="6918" width="4.375" style="10" customWidth="1"/>
    <col min="6919" max="6919" width="45.375" style="10" customWidth="1"/>
    <col min="6920" max="6920" width="9.125" style="10" customWidth="1"/>
    <col min="6921" max="6921" width="11.625" style="10" customWidth="1"/>
    <col min="6922" max="6922" width="18.125" style="10" customWidth="1"/>
    <col min="6923" max="6923" width="24" style="10" customWidth="1"/>
    <col min="6924" max="6924" width="19.875" style="10" customWidth="1"/>
    <col min="6925" max="6925" width="16.875" style="10" customWidth="1"/>
    <col min="6926" max="6926" width="7.125" style="10" customWidth="1"/>
    <col min="6927" max="6927" width="17.875" style="10" customWidth="1"/>
    <col min="6928" max="6928" width="16.375" style="10" customWidth="1"/>
    <col min="6929" max="6929" width="9.875" style="10"/>
    <col min="6930" max="6930" width="17.125" style="10" customWidth="1"/>
    <col min="6931" max="7168" width="9.875" style="10"/>
    <col min="7169" max="7169" width="7.625" style="10" customWidth="1"/>
    <col min="7170" max="7170" width="7" style="10" customWidth="1"/>
    <col min="7171" max="7171" width="4.625" style="10" customWidth="1"/>
    <col min="7172" max="7172" width="3.875" style="10" customWidth="1"/>
    <col min="7173" max="7173" width="8.625" style="10" customWidth="1"/>
    <col min="7174" max="7174" width="4.375" style="10" customWidth="1"/>
    <col min="7175" max="7175" width="45.375" style="10" customWidth="1"/>
    <col min="7176" max="7176" width="9.125" style="10" customWidth="1"/>
    <col min="7177" max="7177" width="11.625" style="10" customWidth="1"/>
    <col min="7178" max="7178" width="18.125" style="10" customWidth="1"/>
    <col min="7179" max="7179" width="24" style="10" customWidth="1"/>
    <col min="7180" max="7180" width="19.875" style="10" customWidth="1"/>
    <col min="7181" max="7181" width="16.875" style="10" customWidth="1"/>
    <col min="7182" max="7182" width="7.125" style="10" customWidth="1"/>
    <col min="7183" max="7183" width="17.875" style="10" customWidth="1"/>
    <col min="7184" max="7184" width="16.375" style="10" customWidth="1"/>
    <col min="7185" max="7185" width="9.875" style="10"/>
    <col min="7186" max="7186" width="17.125" style="10" customWidth="1"/>
    <col min="7187" max="7424" width="9.875" style="10"/>
    <col min="7425" max="7425" width="7.625" style="10" customWidth="1"/>
    <col min="7426" max="7426" width="7" style="10" customWidth="1"/>
    <col min="7427" max="7427" width="4.625" style="10" customWidth="1"/>
    <col min="7428" max="7428" width="3.875" style="10" customWidth="1"/>
    <col min="7429" max="7429" width="8.625" style="10" customWidth="1"/>
    <col min="7430" max="7430" width="4.375" style="10" customWidth="1"/>
    <col min="7431" max="7431" width="45.375" style="10" customWidth="1"/>
    <col min="7432" max="7432" width="9.125" style="10" customWidth="1"/>
    <col min="7433" max="7433" width="11.625" style="10" customWidth="1"/>
    <col min="7434" max="7434" width="18.125" style="10" customWidth="1"/>
    <col min="7435" max="7435" width="24" style="10" customWidth="1"/>
    <col min="7436" max="7436" width="19.875" style="10" customWidth="1"/>
    <col min="7437" max="7437" width="16.875" style="10" customWidth="1"/>
    <col min="7438" max="7438" width="7.125" style="10" customWidth="1"/>
    <col min="7439" max="7439" width="17.875" style="10" customWidth="1"/>
    <col min="7440" max="7440" width="16.375" style="10" customWidth="1"/>
    <col min="7441" max="7441" width="9.875" style="10"/>
    <col min="7442" max="7442" width="17.125" style="10" customWidth="1"/>
    <col min="7443" max="7680" width="9.875" style="10"/>
    <col min="7681" max="7681" width="7.625" style="10" customWidth="1"/>
    <col min="7682" max="7682" width="7" style="10" customWidth="1"/>
    <col min="7683" max="7683" width="4.625" style="10" customWidth="1"/>
    <col min="7684" max="7684" width="3.875" style="10" customWidth="1"/>
    <col min="7685" max="7685" width="8.625" style="10" customWidth="1"/>
    <col min="7686" max="7686" width="4.375" style="10" customWidth="1"/>
    <col min="7687" max="7687" width="45.375" style="10" customWidth="1"/>
    <col min="7688" max="7688" width="9.125" style="10" customWidth="1"/>
    <col min="7689" max="7689" width="11.625" style="10" customWidth="1"/>
    <col min="7690" max="7690" width="18.125" style="10" customWidth="1"/>
    <col min="7691" max="7691" width="24" style="10" customWidth="1"/>
    <col min="7692" max="7692" width="19.875" style="10" customWidth="1"/>
    <col min="7693" max="7693" width="16.875" style="10" customWidth="1"/>
    <col min="7694" max="7694" width="7.125" style="10" customWidth="1"/>
    <col min="7695" max="7695" width="17.875" style="10" customWidth="1"/>
    <col min="7696" max="7696" width="16.375" style="10" customWidth="1"/>
    <col min="7697" max="7697" width="9.875" style="10"/>
    <col min="7698" max="7698" width="17.125" style="10" customWidth="1"/>
    <col min="7699" max="7936" width="9.875" style="10"/>
    <col min="7937" max="7937" width="7.625" style="10" customWidth="1"/>
    <col min="7938" max="7938" width="7" style="10" customWidth="1"/>
    <col min="7939" max="7939" width="4.625" style="10" customWidth="1"/>
    <col min="7940" max="7940" width="3.875" style="10" customWidth="1"/>
    <col min="7941" max="7941" width="8.625" style="10" customWidth="1"/>
    <col min="7942" max="7942" width="4.375" style="10" customWidth="1"/>
    <col min="7943" max="7943" width="45.375" style="10" customWidth="1"/>
    <col min="7944" max="7944" width="9.125" style="10" customWidth="1"/>
    <col min="7945" max="7945" width="11.625" style="10" customWidth="1"/>
    <col min="7946" max="7946" width="18.125" style="10" customWidth="1"/>
    <col min="7947" max="7947" width="24" style="10" customWidth="1"/>
    <col min="7948" max="7948" width="19.875" style="10" customWidth="1"/>
    <col min="7949" max="7949" width="16.875" style="10" customWidth="1"/>
    <col min="7950" max="7950" width="7.125" style="10" customWidth="1"/>
    <col min="7951" max="7951" width="17.875" style="10" customWidth="1"/>
    <col min="7952" max="7952" width="16.375" style="10" customWidth="1"/>
    <col min="7953" max="7953" width="9.875" style="10"/>
    <col min="7954" max="7954" width="17.125" style="10" customWidth="1"/>
    <col min="7955" max="8192" width="9.875" style="10"/>
    <col min="8193" max="8193" width="7.625" style="10" customWidth="1"/>
    <col min="8194" max="8194" width="7" style="10" customWidth="1"/>
    <col min="8195" max="8195" width="4.625" style="10" customWidth="1"/>
    <col min="8196" max="8196" width="3.875" style="10" customWidth="1"/>
    <col min="8197" max="8197" width="8.625" style="10" customWidth="1"/>
    <col min="8198" max="8198" width="4.375" style="10" customWidth="1"/>
    <col min="8199" max="8199" width="45.375" style="10" customWidth="1"/>
    <col min="8200" max="8200" width="9.125" style="10" customWidth="1"/>
    <col min="8201" max="8201" width="11.625" style="10" customWidth="1"/>
    <col min="8202" max="8202" width="18.125" style="10" customWidth="1"/>
    <col min="8203" max="8203" width="24" style="10" customWidth="1"/>
    <col min="8204" max="8204" width="19.875" style="10" customWidth="1"/>
    <col min="8205" max="8205" width="16.875" style="10" customWidth="1"/>
    <col min="8206" max="8206" width="7.125" style="10" customWidth="1"/>
    <col min="8207" max="8207" width="17.875" style="10" customWidth="1"/>
    <col min="8208" max="8208" width="16.375" style="10" customWidth="1"/>
    <col min="8209" max="8209" width="9.875" style="10"/>
    <col min="8210" max="8210" width="17.125" style="10" customWidth="1"/>
    <col min="8211" max="8448" width="9.875" style="10"/>
    <col min="8449" max="8449" width="7.625" style="10" customWidth="1"/>
    <col min="8450" max="8450" width="7" style="10" customWidth="1"/>
    <col min="8451" max="8451" width="4.625" style="10" customWidth="1"/>
    <col min="8452" max="8452" width="3.875" style="10" customWidth="1"/>
    <col min="8453" max="8453" width="8.625" style="10" customWidth="1"/>
    <col min="8454" max="8454" width="4.375" style="10" customWidth="1"/>
    <col min="8455" max="8455" width="45.375" style="10" customWidth="1"/>
    <col min="8456" max="8456" width="9.125" style="10" customWidth="1"/>
    <col min="8457" max="8457" width="11.625" style="10" customWidth="1"/>
    <col min="8458" max="8458" width="18.125" style="10" customWidth="1"/>
    <col min="8459" max="8459" width="24" style="10" customWidth="1"/>
    <col min="8460" max="8460" width="19.875" style="10" customWidth="1"/>
    <col min="8461" max="8461" width="16.875" style="10" customWidth="1"/>
    <col min="8462" max="8462" width="7.125" style="10" customWidth="1"/>
    <col min="8463" max="8463" width="17.875" style="10" customWidth="1"/>
    <col min="8464" max="8464" width="16.375" style="10" customWidth="1"/>
    <col min="8465" max="8465" width="9.875" style="10"/>
    <col min="8466" max="8466" width="17.125" style="10" customWidth="1"/>
    <col min="8467" max="8704" width="9.875" style="10"/>
    <col min="8705" max="8705" width="7.625" style="10" customWidth="1"/>
    <col min="8706" max="8706" width="7" style="10" customWidth="1"/>
    <col min="8707" max="8707" width="4.625" style="10" customWidth="1"/>
    <col min="8708" max="8708" width="3.875" style="10" customWidth="1"/>
    <col min="8709" max="8709" width="8.625" style="10" customWidth="1"/>
    <col min="8710" max="8710" width="4.375" style="10" customWidth="1"/>
    <col min="8711" max="8711" width="45.375" style="10" customWidth="1"/>
    <col min="8712" max="8712" width="9.125" style="10" customWidth="1"/>
    <col min="8713" max="8713" width="11.625" style="10" customWidth="1"/>
    <col min="8714" max="8714" width="18.125" style="10" customWidth="1"/>
    <col min="8715" max="8715" width="24" style="10" customWidth="1"/>
    <col min="8716" max="8716" width="19.875" style="10" customWidth="1"/>
    <col min="8717" max="8717" width="16.875" style="10" customWidth="1"/>
    <col min="8718" max="8718" width="7.125" style="10" customWidth="1"/>
    <col min="8719" max="8719" width="17.875" style="10" customWidth="1"/>
    <col min="8720" max="8720" width="16.375" style="10" customWidth="1"/>
    <col min="8721" max="8721" width="9.875" style="10"/>
    <col min="8722" max="8722" width="17.125" style="10" customWidth="1"/>
    <col min="8723" max="8960" width="9.875" style="10"/>
    <col min="8961" max="8961" width="7.625" style="10" customWidth="1"/>
    <col min="8962" max="8962" width="7" style="10" customWidth="1"/>
    <col min="8963" max="8963" width="4.625" style="10" customWidth="1"/>
    <col min="8964" max="8964" width="3.875" style="10" customWidth="1"/>
    <col min="8965" max="8965" width="8.625" style="10" customWidth="1"/>
    <col min="8966" max="8966" width="4.375" style="10" customWidth="1"/>
    <col min="8967" max="8967" width="45.375" style="10" customWidth="1"/>
    <col min="8968" max="8968" width="9.125" style="10" customWidth="1"/>
    <col min="8969" max="8969" width="11.625" style="10" customWidth="1"/>
    <col min="8970" max="8970" width="18.125" style="10" customWidth="1"/>
    <col min="8971" max="8971" width="24" style="10" customWidth="1"/>
    <col min="8972" max="8972" width="19.875" style="10" customWidth="1"/>
    <col min="8973" max="8973" width="16.875" style="10" customWidth="1"/>
    <col min="8974" max="8974" width="7.125" style="10" customWidth="1"/>
    <col min="8975" max="8975" width="17.875" style="10" customWidth="1"/>
    <col min="8976" max="8976" width="16.375" style="10" customWidth="1"/>
    <col min="8977" max="8977" width="9.875" style="10"/>
    <col min="8978" max="8978" width="17.125" style="10" customWidth="1"/>
    <col min="8979" max="9216" width="9.875" style="10"/>
    <col min="9217" max="9217" width="7.625" style="10" customWidth="1"/>
    <col min="9218" max="9218" width="7" style="10" customWidth="1"/>
    <col min="9219" max="9219" width="4.625" style="10" customWidth="1"/>
    <col min="9220" max="9220" width="3.875" style="10" customWidth="1"/>
    <col min="9221" max="9221" width="8.625" style="10" customWidth="1"/>
    <col min="9222" max="9222" width="4.375" style="10" customWidth="1"/>
    <col min="9223" max="9223" width="45.375" style="10" customWidth="1"/>
    <col min="9224" max="9224" width="9.125" style="10" customWidth="1"/>
    <col min="9225" max="9225" width="11.625" style="10" customWidth="1"/>
    <col min="9226" max="9226" width="18.125" style="10" customWidth="1"/>
    <col min="9227" max="9227" width="24" style="10" customWidth="1"/>
    <col min="9228" max="9228" width="19.875" style="10" customWidth="1"/>
    <col min="9229" max="9229" width="16.875" style="10" customWidth="1"/>
    <col min="9230" max="9230" width="7.125" style="10" customWidth="1"/>
    <col min="9231" max="9231" width="17.875" style="10" customWidth="1"/>
    <col min="9232" max="9232" width="16.375" style="10" customWidth="1"/>
    <col min="9233" max="9233" width="9.875" style="10"/>
    <col min="9234" max="9234" width="17.125" style="10" customWidth="1"/>
    <col min="9235" max="9472" width="9.875" style="10"/>
    <col min="9473" max="9473" width="7.625" style="10" customWidth="1"/>
    <col min="9474" max="9474" width="7" style="10" customWidth="1"/>
    <col min="9475" max="9475" width="4.625" style="10" customWidth="1"/>
    <col min="9476" max="9476" width="3.875" style="10" customWidth="1"/>
    <col min="9477" max="9477" width="8.625" style="10" customWidth="1"/>
    <col min="9478" max="9478" width="4.375" style="10" customWidth="1"/>
    <col min="9479" max="9479" width="45.375" style="10" customWidth="1"/>
    <col min="9480" max="9480" width="9.125" style="10" customWidth="1"/>
    <col min="9481" max="9481" width="11.625" style="10" customWidth="1"/>
    <col min="9482" max="9482" width="18.125" style="10" customWidth="1"/>
    <col min="9483" max="9483" width="24" style="10" customWidth="1"/>
    <col min="9484" max="9484" width="19.875" style="10" customWidth="1"/>
    <col min="9485" max="9485" width="16.875" style="10" customWidth="1"/>
    <col min="9486" max="9486" width="7.125" style="10" customWidth="1"/>
    <col min="9487" max="9487" width="17.875" style="10" customWidth="1"/>
    <col min="9488" max="9488" width="16.375" style="10" customWidth="1"/>
    <col min="9489" max="9489" width="9.875" style="10"/>
    <col min="9490" max="9490" width="17.125" style="10" customWidth="1"/>
    <col min="9491" max="9728" width="9.875" style="10"/>
    <col min="9729" max="9729" width="7.625" style="10" customWidth="1"/>
    <col min="9730" max="9730" width="7" style="10" customWidth="1"/>
    <col min="9731" max="9731" width="4.625" style="10" customWidth="1"/>
    <col min="9732" max="9732" width="3.875" style="10" customWidth="1"/>
    <col min="9733" max="9733" width="8.625" style="10" customWidth="1"/>
    <col min="9734" max="9734" width="4.375" style="10" customWidth="1"/>
    <col min="9735" max="9735" width="45.375" style="10" customWidth="1"/>
    <col min="9736" max="9736" width="9.125" style="10" customWidth="1"/>
    <col min="9737" max="9737" width="11.625" style="10" customWidth="1"/>
    <col min="9738" max="9738" width="18.125" style="10" customWidth="1"/>
    <col min="9739" max="9739" width="24" style="10" customWidth="1"/>
    <col min="9740" max="9740" width="19.875" style="10" customWidth="1"/>
    <col min="9741" max="9741" width="16.875" style="10" customWidth="1"/>
    <col min="9742" max="9742" width="7.125" style="10" customWidth="1"/>
    <col min="9743" max="9743" width="17.875" style="10" customWidth="1"/>
    <col min="9744" max="9744" width="16.375" style="10" customWidth="1"/>
    <col min="9745" max="9745" width="9.875" style="10"/>
    <col min="9746" max="9746" width="17.125" style="10" customWidth="1"/>
    <col min="9747" max="9984" width="9.875" style="10"/>
    <col min="9985" max="9985" width="7.625" style="10" customWidth="1"/>
    <col min="9986" max="9986" width="7" style="10" customWidth="1"/>
    <col min="9987" max="9987" width="4.625" style="10" customWidth="1"/>
    <col min="9988" max="9988" width="3.875" style="10" customWidth="1"/>
    <col min="9989" max="9989" width="8.625" style="10" customWidth="1"/>
    <col min="9990" max="9990" width="4.375" style="10" customWidth="1"/>
    <col min="9991" max="9991" width="45.375" style="10" customWidth="1"/>
    <col min="9992" max="9992" width="9.125" style="10" customWidth="1"/>
    <col min="9993" max="9993" width="11.625" style="10" customWidth="1"/>
    <col min="9994" max="9994" width="18.125" style="10" customWidth="1"/>
    <col min="9995" max="9995" width="24" style="10" customWidth="1"/>
    <col min="9996" max="9996" width="19.875" style="10" customWidth="1"/>
    <col min="9997" max="9997" width="16.875" style="10" customWidth="1"/>
    <col min="9998" max="9998" width="7.125" style="10" customWidth="1"/>
    <col min="9999" max="9999" width="17.875" style="10" customWidth="1"/>
    <col min="10000" max="10000" width="16.375" style="10" customWidth="1"/>
    <col min="10001" max="10001" width="9.875" style="10"/>
    <col min="10002" max="10002" width="17.125" style="10" customWidth="1"/>
    <col min="10003" max="10240" width="9.875" style="10"/>
    <col min="10241" max="10241" width="7.625" style="10" customWidth="1"/>
    <col min="10242" max="10242" width="7" style="10" customWidth="1"/>
    <col min="10243" max="10243" width="4.625" style="10" customWidth="1"/>
    <col min="10244" max="10244" width="3.875" style="10" customWidth="1"/>
    <col min="10245" max="10245" width="8.625" style="10" customWidth="1"/>
    <col min="10246" max="10246" width="4.375" style="10" customWidth="1"/>
    <col min="10247" max="10247" width="45.375" style="10" customWidth="1"/>
    <col min="10248" max="10248" width="9.125" style="10" customWidth="1"/>
    <col min="10249" max="10249" width="11.625" style="10" customWidth="1"/>
    <col min="10250" max="10250" width="18.125" style="10" customWidth="1"/>
    <col min="10251" max="10251" width="24" style="10" customWidth="1"/>
    <col min="10252" max="10252" width="19.875" style="10" customWidth="1"/>
    <col min="10253" max="10253" width="16.875" style="10" customWidth="1"/>
    <col min="10254" max="10254" width="7.125" style="10" customWidth="1"/>
    <col min="10255" max="10255" width="17.875" style="10" customWidth="1"/>
    <col min="10256" max="10256" width="16.375" style="10" customWidth="1"/>
    <col min="10257" max="10257" width="9.875" style="10"/>
    <col min="10258" max="10258" width="17.125" style="10" customWidth="1"/>
    <col min="10259" max="10496" width="9.875" style="10"/>
    <col min="10497" max="10497" width="7.625" style="10" customWidth="1"/>
    <col min="10498" max="10498" width="7" style="10" customWidth="1"/>
    <col min="10499" max="10499" width="4.625" style="10" customWidth="1"/>
    <col min="10500" max="10500" width="3.875" style="10" customWidth="1"/>
    <col min="10501" max="10501" width="8.625" style="10" customWidth="1"/>
    <col min="10502" max="10502" width="4.375" style="10" customWidth="1"/>
    <col min="10503" max="10503" width="45.375" style="10" customWidth="1"/>
    <col min="10504" max="10504" width="9.125" style="10" customWidth="1"/>
    <col min="10505" max="10505" width="11.625" style="10" customWidth="1"/>
    <col min="10506" max="10506" width="18.125" style="10" customWidth="1"/>
    <col min="10507" max="10507" width="24" style="10" customWidth="1"/>
    <col min="10508" max="10508" width="19.875" style="10" customWidth="1"/>
    <col min="10509" max="10509" width="16.875" style="10" customWidth="1"/>
    <col min="10510" max="10510" width="7.125" style="10" customWidth="1"/>
    <col min="10511" max="10511" width="17.875" style="10" customWidth="1"/>
    <col min="10512" max="10512" width="16.375" style="10" customWidth="1"/>
    <col min="10513" max="10513" width="9.875" style="10"/>
    <col min="10514" max="10514" width="17.125" style="10" customWidth="1"/>
    <col min="10515" max="10752" width="9.875" style="10"/>
    <col min="10753" max="10753" width="7.625" style="10" customWidth="1"/>
    <col min="10754" max="10754" width="7" style="10" customWidth="1"/>
    <col min="10755" max="10755" width="4.625" style="10" customWidth="1"/>
    <col min="10756" max="10756" width="3.875" style="10" customWidth="1"/>
    <col min="10757" max="10757" width="8.625" style="10" customWidth="1"/>
    <col min="10758" max="10758" width="4.375" style="10" customWidth="1"/>
    <col min="10759" max="10759" width="45.375" style="10" customWidth="1"/>
    <col min="10760" max="10760" width="9.125" style="10" customWidth="1"/>
    <col min="10761" max="10761" width="11.625" style="10" customWidth="1"/>
    <col min="10762" max="10762" width="18.125" style="10" customWidth="1"/>
    <col min="10763" max="10763" width="24" style="10" customWidth="1"/>
    <col min="10764" max="10764" width="19.875" style="10" customWidth="1"/>
    <col min="10765" max="10765" width="16.875" style="10" customWidth="1"/>
    <col min="10766" max="10766" width="7.125" style="10" customWidth="1"/>
    <col min="10767" max="10767" width="17.875" style="10" customWidth="1"/>
    <col min="10768" max="10768" width="16.375" style="10" customWidth="1"/>
    <col min="10769" max="10769" width="9.875" style="10"/>
    <col min="10770" max="10770" width="17.125" style="10" customWidth="1"/>
    <col min="10771" max="11008" width="9.875" style="10"/>
    <col min="11009" max="11009" width="7.625" style="10" customWidth="1"/>
    <col min="11010" max="11010" width="7" style="10" customWidth="1"/>
    <col min="11011" max="11011" width="4.625" style="10" customWidth="1"/>
    <col min="11012" max="11012" width="3.875" style="10" customWidth="1"/>
    <col min="11013" max="11013" width="8.625" style="10" customWidth="1"/>
    <col min="11014" max="11014" width="4.375" style="10" customWidth="1"/>
    <col min="11015" max="11015" width="45.375" style="10" customWidth="1"/>
    <col min="11016" max="11016" width="9.125" style="10" customWidth="1"/>
    <col min="11017" max="11017" width="11.625" style="10" customWidth="1"/>
    <col min="11018" max="11018" width="18.125" style="10" customWidth="1"/>
    <col min="11019" max="11019" width="24" style="10" customWidth="1"/>
    <col min="11020" max="11020" width="19.875" style="10" customWidth="1"/>
    <col min="11021" max="11021" width="16.875" style="10" customWidth="1"/>
    <col min="11022" max="11022" width="7.125" style="10" customWidth="1"/>
    <col min="11023" max="11023" width="17.875" style="10" customWidth="1"/>
    <col min="11024" max="11024" width="16.375" style="10" customWidth="1"/>
    <col min="11025" max="11025" width="9.875" style="10"/>
    <col min="11026" max="11026" width="17.125" style="10" customWidth="1"/>
    <col min="11027" max="11264" width="9.875" style="10"/>
    <col min="11265" max="11265" width="7.625" style="10" customWidth="1"/>
    <col min="11266" max="11266" width="7" style="10" customWidth="1"/>
    <col min="11267" max="11267" width="4.625" style="10" customWidth="1"/>
    <col min="11268" max="11268" width="3.875" style="10" customWidth="1"/>
    <col min="11269" max="11269" width="8.625" style="10" customWidth="1"/>
    <col min="11270" max="11270" width="4.375" style="10" customWidth="1"/>
    <col min="11271" max="11271" width="45.375" style="10" customWidth="1"/>
    <col min="11272" max="11272" width="9.125" style="10" customWidth="1"/>
    <col min="11273" max="11273" width="11.625" style="10" customWidth="1"/>
    <col min="11274" max="11274" width="18.125" style="10" customWidth="1"/>
    <col min="11275" max="11275" width="24" style="10" customWidth="1"/>
    <col min="11276" max="11276" width="19.875" style="10" customWidth="1"/>
    <col min="11277" max="11277" width="16.875" style="10" customWidth="1"/>
    <col min="11278" max="11278" width="7.125" style="10" customWidth="1"/>
    <col min="11279" max="11279" width="17.875" style="10" customWidth="1"/>
    <col min="11280" max="11280" width="16.375" style="10" customWidth="1"/>
    <col min="11281" max="11281" width="9.875" style="10"/>
    <col min="11282" max="11282" width="17.125" style="10" customWidth="1"/>
    <col min="11283" max="11520" width="9.875" style="10"/>
    <col min="11521" max="11521" width="7.625" style="10" customWidth="1"/>
    <col min="11522" max="11522" width="7" style="10" customWidth="1"/>
    <col min="11523" max="11523" width="4.625" style="10" customWidth="1"/>
    <col min="11524" max="11524" width="3.875" style="10" customWidth="1"/>
    <col min="11525" max="11525" width="8.625" style="10" customWidth="1"/>
    <col min="11526" max="11526" width="4.375" style="10" customWidth="1"/>
    <col min="11527" max="11527" width="45.375" style="10" customWidth="1"/>
    <col min="11528" max="11528" width="9.125" style="10" customWidth="1"/>
    <col min="11529" max="11529" width="11.625" style="10" customWidth="1"/>
    <col min="11530" max="11530" width="18.125" style="10" customWidth="1"/>
    <col min="11531" max="11531" width="24" style="10" customWidth="1"/>
    <col min="11532" max="11532" width="19.875" style="10" customWidth="1"/>
    <col min="11533" max="11533" width="16.875" style="10" customWidth="1"/>
    <col min="11534" max="11534" width="7.125" style="10" customWidth="1"/>
    <col min="11535" max="11535" width="17.875" style="10" customWidth="1"/>
    <col min="11536" max="11536" width="16.375" style="10" customWidth="1"/>
    <col min="11537" max="11537" width="9.875" style="10"/>
    <col min="11538" max="11538" width="17.125" style="10" customWidth="1"/>
    <col min="11539" max="11776" width="9.875" style="10"/>
    <col min="11777" max="11777" width="7.625" style="10" customWidth="1"/>
    <col min="11778" max="11778" width="7" style="10" customWidth="1"/>
    <col min="11779" max="11779" width="4.625" style="10" customWidth="1"/>
    <col min="11780" max="11780" width="3.875" style="10" customWidth="1"/>
    <col min="11781" max="11781" width="8.625" style="10" customWidth="1"/>
    <col min="11782" max="11782" width="4.375" style="10" customWidth="1"/>
    <col min="11783" max="11783" width="45.375" style="10" customWidth="1"/>
    <col min="11784" max="11784" width="9.125" style="10" customWidth="1"/>
    <col min="11785" max="11785" width="11.625" style="10" customWidth="1"/>
    <col min="11786" max="11786" width="18.125" style="10" customWidth="1"/>
    <col min="11787" max="11787" width="24" style="10" customWidth="1"/>
    <col min="11788" max="11788" width="19.875" style="10" customWidth="1"/>
    <col min="11789" max="11789" width="16.875" style="10" customWidth="1"/>
    <col min="11790" max="11790" width="7.125" style="10" customWidth="1"/>
    <col min="11791" max="11791" width="17.875" style="10" customWidth="1"/>
    <col min="11792" max="11792" width="16.375" style="10" customWidth="1"/>
    <col min="11793" max="11793" width="9.875" style="10"/>
    <col min="11794" max="11794" width="17.125" style="10" customWidth="1"/>
    <col min="11795" max="12032" width="9.875" style="10"/>
    <col min="12033" max="12033" width="7.625" style="10" customWidth="1"/>
    <col min="12034" max="12034" width="7" style="10" customWidth="1"/>
    <col min="12035" max="12035" width="4.625" style="10" customWidth="1"/>
    <col min="12036" max="12036" width="3.875" style="10" customWidth="1"/>
    <col min="12037" max="12037" width="8.625" style="10" customWidth="1"/>
    <col min="12038" max="12038" width="4.375" style="10" customWidth="1"/>
    <col min="12039" max="12039" width="45.375" style="10" customWidth="1"/>
    <col min="12040" max="12040" width="9.125" style="10" customWidth="1"/>
    <col min="12041" max="12041" width="11.625" style="10" customWidth="1"/>
    <col min="12042" max="12042" width="18.125" style="10" customWidth="1"/>
    <col min="12043" max="12043" width="24" style="10" customWidth="1"/>
    <col min="12044" max="12044" width="19.875" style="10" customWidth="1"/>
    <col min="12045" max="12045" width="16.875" style="10" customWidth="1"/>
    <col min="12046" max="12046" width="7.125" style="10" customWidth="1"/>
    <col min="12047" max="12047" width="17.875" style="10" customWidth="1"/>
    <col min="12048" max="12048" width="16.375" style="10" customWidth="1"/>
    <col min="12049" max="12049" width="9.875" style="10"/>
    <col min="12050" max="12050" width="17.125" style="10" customWidth="1"/>
    <col min="12051" max="12288" width="9.875" style="10"/>
    <col min="12289" max="12289" width="7.625" style="10" customWidth="1"/>
    <col min="12290" max="12290" width="7" style="10" customWidth="1"/>
    <col min="12291" max="12291" width="4.625" style="10" customWidth="1"/>
    <col min="12292" max="12292" width="3.875" style="10" customWidth="1"/>
    <col min="12293" max="12293" width="8.625" style="10" customWidth="1"/>
    <col min="12294" max="12294" width="4.375" style="10" customWidth="1"/>
    <col min="12295" max="12295" width="45.375" style="10" customWidth="1"/>
    <col min="12296" max="12296" width="9.125" style="10" customWidth="1"/>
    <col min="12297" max="12297" width="11.625" style="10" customWidth="1"/>
    <col min="12298" max="12298" width="18.125" style="10" customWidth="1"/>
    <col min="12299" max="12299" width="24" style="10" customWidth="1"/>
    <col min="12300" max="12300" width="19.875" style="10" customWidth="1"/>
    <col min="12301" max="12301" width="16.875" style="10" customWidth="1"/>
    <col min="12302" max="12302" width="7.125" style="10" customWidth="1"/>
    <col min="12303" max="12303" width="17.875" style="10" customWidth="1"/>
    <col min="12304" max="12304" width="16.375" style="10" customWidth="1"/>
    <col min="12305" max="12305" width="9.875" style="10"/>
    <col min="12306" max="12306" width="17.125" style="10" customWidth="1"/>
    <col min="12307" max="12544" width="9.875" style="10"/>
    <col min="12545" max="12545" width="7.625" style="10" customWidth="1"/>
    <col min="12546" max="12546" width="7" style="10" customWidth="1"/>
    <col min="12547" max="12547" width="4.625" style="10" customWidth="1"/>
    <col min="12548" max="12548" width="3.875" style="10" customWidth="1"/>
    <col min="12549" max="12549" width="8.625" style="10" customWidth="1"/>
    <col min="12550" max="12550" width="4.375" style="10" customWidth="1"/>
    <col min="12551" max="12551" width="45.375" style="10" customWidth="1"/>
    <col min="12552" max="12552" width="9.125" style="10" customWidth="1"/>
    <col min="12553" max="12553" width="11.625" style="10" customWidth="1"/>
    <col min="12554" max="12554" width="18.125" style="10" customWidth="1"/>
    <col min="12555" max="12555" width="24" style="10" customWidth="1"/>
    <col min="12556" max="12556" width="19.875" style="10" customWidth="1"/>
    <col min="12557" max="12557" width="16.875" style="10" customWidth="1"/>
    <col min="12558" max="12558" width="7.125" style="10" customWidth="1"/>
    <col min="12559" max="12559" width="17.875" style="10" customWidth="1"/>
    <col min="12560" max="12560" width="16.375" style="10" customWidth="1"/>
    <col min="12561" max="12561" width="9.875" style="10"/>
    <col min="12562" max="12562" width="17.125" style="10" customWidth="1"/>
    <col min="12563" max="12800" width="9.875" style="10"/>
    <col min="12801" max="12801" width="7.625" style="10" customWidth="1"/>
    <col min="12802" max="12802" width="7" style="10" customWidth="1"/>
    <col min="12803" max="12803" width="4.625" style="10" customWidth="1"/>
    <col min="12804" max="12804" width="3.875" style="10" customWidth="1"/>
    <col min="12805" max="12805" width="8.625" style="10" customWidth="1"/>
    <col min="12806" max="12806" width="4.375" style="10" customWidth="1"/>
    <col min="12807" max="12807" width="45.375" style="10" customWidth="1"/>
    <col min="12808" max="12808" width="9.125" style="10" customWidth="1"/>
    <col min="12809" max="12809" width="11.625" style="10" customWidth="1"/>
    <col min="12810" max="12810" width="18.125" style="10" customWidth="1"/>
    <col min="12811" max="12811" width="24" style="10" customWidth="1"/>
    <col min="12812" max="12812" width="19.875" style="10" customWidth="1"/>
    <col min="12813" max="12813" width="16.875" style="10" customWidth="1"/>
    <col min="12814" max="12814" width="7.125" style="10" customWidth="1"/>
    <col min="12815" max="12815" width="17.875" style="10" customWidth="1"/>
    <col min="12816" max="12816" width="16.375" style="10" customWidth="1"/>
    <col min="12817" max="12817" width="9.875" style="10"/>
    <col min="12818" max="12818" width="17.125" style="10" customWidth="1"/>
    <col min="12819" max="13056" width="9.875" style="10"/>
    <col min="13057" max="13057" width="7.625" style="10" customWidth="1"/>
    <col min="13058" max="13058" width="7" style="10" customWidth="1"/>
    <col min="13059" max="13059" width="4.625" style="10" customWidth="1"/>
    <col min="13060" max="13060" width="3.875" style="10" customWidth="1"/>
    <col min="13061" max="13061" width="8.625" style="10" customWidth="1"/>
    <col min="13062" max="13062" width="4.375" style="10" customWidth="1"/>
    <col min="13063" max="13063" width="45.375" style="10" customWidth="1"/>
    <col min="13064" max="13064" width="9.125" style="10" customWidth="1"/>
    <col min="13065" max="13065" width="11.625" style="10" customWidth="1"/>
    <col min="13066" max="13066" width="18.125" style="10" customWidth="1"/>
    <col min="13067" max="13067" width="24" style="10" customWidth="1"/>
    <col min="13068" max="13068" width="19.875" style="10" customWidth="1"/>
    <col min="13069" max="13069" width="16.875" style="10" customWidth="1"/>
    <col min="13070" max="13070" width="7.125" style="10" customWidth="1"/>
    <col min="13071" max="13071" width="17.875" style="10" customWidth="1"/>
    <col min="13072" max="13072" width="16.375" style="10" customWidth="1"/>
    <col min="13073" max="13073" width="9.875" style="10"/>
    <col min="13074" max="13074" width="17.125" style="10" customWidth="1"/>
    <col min="13075" max="13312" width="9.875" style="10"/>
    <col min="13313" max="13313" width="7.625" style="10" customWidth="1"/>
    <col min="13314" max="13314" width="7" style="10" customWidth="1"/>
    <col min="13315" max="13315" width="4.625" style="10" customWidth="1"/>
    <col min="13316" max="13316" width="3.875" style="10" customWidth="1"/>
    <col min="13317" max="13317" width="8.625" style="10" customWidth="1"/>
    <col min="13318" max="13318" width="4.375" style="10" customWidth="1"/>
    <col min="13319" max="13319" width="45.375" style="10" customWidth="1"/>
    <col min="13320" max="13320" width="9.125" style="10" customWidth="1"/>
    <col min="13321" max="13321" width="11.625" style="10" customWidth="1"/>
    <col min="13322" max="13322" width="18.125" style="10" customWidth="1"/>
    <col min="13323" max="13323" width="24" style="10" customWidth="1"/>
    <col min="13324" max="13324" width="19.875" style="10" customWidth="1"/>
    <col min="13325" max="13325" width="16.875" style="10" customWidth="1"/>
    <col min="13326" max="13326" width="7.125" style="10" customWidth="1"/>
    <col min="13327" max="13327" width="17.875" style="10" customWidth="1"/>
    <col min="13328" max="13328" width="16.375" style="10" customWidth="1"/>
    <col min="13329" max="13329" width="9.875" style="10"/>
    <col min="13330" max="13330" width="17.125" style="10" customWidth="1"/>
    <col min="13331" max="13568" width="9.875" style="10"/>
    <col min="13569" max="13569" width="7.625" style="10" customWidth="1"/>
    <col min="13570" max="13570" width="7" style="10" customWidth="1"/>
    <col min="13571" max="13571" width="4.625" style="10" customWidth="1"/>
    <col min="13572" max="13572" width="3.875" style="10" customWidth="1"/>
    <col min="13573" max="13573" width="8.625" style="10" customWidth="1"/>
    <col min="13574" max="13574" width="4.375" style="10" customWidth="1"/>
    <col min="13575" max="13575" width="45.375" style="10" customWidth="1"/>
    <col min="13576" max="13576" width="9.125" style="10" customWidth="1"/>
    <col min="13577" max="13577" width="11.625" style="10" customWidth="1"/>
    <col min="13578" max="13578" width="18.125" style="10" customWidth="1"/>
    <col min="13579" max="13579" width="24" style="10" customWidth="1"/>
    <col min="13580" max="13580" width="19.875" style="10" customWidth="1"/>
    <col min="13581" max="13581" width="16.875" style="10" customWidth="1"/>
    <col min="13582" max="13582" width="7.125" style="10" customWidth="1"/>
    <col min="13583" max="13583" width="17.875" style="10" customWidth="1"/>
    <col min="13584" max="13584" width="16.375" style="10" customWidth="1"/>
    <col min="13585" max="13585" width="9.875" style="10"/>
    <col min="13586" max="13586" width="17.125" style="10" customWidth="1"/>
    <col min="13587" max="13824" width="9.875" style="10"/>
    <col min="13825" max="13825" width="7.625" style="10" customWidth="1"/>
    <col min="13826" max="13826" width="7" style="10" customWidth="1"/>
    <col min="13827" max="13827" width="4.625" style="10" customWidth="1"/>
    <col min="13828" max="13828" width="3.875" style="10" customWidth="1"/>
    <col min="13829" max="13829" width="8.625" style="10" customWidth="1"/>
    <col min="13830" max="13830" width="4.375" style="10" customWidth="1"/>
    <col min="13831" max="13831" width="45.375" style="10" customWidth="1"/>
    <col min="13832" max="13832" width="9.125" style="10" customWidth="1"/>
    <col min="13833" max="13833" width="11.625" style="10" customWidth="1"/>
    <col min="13834" max="13834" width="18.125" style="10" customWidth="1"/>
    <col min="13835" max="13835" width="24" style="10" customWidth="1"/>
    <col min="13836" max="13836" width="19.875" style="10" customWidth="1"/>
    <col min="13837" max="13837" width="16.875" style="10" customWidth="1"/>
    <col min="13838" max="13838" width="7.125" style="10" customWidth="1"/>
    <col min="13839" max="13839" width="17.875" style="10" customWidth="1"/>
    <col min="13840" max="13840" width="16.375" style="10" customWidth="1"/>
    <col min="13841" max="13841" width="9.875" style="10"/>
    <col min="13842" max="13842" width="17.125" style="10" customWidth="1"/>
    <col min="13843" max="14080" width="9.875" style="10"/>
    <col min="14081" max="14081" width="7.625" style="10" customWidth="1"/>
    <col min="14082" max="14082" width="7" style="10" customWidth="1"/>
    <col min="14083" max="14083" width="4.625" style="10" customWidth="1"/>
    <col min="14084" max="14084" width="3.875" style="10" customWidth="1"/>
    <col min="14085" max="14085" width="8.625" style="10" customWidth="1"/>
    <col min="14086" max="14086" width="4.375" style="10" customWidth="1"/>
    <col min="14087" max="14087" width="45.375" style="10" customWidth="1"/>
    <col min="14088" max="14088" width="9.125" style="10" customWidth="1"/>
    <col min="14089" max="14089" width="11.625" style="10" customWidth="1"/>
    <col min="14090" max="14090" width="18.125" style="10" customWidth="1"/>
    <col min="14091" max="14091" width="24" style="10" customWidth="1"/>
    <col min="14092" max="14092" width="19.875" style="10" customWidth="1"/>
    <col min="14093" max="14093" width="16.875" style="10" customWidth="1"/>
    <col min="14094" max="14094" width="7.125" style="10" customWidth="1"/>
    <col min="14095" max="14095" width="17.875" style="10" customWidth="1"/>
    <col min="14096" max="14096" width="16.375" style="10" customWidth="1"/>
    <col min="14097" max="14097" width="9.875" style="10"/>
    <col min="14098" max="14098" width="17.125" style="10" customWidth="1"/>
    <col min="14099" max="14336" width="9.875" style="10"/>
    <col min="14337" max="14337" width="7.625" style="10" customWidth="1"/>
    <col min="14338" max="14338" width="7" style="10" customWidth="1"/>
    <col min="14339" max="14339" width="4.625" style="10" customWidth="1"/>
    <col min="14340" max="14340" width="3.875" style="10" customWidth="1"/>
    <col min="14341" max="14341" width="8.625" style="10" customWidth="1"/>
    <col min="14342" max="14342" width="4.375" style="10" customWidth="1"/>
    <col min="14343" max="14343" width="45.375" style="10" customWidth="1"/>
    <col min="14344" max="14344" width="9.125" style="10" customWidth="1"/>
    <col min="14345" max="14345" width="11.625" style="10" customWidth="1"/>
    <col min="14346" max="14346" width="18.125" style="10" customWidth="1"/>
    <col min="14347" max="14347" width="24" style="10" customWidth="1"/>
    <col min="14348" max="14348" width="19.875" style="10" customWidth="1"/>
    <col min="14349" max="14349" width="16.875" style="10" customWidth="1"/>
    <col min="14350" max="14350" width="7.125" style="10" customWidth="1"/>
    <col min="14351" max="14351" width="17.875" style="10" customWidth="1"/>
    <col min="14352" max="14352" width="16.375" style="10" customWidth="1"/>
    <col min="14353" max="14353" width="9.875" style="10"/>
    <col min="14354" max="14354" width="17.125" style="10" customWidth="1"/>
    <col min="14355" max="14592" width="9.875" style="10"/>
    <col min="14593" max="14593" width="7.625" style="10" customWidth="1"/>
    <col min="14594" max="14594" width="7" style="10" customWidth="1"/>
    <col min="14595" max="14595" width="4.625" style="10" customWidth="1"/>
    <col min="14596" max="14596" width="3.875" style="10" customWidth="1"/>
    <col min="14597" max="14597" width="8.625" style="10" customWidth="1"/>
    <col min="14598" max="14598" width="4.375" style="10" customWidth="1"/>
    <col min="14599" max="14599" width="45.375" style="10" customWidth="1"/>
    <col min="14600" max="14600" width="9.125" style="10" customWidth="1"/>
    <col min="14601" max="14601" width="11.625" style="10" customWidth="1"/>
    <col min="14602" max="14602" width="18.125" style="10" customWidth="1"/>
    <col min="14603" max="14603" width="24" style="10" customWidth="1"/>
    <col min="14604" max="14604" width="19.875" style="10" customWidth="1"/>
    <col min="14605" max="14605" width="16.875" style="10" customWidth="1"/>
    <col min="14606" max="14606" width="7.125" style="10" customWidth="1"/>
    <col min="14607" max="14607" width="17.875" style="10" customWidth="1"/>
    <col min="14608" max="14608" width="16.375" style="10" customWidth="1"/>
    <col min="14609" max="14609" width="9.875" style="10"/>
    <col min="14610" max="14610" width="17.125" style="10" customWidth="1"/>
    <col min="14611" max="14848" width="9.875" style="10"/>
    <col min="14849" max="14849" width="7.625" style="10" customWidth="1"/>
    <col min="14850" max="14850" width="7" style="10" customWidth="1"/>
    <col min="14851" max="14851" width="4.625" style="10" customWidth="1"/>
    <col min="14852" max="14852" width="3.875" style="10" customWidth="1"/>
    <col min="14853" max="14853" width="8.625" style="10" customWidth="1"/>
    <col min="14854" max="14854" width="4.375" style="10" customWidth="1"/>
    <col min="14855" max="14855" width="45.375" style="10" customWidth="1"/>
    <col min="14856" max="14856" width="9.125" style="10" customWidth="1"/>
    <col min="14857" max="14857" width="11.625" style="10" customWidth="1"/>
    <col min="14858" max="14858" width="18.125" style="10" customWidth="1"/>
    <col min="14859" max="14859" width="24" style="10" customWidth="1"/>
    <col min="14860" max="14860" width="19.875" style="10" customWidth="1"/>
    <col min="14861" max="14861" width="16.875" style="10" customWidth="1"/>
    <col min="14862" max="14862" width="7.125" style="10" customWidth="1"/>
    <col min="14863" max="14863" width="17.875" style="10" customWidth="1"/>
    <col min="14864" max="14864" width="16.375" style="10" customWidth="1"/>
    <col min="14865" max="14865" width="9.875" style="10"/>
    <col min="14866" max="14866" width="17.125" style="10" customWidth="1"/>
    <col min="14867" max="15104" width="9.875" style="10"/>
    <col min="15105" max="15105" width="7.625" style="10" customWidth="1"/>
    <col min="15106" max="15106" width="7" style="10" customWidth="1"/>
    <col min="15107" max="15107" width="4.625" style="10" customWidth="1"/>
    <col min="15108" max="15108" width="3.875" style="10" customWidth="1"/>
    <col min="15109" max="15109" width="8.625" style="10" customWidth="1"/>
    <col min="15110" max="15110" width="4.375" style="10" customWidth="1"/>
    <col min="15111" max="15111" width="45.375" style="10" customWidth="1"/>
    <col min="15112" max="15112" width="9.125" style="10" customWidth="1"/>
    <col min="15113" max="15113" width="11.625" style="10" customWidth="1"/>
    <col min="15114" max="15114" width="18.125" style="10" customWidth="1"/>
    <col min="15115" max="15115" width="24" style="10" customWidth="1"/>
    <col min="15116" max="15116" width="19.875" style="10" customWidth="1"/>
    <col min="15117" max="15117" width="16.875" style="10" customWidth="1"/>
    <col min="15118" max="15118" width="7.125" style="10" customWidth="1"/>
    <col min="15119" max="15119" width="17.875" style="10" customWidth="1"/>
    <col min="15120" max="15120" width="16.375" style="10" customWidth="1"/>
    <col min="15121" max="15121" width="9.875" style="10"/>
    <col min="15122" max="15122" width="17.125" style="10" customWidth="1"/>
    <col min="15123" max="15360" width="9.875" style="10"/>
    <col min="15361" max="15361" width="7.625" style="10" customWidth="1"/>
    <col min="15362" max="15362" width="7" style="10" customWidth="1"/>
    <col min="15363" max="15363" width="4.625" style="10" customWidth="1"/>
    <col min="15364" max="15364" width="3.875" style="10" customWidth="1"/>
    <col min="15365" max="15365" width="8.625" style="10" customWidth="1"/>
    <col min="15366" max="15366" width="4.375" style="10" customWidth="1"/>
    <col min="15367" max="15367" width="45.375" style="10" customWidth="1"/>
    <col min="15368" max="15368" width="9.125" style="10" customWidth="1"/>
    <col min="15369" max="15369" width="11.625" style="10" customWidth="1"/>
    <col min="15370" max="15370" width="18.125" style="10" customWidth="1"/>
    <col min="15371" max="15371" width="24" style="10" customWidth="1"/>
    <col min="15372" max="15372" width="19.875" style="10" customWidth="1"/>
    <col min="15373" max="15373" width="16.875" style="10" customWidth="1"/>
    <col min="15374" max="15374" width="7.125" style="10" customWidth="1"/>
    <col min="15375" max="15375" width="17.875" style="10" customWidth="1"/>
    <col min="15376" max="15376" width="16.375" style="10" customWidth="1"/>
    <col min="15377" max="15377" width="9.875" style="10"/>
    <col min="15378" max="15378" width="17.125" style="10" customWidth="1"/>
    <col min="15379" max="15616" width="9.875" style="10"/>
    <col min="15617" max="15617" width="7.625" style="10" customWidth="1"/>
    <col min="15618" max="15618" width="7" style="10" customWidth="1"/>
    <col min="15619" max="15619" width="4.625" style="10" customWidth="1"/>
    <col min="15620" max="15620" width="3.875" style="10" customWidth="1"/>
    <col min="15621" max="15621" width="8.625" style="10" customWidth="1"/>
    <col min="15622" max="15622" width="4.375" style="10" customWidth="1"/>
    <col min="15623" max="15623" width="45.375" style="10" customWidth="1"/>
    <col min="15624" max="15624" width="9.125" style="10" customWidth="1"/>
    <col min="15625" max="15625" width="11.625" style="10" customWidth="1"/>
    <col min="15626" max="15626" width="18.125" style="10" customWidth="1"/>
    <col min="15627" max="15627" width="24" style="10" customWidth="1"/>
    <col min="15628" max="15628" width="19.875" style="10" customWidth="1"/>
    <col min="15629" max="15629" width="16.875" style="10" customWidth="1"/>
    <col min="15630" max="15630" width="7.125" style="10" customWidth="1"/>
    <col min="15631" max="15631" width="17.875" style="10" customWidth="1"/>
    <col min="15632" max="15632" width="16.375" style="10" customWidth="1"/>
    <col min="15633" max="15633" width="9.875" style="10"/>
    <col min="15634" max="15634" width="17.125" style="10" customWidth="1"/>
    <col min="15635" max="15872" width="9.875" style="10"/>
    <col min="15873" max="15873" width="7.625" style="10" customWidth="1"/>
    <col min="15874" max="15874" width="7" style="10" customWidth="1"/>
    <col min="15875" max="15875" width="4.625" style="10" customWidth="1"/>
    <col min="15876" max="15876" width="3.875" style="10" customWidth="1"/>
    <col min="15877" max="15877" width="8.625" style="10" customWidth="1"/>
    <col min="15878" max="15878" width="4.375" style="10" customWidth="1"/>
    <col min="15879" max="15879" width="45.375" style="10" customWidth="1"/>
    <col min="15880" max="15880" width="9.125" style="10" customWidth="1"/>
    <col min="15881" max="15881" width="11.625" style="10" customWidth="1"/>
    <col min="15882" max="15882" width="18.125" style="10" customWidth="1"/>
    <col min="15883" max="15883" width="24" style="10" customWidth="1"/>
    <col min="15884" max="15884" width="19.875" style="10" customWidth="1"/>
    <col min="15885" max="15885" width="16.875" style="10" customWidth="1"/>
    <col min="15886" max="15886" width="7.125" style="10" customWidth="1"/>
    <col min="15887" max="15887" width="17.875" style="10" customWidth="1"/>
    <col min="15888" max="15888" width="16.375" style="10" customWidth="1"/>
    <col min="15889" max="15889" width="9.875" style="10"/>
    <col min="15890" max="15890" width="17.125" style="10" customWidth="1"/>
    <col min="15891" max="16128" width="9.875" style="10"/>
    <col min="16129" max="16129" width="7.625" style="10" customWidth="1"/>
    <col min="16130" max="16130" width="7" style="10" customWidth="1"/>
    <col min="16131" max="16131" width="4.625" style="10" customWidth="1"/>
    <col min="16132" max="16132" width="3.875" style="10" customWidth="1"/>
    <col min="16133" max="16133" width="8.625" style="10" customWidth="1"/>
    <col min="16134" max="16134" width="4.375" style="10" customWidth="1"/>
    <col min="16135" max="16135" width="45.375" style="10" customWidth="1"/>
    <col min="16136" max="16136" width="9.125" style="10" customWidth="1"/>
    <col min="16137" max="16137" width="11.625" style="10" customWidth="1"/>
    <col min="16138" max="16138" width="18.125" style="10" customWidth="1"/>
    <col min="16139" max="16139" width="24" style="10" customWidth="1"/>
    <col min="16140" max="16140" width="19.875" style="10" customWidth="1"/>
    <col min="16141" max="16141" width="16.875" style="10" customWidth="1"/>
    <col min="16142" max="16142" width="7.125" style="10" customWidth="1"/>
    <col min="16143" max="16143" width="17.875" style="10" customWidth="1"/>
    <col min="16144" max="16144" width="16.375" style="10" customWidth="1"/>
    <col min="16145" max="16145" width="9.875" style="10"/>
    <col min="16146" max="16146" width="17.125" style="10" customWidth="1"/>
    <col min="16147" max="16384" width="9.875" style="10"/>
  </cols>
  <sheetData>
    <row r="2" spans="2:11" x14ac:dyDescent="0.3">
      <c r="B2" s="1"/>
      <c r="C2" s="1"/>
      <c r="D2" s="1"/>
      <c r="E2" s="1"/>
      <c r="F2" s="1"/>
      <c r="G2" s="1"/>
      <c r="H2" s="1"/>
      <c r="I2" s="297"/>
      <c r="J2" s="297"/>
      <c r="K2" s="780">
        <v>6</v>
      </c>
    </row>
    <row r="3" spans="2:11" ht="15.6" x14ac:dyDescent="0.3">
      <c r="B3" s="1531" t="s">
        <v>696</v>
      </c>
      <c r="C3" s="1531"/>
      <c r="D3" s="1531"/>
      <c r="E3" s="1531"/>
      <c r="F3" s="1531"/>
      <c r="G3" s="1531"/>
      <c r="H3" s="1531"/>
      <c r="I3" s="1531"/>
      <c r="J3" s="1531"/>
      <c r="K3" s="1531"/>
    </row>
    <row r="4" spans="2:11" ht="15.6" x14ac:dyDescent="0.3">
      <c r="B4" s="1532" t="s">
        <v>694</v>
      </c>
      <c r="C4" s="1532"/>
      <c r="D4" s="1532"/>
      <c r="E4" s="1532"/>
      <c r="F4" s="1532"/>
      <c r="G4" s="1532"/>
      <c r="H4" s="1532"/>
      <c r="I4" s="1532"/>
      <c r="J4" s="1532"/>
      <c r="K4" s="1532"/>
    </row>
    <row r="5" spans="2:11" ht="15.6" x14ac:dyDescent="0.3">
      <c r="B5" s="1532" t="s">
        <v>870</v>
      </c>
      <c r="C5" s="1532"/>
      <c r="D5" s="1532"/>
      <c r="E5" s="1532"/>
      <c r="F5" s="1532"/>
      <c r="G5" s="1532"/>
      <c r="H5" s="1532"/>
      <c r="I5" s="1532"/>
      <c r="J5" s="1532"/>
      <c r="K5" s="1532"/>
    </row>
    <row r="6" spans="2:11" ht="15.6" x14ac:dyDescent="0.3">
      <c r="B6" s="745"/>
      <c r="C6" s="745"/>
      <c r="D6" s="745"/>
      <c r="E6" s="745"/>
      <c r="F6" s="745"/>
      <c r="G6" s="745"/>
      <c r="H6" s="745"/>
      <c r="I6" s="745"/>
      <c r="J6" s="745"/>
      <c r="K6" s="745"/>
    </row>
    <row r="7" spans="2:11" ht="15.6" x14ac:dyDescent="0.3">
      <c r="B7" s="14" t="s">
        <v>1</v>
      </c>
      <c r="C7" s="1"/>
      <c r="D7" s="1"/>
      <c r="E7" s="1"/>
      <c r="F7" s="106" t="s">
        <v>2</v>
      </c>
      <c r="G7" s="249" t="s">
        <v>660</v>
      </c>
      <c r="H7" s="745"/>
      <c r="I7" s="745"/>
      <c r="J7" s="745"/>
      <c r="K7" s="745"/>
    </row>
    <row r="8" spans="2:11" ht="15.6" x14ac:dyDescent="0.3">
      <c r="B8" s="14" t="s">
        <v>3</v>
      </c>
      <c r="C8" s="1"/>
      <c r="D8" s="1"/>
      <c r="E8" s="1"/>
      <c r="F8" s="106" t="s">
        <v>2</v>
      </c>
      <c r="G8" s="1" t="s">
        <v>591</v>
      </c>
      <c r="H8" s="745"/>
      <c r="I8" s="745"/>
      <c r="J8" s="745"/>
      <c r="K8" s="745"/>
    </row>
    <row r="9" spans="2:11" ht="15.6" x14ac:dyDescent="0.3">
      <c r="B9" s="14" t="s">
        <v>4</v>
      </c>
      <c r="C9" s="1"/>
      <c r="D9" s="1"/>
      <c r="E9" s="1"/>
      <c r="F9" s="106" t="s">
        <v>2</v>
      </c>
      <c r="G9" s="1" t="s">
        <v>592</v>
      </c>
      <c r="H9" s="745"/>
      <c r="I9" s="745"/>
      <c r="J9" s="745"/>
      <c r="K9" s="745"/>
    </row>
    <row r="10" spans="2:11" ht="15.6" x14ac:dyDescent="0.3">
      <c r="B10" s="14" t="s">
        <v>518</v>
      </c>
      <c r="C10" s="1"/>
      <c r="D10" s="1"/>
      <c r="E10" s="1"/>
      <c r="F10" s="106" t="s">
        <v>2</v>
      </c>
      <c r="G10" s="836" t="s">
        <v>1043</v>
      </c>
      <c r="H10" s="745"/>
      <c r="I10" s="745"/>
      <c r="J10" s="745"/>
      <c r="K10" s="745"/>
    </row>
    <row r="11" spans="2:11" ht="15.6" x14ac:dyDescent="0.3">
      <c r="B11" s="14" t="s">
        <v>5</v>
      </c>
      <c r="C11" s="1"/>
      <c r="D11" s="1"/>
      <c r="E11" s="1"/>
      <c r="F11" s="106" t="s">
        <v>2</v>
      </c>
      <c r="G11" s="836" t="s">
        <v>1044</v>
      </c>
      <c r="H11" s="745"/>
      <c r="I11" s="745"/>
      <c r="J11" s="745"/>
      <c r="K11" s="745"/>
    </row>
    <row r="12" spans="2:11" ht="15.6" x14ac:dyDescent="0.3">
      <c r="B12" s="14" t="s">
        <v>519</v>
      </c>
      <c r="C12" s="1"/>
      <c r="D12" s="1"/>
      <c r="E12" s="1"/>
      <c r="F12" s="106" t="s">
        <v>2</v>
      </c>
      <c r="G12" s="249" t="s">
        <v>1041</v>
      </c>
      <c r="H12" s="745"/>
      <c r="I12" s="745"/>
      <c r="J12" s="745"/>
      <c r="K12" s="745"/>
    </row>
    <row r="13" spans="2:11" ht="15.6" x14ac:dyDescent="0.3">
      <c r="B13" s="14" t="s">
        <v>6</v>
      </c>
      <c r="C13" s="1"/>
      <c r="D13" s="1"/>
      <c r="E13" s="1"/>
      <c r="F13" s="106" t="s">
        <v>2</v>
      </c>
      <c r="G13" s="249" t="s">
        <v>980</v>
      </c>
      <c r="H13" s="745"/>
      <c r="I13" s="745"/>
      <c r="J13" s="745"/>
      <c r="K13" s="745"/>
    </row>
    <row r="14" spans="2:11" ht="15.6" x14ac:dyDescent="0.3">
      <c r="B14" s="14" t="s">
        <v>7</v>
      </c>
      <c r="C14" s="1"/>
      <c r="D14" s="1"/>
      <c r="E14" s="1"/>
      <c r="F14" s="106" t="s">
        <v>2</v>
      </c>
      <c r="G14" s="317">
        <v>2026</v>
      </c>
      <c r="H14" s="745"/>
      <c r="I14" s="745"/>
      <c r="J14" s="745"/>
      <c r="K14" s="745"/>
    </row>
    <row r="15" spans="2:11" ht="15.6" x14ac:dyDescent="0.3">
      <c r="B15" s="14"/>
      <c r="C15" s="1"/>
      <c r="D15" s="1"/>
      <c r="E15" s="1"/>
      <c r="F15" s="106"/>
      <c r="G15" s="317"/>
      <c r="H15" s="745"/>
      <c r="I15" s="745"/>
      <c r="J15" s="745"/>
      <c r="K15" s="745"/>
    </row>
    <row r="16" spans="2:11" ht="15.6" x14ac:dyDescent="0.3">
      <c r="B16" s="1533" t="s">
        <v>695</v>
      </c>
      <c r="C16" s="1533"/>
      <c r="D16" s="1533"/>
      <c r="E16" s="1533"/>
      <c r="F16" s="1533"/>
      <c r="G16" s="1533"/>
      <c r="H16" s="1533"/>
      <c r="I16" s="1533"/>
      <c r="J16" s="1533"/>
      <c r="K16" s="1533"/>
    </row>
    <row r="17" spans="2:11" ht="14.4" thickBot="1" x14ac:dyDescent="0.35">
      <c r="B17" s="318"/>
      <c r="C17" s="100"/>
      <c r="D17" s="100"/>
      <c r="E17" s="100"/>
      <c r="F17" s="100"/>
      <c r="G17" s="100"/>
      <c r="H17" s="100"/>
      <c r="I17" s="297"/>
      <c r="J17" s="314"/>
      <c r="K17" s="319" t="s">
        <v>8</v>
      </c>
    </row>
    <row r="18" spans="2:11" ht="13.8" customHeight="1" x14ac:dyDescent="0.3">
      <c r="B18" s="1512" t="s">
        <v>9</v>
      </c>
      <c r="C18" s="1523" t="s">
        <v>10</v>
      </c>
      <c r="D18" s="1524"/>
      <c r="E18" s="1524"/>
      <c r="F18" s="1524"/>
      <c r="G18" s="1524"/>
      <c r="H18" s="782"/>
      <c r="I18" s="782"/>
      <c r="J18" s="1515" t="s">
        <v>219</v>
      </c>
      <c r="K18" s="1516"/>
    </row>
    <row r="19" spans="2:11" x14ac:dyDescent="0.3">
      <c r="B19" s="1513"/>
      <c r="C19" s="1525"/>
      <c r="D19" s="1526"/>
      <c r="E19" s="1526"/>
      <c r="F19" s="1526"/>
      <c r="G19" s="1526"/>
      <c r="H19" s="783" t="s">
        <v>210</v>
      </c>
      <c r="I19" s="783" t="s">
        <v>526</v>
      </c>
      <c r="J19" s="1517"/>
      <c r="K19" s="1518"/>
    </row>
    <row r="20" spans="2:11" ht="14.4" thickBot="1" x14ac:dyDescent="0.35">
      <c r="B20" s="1514"/>
      <c r="C20" s="1527"/>
      <c r="D20" s="1528"/>
      <c r="E20" s="1528"/>
      <c r="F20" s="1528"/>
      <c r="G20" s="1528"/>
      <c r="H20" s="784"/>
      <c r="I20" s="784"/>
      <c r="J20" s="1519"/>
      <c r="K20" s="1520"/>
    </row>
    <row r="21" spans="2:11" ht="14.4" thickTop="1" x14ac:dyDescent="0.3">
      <c r="B21" s="320"/>
      <c r="C21" s="100"/>
      <c r="D21" s="100"/>
      <c r="E21" s="100"/>
      <c r="F21" s="100"/>
      <c r="G21" s="100"/>
      <c r="H21" s="785"/>
      <c r="I21" s="786"/>
      <c r="J21" s="322"/>
      <c r="K21" s="323"/>
    </row>
    <row r="22" spans="2:11" x14ac:dyDescent="0.3">
      <c r="B22" s="129" t="str">
        <f>B79</f>
        <v>I</v>
      </c>
      <c r="C22" s="11" t="str">
        <f>+C79</f>
        <v>PEKERJAAN PERSIAPAN</v>
      </c>
      <c r="D22" s="324"/>
      <c r="E22" s="100"/>
      <c r="F22" s="100"/>
      <c r="G22" s="100"/>
      <c r="H22" s="787" t="s">
        <v>698</v>
      </c>
      <c r="I22" s="788">
        <v>1</v>
      </c>
      <c r="J22" s="325" t="s">
        <v>520</v>
      </c>
      <c r="K22" s="323">
        <f>K90</f>
        <v>3750000</v>
      </c>
    </row>
    <row r="23" spans="2:11" x14ac:dyDescent="0.3">
      <c r="B23" s="129"/>
      <c r="C23" s="11"/>
      <c r="D23" s="324"/>
      <c r="E23" s="100"/>
      <c r="F23" s="100"/>
      <c r="G23" s="100"/>
      <c r="H23" s="785"/>
      <c r="I23" s="788"/>
      <c r="J23" s="325"/>
      <c r="K23" s="323"/>
    </row>
    <row r="24" spans="2:11" x14ac:dyDescent="0.3">
      <c r="B24" s="129" t="str">
        <f>B92</f>
        <v>II</v>
      </c>
      <c r="C24" s="11" t="str">
        <f>C92</f>
        <v>PEMBUATAN SUMUR BOR (SATS) TYPE 49 M  DIA. 6"</v>
      </c>
      <c r="D24" s="324"/>
      <c r="E24" s="100"/>
      <c r="F24" s="100"/>
      <c r="G24" s="100"/>
      <c r="H24" s="787" t="s">
        <v>699</v>
      </c>
      <c r="I24" s="788">
        <v>1</v>
      </c>
      <c r="J24" s="325" t="s">
        <v>520</v>
      </c>
      <c r="K24" s="323">
        <f>K120</f>
        <v>73904004.159989282</v>
      </c>
    </row>
    <row r="25" spans="2:11" x14ac:dyDescent="0.3">
      <c r="B25" s="129"/>
      <c r="C25" s="11"/>
      <c r="D25" s="324"/>
      <c r="E25" s="100"/>
      <c r="F25" s="100"/>
      <c r="G25" s="100"/>
      <c r="H25" s="785"/>
      <c r="I25" s="788"/>
      <c r="J25" s="325"/>
      <c r="K25" s="323"/>
    </row>
    <row r="26" spans="2:11" x14ac:dyDescent="0.3">
      <c r="B26" s="129" t="str">
        <f>B122</f>
        <v>III</v>
      </c>
      <c r="C26" s="11" t="str">
        <f>C122</f>
        <v xml:space="preserve">PENYAMBUNGAN LISTRIK PLN </v>
      </c>
      <c r="D26" s="324"/>
      <c r="E26" s="100"/>
      <c r="F26" s="100"/>
      <c r="G26" s="100"/>
      <c r="H26" s="787" t="s">
        <v>699</v>
      </c>
      <c r="I26" s="788">
        <v>1</v>
      </c>
      <c r="J26" s="325" t="s">
        <v>520</v>
      </c>
      <c r="K26" s="323">
        <f>K125</f>
        <v>4000000</v>
      </c>
    </row>
    <row r="27" spans="2:11" x14ac:dyDescent="0.3">
      <c r="B27" s="129"/>
      <c r="C27" s="11"/>
      <c r="D27" s="324"/>
      <c r="E27" s="100"/>
      <c r="F27" s="100"/>
      <c r="G27" s="100"/>
      <c r="H27" s="785"/>
      <c r="I27" s="788"/>
      <c r="J27" s="325"/>
      <c r="K27" s="323"/>
    </row>
    <row r="28" spans="2:11" x14ac:dyDescent="0.3">
      <c r="B28" s="129" t="str">
        <f>B127</f>
        <v>IV</v>
      </c>
      <c r="C28" s="11" t="str">
        <f>+C127</f>
        <v>PENGADAAN DAN PEMASANGAN PIPA DAN ASESORIS</v>
      </c>
      <c r="D28" s="324"/>
      <c r="E28" s="100"/>
      <c r="F28" s="100"/>
      <c r="G28" s="100"/>
      <c r="H28" s="787" t="s">
        <v>698</v>
      </c>
      <c r="I28" s="788">
        <v>1</v>
      </c>
      <c r="J28" s="325" t="s">
        <v>520</v>
      </c>
      <c r="K28" s="323">
        <f>K205</f>
        <v>2364193.915</v>
      </c>
    </row>
    <row r="29" spans="2:11" x14ac:dyDescent="0.3">
      <c r="B29" s="129"/>
      <c r="C29" s="11"/>
      <c r="D29" s="324"/>
      <c r="E29" s="100"/>
      <c r="F29" s="100"/>
      <c r="G29" s="100"/>
      <c r="H29" s="785"/>
      <c r="I29" s="788"/>
      <c r="J29" s="325"/>
      <c r="K29" s="323"/>
    </row>
    <row r="30" spans="2:11" x14ac:dyDescent="0.3">
      <c r="B30" s="129" t="str">
        <f>B255</f>
        <v>V</v>
      </c>
      <c r="C30" s="1250" t="str">
        <f>C255</f>
        <v>KRAN UMUM (KU)</v>
      </c>
      <c r="D30" s="324"/>
      <c r="E30" s="100"/>
      <c r="F30" s="100"/>
      <c r="G30" s="100"/>
      <c r="H30" s="787" t="s">
        <v>699</v>
      </c>
      <c r="I30" s="788">
        <v>1</v>
      </c>
      <c r="J30" s="325" t="s">
        <v>520</v>
      </c>
      <c r="K30" s="323">
        <f>K291</f>
        <v>5070270.4447499998</v>
      </c>
    </row>
    <row r="31" spans="2:11" x14ac:dyDescent="0.3">
      <c r="B31" s="129"/>
      <c r="C31" s="11"/>
      <c r="D31" s="324"/>
      <c r="E31" s="100"/>
      <c r="F31" s="100"/>
      <c r="G31" s="100"/>
      <c r="H31" s="785"/>
      <c r="I31" s="788"/>
      <c r="J31" s="325"/>
      <c r="K31" s="323"/>
    </row>
    <row r="32" spans="2:11" hidden="1" x14ac:dyDescent="0.3">
      <c r="B32" s="129" t="str">
        <f>B222</f>
        <v>V</v>
      </c>
      <c r="C32" s="326" t="str">
        <f>C222</f>
        <v xml:space="preserve">PEKERJAAN SAMBUNGAN RUMAH </v>
      </c>
      <c r="D32" s="324"/>
      <c r="E32" s="100"/>
      <c r="F32" s="100"/>
      <c r="G32" s="100"/>
      <c r="H32" s="787" t="s">
        <v>699</v>
      </c>
      <c r="I32" s="788">
        <f>I224</f>
        <v>0</v>
      </c>
      <c r="J32" s="325" t="s">
        <v>520</v>
      </c>
      <c r="K32" s="323">
        <f>K253</f>
        <v>0</v>
      </c>
    </row>
    <row r="33" spans="2:15" hidden="1" x14ac:dyDescent="0.3">
      <c r="B33" s="129"/>
      <c r="C33" s="326"/>
      <c r="D33" s="324"/>
      <c r="E33" s="100"/>
      <c r="F33" s="100"/>
      <c r="G33" s="100"/>
      <c r="H33" s="785"/>
      <c r="I33" s="788"/>
      <c r="J33" s="325"/>
      <c r="K33" s="323"/>
    </row>
    <row r="34" spans="2:15" hidden="1" x14ac:dyDescent="0.3">
      <c r="B34" s="129" t="str">
        <f>B293</f>
        <v>V</v>
      </c>
      <c r="C34" s="326" t="str">
        <f>C293</f>
        <v>PEMBUATAN RESERVOIR 25 M3</v>
      </c>
      <c r="D34" s="324"/>
      <c r="E34" s="100"/>
      <c r="F34" s="100"/>
      <c r="G34" s="100"/>
      <c r="H34" s="787" t="s">
        <v>699</v>
      </c>
      <c r="I34" s="788">
        <v>1</v>
      </c>
      <c r="J34" s="325" t="s">
        <v>520</v>
      </c>
      <c r="K34" s="323">
        <f>K342</f>
        <v>0</v>
      </c>
    </row>
    <row r="35" spans="2:15" hidden="1" x14ac:dyDescent="0.3">
      <c r="B35" s="129"/>
      <c r="C35" s="326"/>
      <c r="D35" s="324"/>
      <c r="E35" s="100"/>
      <c r="F35" s="100"/>
      <c r="G35" s="100"/>
      <c r="H35" s="785"/>
      <c r="I35" s="788"/>
      <c r="J35" s="325"/>
      <c r="K35" s="323"/>
    </row>
    <row r="36" spans="2:15" hidden="1" x14ac:dyDescent="0.3">
      <c r="B36" s="129" t="str">
        <f>B344</f>
        <v>VI</v>
      </c>
      <c r="C36" s="326" t="str">
        <f>C344</f>
        <v>PEKERJAAN PERLINTASAN ( CROSSING, JEMBATAN PIPA )</v>
      </c>
      <c r="D36" s="324"/>
      <c r="E36" s="100"/>
      <c r="F36" s="100"/>
      <c r="G36" s="100"/>
      <c r="H36" s="787" t="s">
        <v>699</v>
      </c>
      <c r="I36" s="788">
        <v>1</v>
      </c>
      <c r="J36" s="325" t="s">
        <v>520</v>
      </c>
      <c r="K36" s="323">
        <f>K355</f>
        <v>0</v>
      </c>
    </row>
    <row r="37" spans="2:15" hidden="1" x14ac:dyDescent="0.3">
      <c r="B37" s="129"/>
      <c r="C37" s="326"/>
      <c r="D37" s="324"/>
      <c r="E37" s="100"/>
      <c r="F37" s="100"/>
      <c r="G37" s="100"/>
      <c r="H37" s="785"/>
      <c r="I37" s="788"/>
      <c r="J37" s="325"/>
      <c r="K37" s="323"/>
    </row>
    <row r="38" spans="2:15" x14ac:dyDescent="0.3">
      <c r="B38" s="129" t="str">
        <f>B357</f>
        <v>VI</v>
      </c>
      <c r="C38" s="1521" t="str">
        <f>C357</f>
        <v>PENYELENGGARAAN SISTEM MANAJEMEN KESELAMATAN KONSTRUKSI (SMKK)</v>
      </c>
      <c r="D38" s="1522"/>
      <c r="E38" s="1522"/>
      <c r="F38" s="1522"/>
      <c r="G38" s="1522"/>
      <c r="H38" s="787" t="s">
        <v>698</v>
      </c>
      <c r="I38" s="788">
        <v>1</v>
      </c>
      <c r="J38" s="325" t="s">
        <v>520</v>
      </c>
      <c r="K38" s="323">
        <f>K390</f>
        <v>1000000</v>
      </c>
    </row>
    <row r="39" spans="2:15" x14ac:dyDescent="0.3">
      <c r="B39" s="129"/>
      <c r="C39" s="1521"/>
      <c r="D39" s="1522"/>
      <c r="E39" s="1522"/>
      <c r="F39" s="1522"/>
      <c r="G39" s="1522"/>
      <c r="H39" s="785"/>
      <c r="I39" s="786"/>
      <c r="J39" s="325"/>
      <c r="K39" s="323"/>
    </row>
    <row r="40" spans="2:15" x14ac:dyDescent="0.3">
      <c r="B40" s="127"/>
      <c r="C40" s="324"/>
      <c r="D40" s="324"/>
      <c r="E40" s="100"/>
      <c r="F40" s="100"/>
      <c r="G40" s="100"/>
      <c r="H40" s="177"/>
      <c r="I40" s="403"/>
      <c r="J40" s="327"/>
      <c r="K40" s="323"/>
    </row>
    <row r="41" spans="2:15" x14ac:dyDescent="0.3">
      <c r="B41" s="723"/>
      <c r="C41" s="724" t="s">
        <v>521</v>
      </c>
      <c r="D41" s="724"/>
      <c r="E41" s="725"/>
      <c r="F41" s="725"/>
      <c r="G41" s="725"/>
      <c r="H41" s="725"/>
      <c r="I41" s="726"/>
      <c r="J41" s="727" t="s">
        <v>520</v>
      </c>
      <c r="K41" s="728">
        <f>SUM(K22:K40)</f>
        <v>90088468.519739285</v>
      </c>
    </row>
    <row r="42" spans="2:15" x14ac:dyDescent="0.3">
      <c r="B42" s="729"/>
      <c r="C42" s="708" t="s">
        <v>869</v>
      </c>
      <c r="D42" s="708"/>
      <c r="E42" s="409"/>
      <c r="F42" s="409"/>
      <c r="G42" s="409"/>
      <c r="H42" s="409"/>
      <c r="I42" s="709"/>
      <c r="J42" s="710" t="s">
        <v>520</v>
      </c>
      <c r="K42" s="711">
        <f>+K41*0.11</f>
        <v>9909731.537171321</v>
      </c>
    </row>
    <row r="43" spans="2:15" x14ac:dyDescent="0.3">
      <c r="B43" s="729"/>
      <c r="C43" s="708" t="s">
        <v>522</v>
      </c>
      <c r="D43" s="708"/>
      <c r="E43" s="409"/>
      <c r="F43" s="409"/>
      <c r="G43" s="409"/>
      <c r="H43" s="409"/>
      <c r="I43" s="709"/>
      <c r="J43" s="710" t="s">
        <v>520</v>
      </c>
      <c r="K43" s="711">
        <f>+K42+K41</f>
        <v>99998200.056910604</v>
      </c>
    </row>
    <row r="44" spans="2:15" x14ac:dyDescent="0.3">
      <c r="B44" s="730"/>
      <c r="C44" s="731" t="s">
        <v>622</v>
      </c>
      <c r="D44" s="731"/>
      <c r="E44" s="732"/>
      <c r="F44" s="732"/>
      <c r="G44" s="732"/>
      <c r="H44" s="732"/>
      <c r="I44" s="733"/>
      <c r="J44" s="710" t="s">
        <v>520</v>
      </c>
      <c r="K44" s="734">
        <f>INT(K43/100)*100</f>
        <v>99998200</v>
      </c>
      <c r="L44" s="313">
        <v>100000000</v>
      </c>
      <c r="M44" s="10" t="s">
        <v>590</v>
      </c>
      <c r="O44" s="329"/>
    </row>
    <row r="45" spans="2:15" ht="12.75" customHeight="1" x14ac:dyDescent="0.3">
      <c r="B45" s="735"/>
      <c r="C45" s="736" t="s">
        <v>523</v>
      </c>
      <c r="D45" s="736"/>
      <c r="E45" s="586"/>
      <c r="F45" s="586" t="s">
        <v>2</v>
      </c>
      <c r="G45" s="737" t="str">
        <f>UPPER([30]!terbilang(K44)&amp;" RUPIAH")</f>
        <v xml:space="preserve"> SEMBILAN PULUH SEMBILAN JUTA SEMBILAN RATUS SEMBILAN PULUH DELAPAN RIBU DUA RATUS RUPIAH</v>
      </c>
      <c r="H45" s="738"/>
      <c r="I45" s="738"/>
      <c r="J45" s="738"/>
      <c r="K45" s="739"/>
      <c r="L45" s="313">
        <f>K44-L44</f>
        <v>-1800</v>
      </c>
    </row>
    <row r="46" spans="2:15" x14ac:dyDescent="0.3">
      <c r="B46" s="740"/>
      <c r="C46" s="741"/>
      <c r="D46" s="741"/>
      <c r="E46" s="686"/>
      <c r="F46" s="686"/>
      <c r="G46" s="742"/>
      <c r="H46" s="742"/>
      <c r="I46" s="742"/>
      <c r="J46" s="742"/>
      <c r="K46" s="743"/>
    </row>
    <row r="47" spans="2:15" ht="14.4" thickBot="1" x14ac:dyDescent="0.35">
      <c r="B47" s="330"/>
      <c r="C47" s="511" t="s">
        <v>1015</v>
      </c>
      <c r="D47" s="331"/>
      <c r="E47" s="9"/>
      <c r="F47" s="9"/>
      <c r="G47" s="9"/>
      <c r="H47" s="9"/>
      <c r="I47" s="332"/>
      <c r="J47" s="332"/>
      <c r="K47" s="333"/>
    </row>
    <row r="48" spans="2:15" x14ac:dyDescent="0.3">
      <c r="B48" s="1"/>
      <c r="C48" s="1"/>
      <c r="D48" s="1"/>
      <c r="E48" s="1"/>
      <c r="F48" s="1"/>
      <c r="G48" s="1"/>
      <c r="H48" s="1"/>
      <c r="I48" s="297"/>
      <c r="J48" s="297"/>
      <c r="K48" s="297"/>
    </row>
    <row r="49" spans="2:13" x14ac:dyDescent="0.3">
      <c r="B49" s="1"/>
      <c r="C49" s="1"/>
      <c r="D49" s="1"/>
      <c r="E49" s="1"/>
      <c r="F49" s="1"/>
      <c r="G49" s="1"/>
      <c r="H49" s="1"/>
      <c r="I49" s="297"/>
      <c r="J49" s="297"/>
      <c r="K49" s="297"/>
    </row>
    <row r="50" spans="2:13" x14ac:dyDescent="0.3">
      <c r="B50" s="1"/>
      <c r="C50" s="1"/>
      <c r="D50" s="1"/>
      <c r="E50" s="1"/>
      <c r="F50" s="1"/>
      <c r="G50" s="1"/>
      <c r="I50" s="297"/>
      <c r="J50" s="429" t="s">
        <v>917</v>
      </c>
      <c r="K50" s="297"/>
      <c r="L50" s="329"/>
      <c r="M50" s="329"/>
    </row>
    <row r="51" spans="2:13" x14ac:dyDescent="0.3">
      <c r="B51" s="1"/>
      <c r="C51" s="1"/>
      <c r="D51" s="1"/>
      <c r="E51" s="1"/>
      <c r="F51" s="1"/>
      <c r="G51" s="1"/>
      <c r="I51" s="335"/>
      <c r="J51" s="336"/>
      <c r="K51" s="337"/>
      <c r="L51" s="329"/>
      <c r="M51" s="329"/>
    </row>
    <row r="52" spans="2:13" x14ac:dyDescent="0.3">
      <c r="B52" s="1"/>
      <c r="C52" s="1"/>
      <c r="D52" s="1"/>
      <c r="E52" s="1"/>
      <c r="F52" s="1"/>
      <c r="G52" s="1"/>
      <c r="I52" s="297"/>
      <c r="J52" s="334" t="s">
        <v>524</v>
      </c>
      <c r="K52" s="297"/>
    </row>
    <row r="53" spans="2:13" x14ac:dyDescent="0.3">
      <c r="B53" s="1"/>
      <c r="C53" s="1"/>
      <c r="D53" s="1"/>
      <c r="E53" s="1"/>
      <c r="F53" s="1"/>
      <c r="G53" s="1"/>
      <c r="I53" s="297"/>
      <c r="J53" s="429" t="s">
        <v>586</v>
      </c>
      <c r="K53" s="297"/>
    </row>
    <row r="54" spans="2:13" x14ac:dyDescent="0.3">
      <c r="B54" s="1"/>
      <c r="C54" s="1"/>
      <c r="D54" s="1"/>
      <c r="E54" s="1"/>
      <c r="F54" s="1"/>
      <c r="G54" s="1"/>
      <c r="I54" s="297"/>
      <c r="J54" s="429" t="s">
        <v>661</v>
      </c>
      <c r="K54" s="297"/>
    </row>
    <row r="55" spans="2:13" x14ac:dyDescent="0.3">
      <c r="B55" s="1"/>
      <c r="C55" s="1"/>
      <c r="D55" s="1"/>
      <c r="E55" s="1"/>
      <c r="F55" s="1"/>
      <c r="G55" s="1"/>
      <c r="I55" s="297"/>
      <c r="J55" s="429" t="s">
        <v>625</v>
      </c>
      <c r="K55" s="297"/>
    </row>
    <row r="56" spans="2:13" x14ac:dyDescent="0.3">
      <c r="B56" s="1"/>
      <c r="C56" s="1"/>
      <c r="D56" s="1"/>
      <c r="E56" s="1"/>
      <c r="F56" s="1"/>
      <c r="G56" s="1"/>
      <c r="I56" s="334"/>
      <c r="J56" s="334"/>
      <c r="K56" s="334"/>
    </row>
    <row r="57" spans="2:13" x14ac:dyDescent="0.3">
      <c r="B57" s="1"/>
      <c r="C57" s="1"/>
      <c r="D57" s="1"/>
      <c r="E57" s="1"/>
      <c r="F57" s="1"/>
      <c r="G57" s="338"/>
      <c r="I57" s="339"/>
      <c r="J57" s="340"/>
      <c r="K57" s="334"/>
    </row>
    <row r="58" spans="2:13" x14ac:dyDescent="0.3">
      <c r="B58" s="1"/>
      <c r="C58" s="1"/>
      <c r="D58" s="1"/>
      <c r="E58" s="1"/>
      <c r="F58" s="1"/>
      <c r="G58" s="341"/>
      <c r="I58" s="297"/>
      <c r="J58" s="334"/>
      <c r="K58" s="334"/>
    </row>
    <row r="59" spans="2:13" x14ac:dyDescent="0.3">
      <c r="B59" s="1"/>
      <c r="C59" s="1"/>
      <c r="D59" s="1"/>
      <c r="E59" s="1"/>
      <c r="F59" s="1"/>
      <c r="G59" s="1"/>
      <c r="I59" s="342"/>
      <c r="J59" s="334"/>
      <c r="K59" s="334"/>
    </row>
    <row r="60" spans="2:13" x14ac:dyDescent="0.3">
      <c r="B60" s="1549"/>
      <c r="C60" s="1549"/>
      <c r="D60" s="1549"/>
      <c r="E60" s="1549"/>
      <c r="F60" s="1549"/>
      <c r="G60" s="1549"/>
      <c r="I60" s="343"/>
      <c r="J60" s="344" t="s">
        <v>1014</v>
      </c>
      <c r="K60" s="343"/>
    </row>
    <row r="61" spans="2:13" x14ac:dyDescent="0.3">
      <c r="B61" s="1550"/>
      <c r="C61" s="1550"/>
      <c r="D61" s="1550"/>
      <c r="E61" s="1550"/>
      <c r="F61" s="1550"/>
      <c r="G61" s="1550"/>
      <c r="I61" s="297"/>
      <c r="J61" s="334" t="s">
        <v>916</v>
      </c>
      <c r="K61" s="297"/>
    </row>
    <row r="62" spans="2:13" x14ac:dyDescent="0.3">
      <c r="B62" s="106"/>
      <c r="C62" s="106"/>
      <c r="D62" s="106"/>
      <c r="E62" s="106"/>
      <c r="F62" s="106"/>
      <c r="G62" s="106"/>
      <c r="H62" s="1"/>
      <c r="I62" s="297"/>
      <c r="J62" s="297"/>
      <c r="K62" s="297"/>
    </row>
    <row r="63" spans="2:13" x14ac:dyDescent="0.3">
      <c r="B63" s="106"/>
      <c r="C63" s="106"/>
      <c r="D63" s="106"/>
      <c r="E63" s="106"/>
      <c r="F63" s="106"/>
      <c r="G63" s="106"/>
      <c r="H63" s="106"/>
      <c r="I63" s="345"/>
      <c r="J63" s="345"/>
      <c r="K63" s="345"/>
    </row>
    <row r="64" spans="2:13" ht="15.6" x14ac:dyDescent="0.3">
      <c r="B64" s="315" t="s">
        <v>696</v>
      </c>
      <c r="C64" s="1"/>
      <c r="D64" s="1"/>
      <c r="E64" s="1"/>
      <c r="F64" s="1"/>
      <c r="G64" s="1"/>
      <c r="H64" s="1"/>
      <c r="I64" s="297"/>
      <c r="J64" s="297"/>
      <c r="K64" s="297"/>
    </row>
    <row r="65" spans="2:11" ht="15.6" x14ac:dyDescent="0.3">
      <c r="B65" s="315"/>
      <c r="C65" s="1"/>
      <c r="D65" s="1"/>
      <c r="E65" s="1"/>
      <c r="F65" s="1"/>
      <c r="G65" s="1"/>
      <c r="H65" s="1"/>
      <c r="I65" s="297"/>
      <c r="J65" s="297"/>
      <c r="K65" s="297"/>
    </row>
    <row r="66" spans="2:11" x14ac:dyDescent="0.3">
      <c r="B66" s="346" t="s">
        <v>1</v>
      </c>
      <c r="C66" s="3"/>
      <c r="D66" s="3"/>
      <c r="E66" s="3"/>
      <c r="F66" s="106" t="s">
        <v>2</v>
      </c>
      <c r="G66" s="3" t="str">
        <f t="shared" ref="G66:G73" si="0">G7</f>
        <v>DINAS PERUMAHAN DAN KAWASAN PERMUKIMAN KABUPATEN CIANJUR</v>
      </c>
      <c r="H66" s="1"/>
      <c r="I66" s="314"/>
      <c r="J66" s="297"/>
      <c r="K66" s="297"/>
    </row>
    <row r="67" spans="2:11" x14ac:dyDescent="0.3">
      <c r="B67" s="346" t="s">
        <v>3</v>
      </c>
      <c r="C67" s="3"/>
      <c r="D67" s="3"/>
      <c r="E67" s="3"/>
      <c r="F67" s="106" t="s">
        <v>2</v>
      </c>
      <c r="G67" s="3" t="str">
        <f t="shared" si="0"/>
        <v>PROGRAM PENGELOLAAN DAN PENGEMBANGAN SISTEM PENYEDIAAN AIR MINUM</v>
      </c>
      <c r="H67" s="1"/>
      <c r="I67" s="314"/>
      <c r="J67" s="297"/>
      <c r="K67" s="297"/>
    </row>
    <row r="68" spans="2:11" x14ac:dyDescent="0.3">
      <c r="B68" s="346" t="s">
        <v>4</v>
      </c>
      <c r="C68" s="3"/>
      <c r="D68" s="3"/>
      <c r="E68" s="3"/>
      <c r="F68" s="106" t="s">
        <v>2</v>
      </c>
      <c r="G68" s="3" t="str">
        <f t="shared" si="0"/>
        <v>PENGELOLAAN DAN PENGEMBANGAN SISTEM PENYEDIAAN AIR MINUM (SPAM) DI DAERAH KABUPATEN/KOTA</v>
      </c>
      <c r="H68" s="1"/>
      <c r="I68" s="314"/>
      <c r="J68" s="297"/>
      <c r="K68" s="297"/>
    </row>
    <row r="69" spans="2:11" x14ac:dyDescent="0.3">
      <c r="B69" s="346" t="s">
        <v>518</v>
      </c>
      <c r="C69" s="3"/>
      <c r="D69" s="3"/>
      <c r="E69" s="3"/>
      <c r="F69" s="106" t="s">
        <v>2</v>
      </c>
      <c r="G69" s="3" t="str">
        <f t="shared" si="0"/>
        <v>PEMBANGUNAN SPAM BUKAN JARINGAN PERPIPAAN DI KAWASAN PERDESAAN</v>
      </c>
      <c r="H69" s="1"/>
      <c r="I69" s="314"/>
      <c r="J69" s="297"/>
      <c r="K69" s="297"/>
    </row>
    <row r="70" spans="2:11" ht="12.75" customHeight="1" x14ac:dyDescent="0.3">
      <c r="B70" s="346" t="s">
        <v>5</v>
      </c>
      <c r="C70" s="3"/>
      <c r="D70" s="3"/>
      <c r="E70" s="3"/>
      <c r="F70" s="106" t="s">
        <v>2</v>
      </c>
      <c r="G70" s="3" t="str">
        <f t="shared" si="0"/>
        <v>KURANGYA AIR BERSIH PESANTREN AL MARUF RT.03 RW.01 KP.BOBOJONG DESA BOBOJONG KECAMATAN MANDE</v>
      </c>
      <c r="H70" s="341"/>
      <c r="I70" s="341"/>
      <c r="J70" s="341"/>
      <c r="K70" s="341"/>
    </row>
    <row r="71" spans="2:11" x14ac:dyDescent="0.3">
      <c r="B71" s="346" t="s">
        <v>519</v>
      </c>
      <c r="C71" s="3"/>
      <c r="D71" s="3"/>
      <c r="E71" s="3"/>
      <c r="F71" s="106" t="s">
        <v>2</v>
      </c>
      <c r="G71" s="3" t="str">
        <f t="shared" si="0"/>
        <v>PESANTREN AL MARUF RT.03 RW.01 KP.BOBOJONG DESA BOBOJONG KECAMATAN MANDE</v>
      </c>
      <c r="H71" s="316"/>
      <c r="I71" s="314"/>
      <c r="J71" s="297"/>
      <c r="K71" s="297"/>
    </row>
    <row r="72" spans="2:11" x14ac:dyDescent="0.3">
      <c r="B72" s="346" t="s">
        <v>6</v>
      </c>
      <c r="C72" s="3"/>
      <c r="D72" s="3"/>
      <c r="E72" s="3"/>
      <c r="F72" s="106" t="s">
        <v>2</v>
      </c>
      <c r="G72" s="3" t="str">
        <f t="shared" si="0"/>
        <v>DAU</v>
      </c>
      <c r="H72" s="105"/>
      <c r="I72" s="314"/>
      <c r="J72" s="297"/>
      <c r="K72" s="297"/>
    </row>
    <row r="73" spans="2:11" x14ac:dyDescent="0.3">
      <c r="B73" s="346" t="s">
        <v>7</v>
      </c>
      <c r="C73" s="3"/>
      <c r="D73" s="3"/>
      <c r="E73" s="3"/>
      <c r="F73" s="106" t="s">
        <v>2</v>
      </c>
      <c r="G73" s="3">
        <f t="shared" si="0"/>
        <v>2026</v>
      </c>
      <c r="H73" s="105"/>
      <c r="I73" s="314"/>
      <c r="J73" s="297"/>
      <c r="K73" s="297"/>
    </row>
    <row r="74" spans="2:11" ht="14.4" thickBot="1" x14ac:dyDescent="0.35">
      <c r="B74" s="14"/>
      <c r="C74" s="1"/>
      <c r="D74" s="1"/>
      <c r="E74" s="1"/>
      <c r="F74" s="1"/>
      <c r="G74" s="1"/>
      <c r="H74" s="1"/>
      <c r="I74" s="314"/>
      <c r="J74" s="297"/>
      <c r="K74" s="319" t="s">
        <v>49</v>
      </c>
    </row>
    <row r="75" spans="2:11" x14ac:dyDescent="0.3">
      <c r="B75" s="1551" t="s">
        <v>9</v>
      </c>
      <c r="C75" s="1554" t="s">
        <v>10</v>
      </c>
      <c r="D75" s="1554"/>
      <c r="E75" s="1554"/>
      <c r="F75" s="1554"/>
      <c r="G75" s="1555"/>
      <c r="H75" s="1560" t="s">
        <v>210</v>
      </c>
      <c r="I75" s="1563" t="s">
        <v>526</v>
      </c>
      <c r="J75" s="774" t="s">
        <v>212</v>
      </c>
      <c r="K75" s="775" t="s">
        <v>522</v>
      </c>
    </row>
    <row r="76" spans="2:11" x14ac:dyDescent="0.3">
      <c r="B76" s="1552"/>
      <c r="C76" s="1556"/>
      <c r="D76" s="1556"/>
      <c r="E76" s="1556"/>
      <c r="F76" s="1556"/>
      <c r="G76" s="1557"/>
      <c r="H76" s="1561"/>
      <c r="I76" s="1564"/>
      <c r="J76" s="776" t="s">
        <v>11</v>
      </c>
      <c r="K76" s="777" t="s">
        <v>212</v>
      </c>
    </row>
    <row r="77" spans="2:11" ht="14.4" thickBot="1" x14ac:dyDescent="0.35">
      <c r="B77" s="1553"/>
      <c r="C77" s="1558"/>
      <c r="D77" s="1558"/>
      <c r="E77" s="1558"/>
      <c r="F77" s="1558"/>
      <c r="G77" s="1559"/>
      <c r="H77" s="1562"/>
      <c r="I77" s="1565"/>
      <c r="J77" s="778" t="s">
        <v>13</v>
      </c>
      <c r="K77" s="779" t="s">
        <v>13</v>
      </c>
    </row>
    <row r="78" spans="2:11" ht="14.4" thickTop="1" x14ac:dyDescent="0.3">
      <c r="B78" s="98"/>
      <c r="C78" s="399"/>
      <c r="D78" s="1"/>
      <c r="E78" s="1"/>
      <c r="F78" s="1"/>
      <c r="G78" s="7"/>
      <c r="H78" s="7"/>
      <c r="I78" s="350"/>
      <c r="J78" s="321"/>
      <c r="K78" s="323"/>
    </row>
    <row r="79" spans="2:11" x14ac:dyDescent="0.3">
      <c r="B79" s="634" t="s">
        <v>126</v>
      </c>
      <c r="C79" s="635" t="s">
        <v>678</v>
      </c>
      <c r="D79" s="1"/>
      <c r="E79" s="1"/>
      <c r="F79" s="1"/>
      <c r="G79" s="7"/>
      <c r="H79" s="6"/>
      <c r="I79" s="350"/>
      <c r="J79" s="321"/>
      <c r="K79" s="323"/>
    </row>
    <row r="80" spans="2:11" x14ac:dyDescent="0.3">
      <c r="B80" s="102"/>
      <c r="C80" s="8"/>
      <c r="D80" s="1"/>
      <c r="E80" s="1"/>
      <c r="F80" s="1"/>
      <c r="G80" s="7"/>
      <c r="H80" s="6"/>
      <c r="I80" s="350"/>
      <c r="J80" s="321"/>
      <c r="K80" s="323"/>
    </row>
    <row r="81" spans="2:13" x14ac:dyDescent="0.3">
      <c r="B81" s="351">
        <v>1</v>
      </c>
      <c r="C81" s="352" t="s">
        <v>527</v>
      </c>
      <c r="D81" s="749"/>
      <c r="E81" s="1"/>
      <c r="F81" s="1"/>
      <c r="G81" s="7"/>
      <c r="H81" s="353" t="s">
        <v>250</v>
      </c>
      <c r="I81" s="354">
        <v>1</v>
      </c>
      <c r="J81" s="355">
        <v>300000</v>
      </c>
      <c r="K81" s="323">
        <f>+J81*I81</f>
        <v>300000</v>
      </c>
    </row>
    <row r="82" spans="2:13" x14ac:dyDescent="0.3">
      <c r="B82" s="351">
        <v>2</v>
      </c>
      <c r="C82" s="352" t="s">
        <v>528</v>
      </c>
      <c r="D82" s="749"/>
      <c r="E82" s="1"/>
      <c r="F82" s="1"/>
      <c r="G82" s="356"/>
      <c r="H82" s="353" t="s">
        <v>38</v>
      </c>
      <c r="I82" s="354">
        <v>1</v>
      </c>
      <c r="J82" s="355">
        <v>1000000</v>
      </c>
      <c r="K82" s="323">
        <f t="shared" ref="K82:K88" si="1">+J82*I82</f>
        <v>1000000</v>
      </c>
    </row>
    <row r="83" spans="2:13" x14ac:dyDescent="0.3">
      <c r="B83" s="351">
        <v>3</v>
      </c>
      <c r="C83" s="352" t="s">
        <v>529</v>
      </c>
      <c r="D83" s="749"/>
      <c r="E83" s="1"/>
      <c r="F83" s="1"/>
      <c r="G83" s="356"/>
      <c r="H83" s="353" t="s">
        <v>86</v>
      </c>
      <c r="I83" s="354">
        <v>1</v>
      </c>
      <c r="J83" s="355">
        <v>250000</v>
      </c>
      <c r="K83" s="323">
        <f t="shared" si="1"/>
        <v>250000</v>
      </c>
    </row>
    <row r="84" spans="2:13" x14ac:dyDescent="0.3">
      <c r="B84" s="351">
        <v>4</v>
      </c>
      <c r="C84" s="8" t="s">
        <v>530</v>
      </c>
      <c r="D84" s="1"/>
      <c r="E84" s="1"/>
      <c r="F84" s="1"/>
      <c r="G84" s="356"/>
      <c r="H84" s="357"/>
      <c r="I84" s="354"/>
      <c r="J84" s="355"/>
      <c r="K84" s="323">
        <f t="shared" si="1"/>
        <v>0</v>
      </c>
    </row>
    <row r="85" spans="2:13" x14ac:dyDescent="0.3">
      <c r="B85" s="351"/>
      <c r="C85" s="8" t="s">
        <v>231</v>
      </c>
      <c r="D85" s="1" t="s">
        <v>531</v>
      </c>
      <c r="E85" s="1"/>
      <c r="F85" s="1"/>
      <c r="G85" s="356"/>
      <c r="H85" s="357" t="s">
        <v>190</v>
      </c>
      <c r="I85" s="354">
        <v>3</v>
      </c>
      <c r="J85" s="355">
        <v>150000</v>
      </c>
      <c r="K85" s="323">
        <f t="shared" si="1"/>
        <v>450000</v>
      </c>
    </row>
    <row r="86" spans="2:13" x14ac:dyDescent="0.3">
      <c r="B86" s="351"/>
      <c r="C86" s="8" t="s">
        <v>234</v>
      </c>
      <c r="D86" s="1" t="s">
        <v>532</v>
      </c>
      <c r="E86" s="1"/>
      <c r="F86" s="1"/>
      <c r="G86" s="356"/>
      <c r="H86" s="357" t="s">
        <v>250</v>
      </c>
      <c r="I86" s="354">
        <v>1</v>
      </c>
      <c r="J86" s="355">
        <v>750000</v>
      </c>
      <c r="K86" s="323">
        <f t="shared" si="1"/>
        <v>750000</v>
      </c>
    </row>
    <row r="87" spans="2:13" hidden="1" x14ac:dyDescent="0.3">
      <c r="B87" s="351">
        <v>5</v>
      </c>
      <c r="C87" s="1130" t="s">
        <v>938</v>
      </c>
      <c r="D87" s="1"/>
      <c r="E87" s="1"/>
      <c r="F87" s="1"/>
      <c r="G87" s="1131"/>
      <c r="H87" s="1132" t="s">
        <v>250</v>
      </c>
      <c r="I87" s="1133"/>
      <c r="J87" s="1134">
        <v>6000000</v>
      </c>
      <c r="K87" s="323">
        <f t="shared" si="1"/>
        <v>0</v>
      </c>
    </row>
    <row r="88" spans="2:13" x14ac:dyDescent="0.3">
      <c r="B88" s="545">
        <v>5</v>
      </c>
      <c r="C88" s="520" t="s">
        <v>867</v>
      </c>
      <c r="D88" s="249"/>
      <c r="E88" s="249"/>
      <c r="F88" s="249"/>
      <c r="G88" s="546"/>
      <c r="H88" s="546" t="s">
        <v>250</v>
      </c>
      <c r="I88" s="547">
        <v>1</v>
      </c>
      <c r="J88" s="355">
        <v>1000000</v>
      </c>
      <c r="K88" s="548">
        <f t="shared" si="1"/>
        <v>1000000</v>
      </c>
    </row>
    <row r="89" spans="2:13" x14ac:dyDescent="0.3">
      <c r="B89" s="545"/>
      <c r="C89" s="8"/>
      <c r="D89" s="1"/>
      <c r="E89" s="1"/>
      <c r="F89" s="1"/>
      <c r="G89" s="356"/>
      <c r="H89" s="106"/>
      <c r="I89" s="354"/>
      <c r="J89" s="355"/>
      <c r="K89" s="323"/>
    </row>
    <row r="90" spans="2:13" x14ac:dyDescent="0.3">
      <c r="B90" s="365"/>
      <c r="C90" s="694" t="s">
        <v>685</v>
      </c>
      <c r="D90" s="366"/>
      <c r="E90" s="366"/>
      <c r="F90" s="367"/>
      <c r="G90" s="368"/>
      <c r="H90" s="369"/>
      <c r="I90" s="370"/>
      <c r="J90" s="371"/>
      <c r="K90" s="700">
        <f>SUM(K81:K89)</f>
        <v>3750000</v>
      </c>
      <c r="L90" s="313">
        <f>K90</f>
        <v>3750000</v>
      </c>
    </row>
    <row r="91" spans="2:13" x14ac:dyDescent="0.3">
      <c r="B91" s="545"/>
      <c r="C91" s="8"/>
      <c r="D91" s="1"/>
      <c r="E91" s="1"/>
      <c r="F91" s="1"/>
      <c r="G91" s="356"/>
      <c r="H91" s="106"/>
      <c r="I91" s="354"/>
      <c r="J91" s="355"/>
      <c r="K91" s="323"/>
    </row>
    <row r="92" spans="2:13" x14ac:dyDescent="0.3">
      <c r="B92" s="634" t="s">
        <v>145</v>
      </c>
      <c r="C92" s="635" t="s">
        <v>1042</v>
      </c>
      <c r="D92" s="1"/>
      <c r="E92" s="1"/>
      <c r="F92" s="1"/>
      <c r="G92" s="356"/>
      <c r="H92" s="106"/>
      <c r="I92" s="354"/>
      <c r="J92" s="355"/>
      <c r="K92" s="323"/>
    </row>
    <row r="93" spans="2:13" x14ac:dyDescent="0.3">
      <c r="B93" s="545"/>
      <c r="C93" s="8"/>
      <c r="D93" s="1"/>
      <c r="E93" s="1"/>
      <c r="F93" s="1"/>
      <c r="G93" s="356"/>
      <c r="H93" s="106"/>
      <c r="I93" s="354"/>
      <c r="J93" s="355"/>
      <c r="K93" s="323"/>
    </row>
    <row r="94" spans="2:13" x14ac:dyDescent="0.3">
      <c r="B94" s="351" t="s">
        <v>606</v>
      </c>
      <c r="C94" s="8" t="s">
        <v>918</v>
      </c>
      <c r="D94" s="1"/>
      <c r="E94" s="1"/>
      <c r="F94" s="1"/>
      <c r="G94" s="356"/>
      <c r="H94" s="106"/>
      <c r="I94" s="354"/>
      <c r="J94" s="355"/>
      <c r="K94" s="323"/>
    </row>
    <row r="95" spans="2:13" x14ac:dyDescent="0.3">
      <c r="B95" s="351" t="s">
        <v>231</v>
      </c>
      <c r="C95" s="773" t="s">
        <v>919</v>
      </c>
      <c r="D95" s="749"/>
      <c r="E95" s="1"/>
      <c r="F95" s="1"/>
      <c r="G95" s="7"/>
      <c r="H95" s="353"/>
      <c r="I95" s="354"/>
      <c r="J95" s="355"/>
      <c r="K95" s="323">
        <f>+J95*I95</f>
        <v>0</v>
      </c>
    </row>
    <row r="96" spans="2:13" x14ac:dyDescent="0.3">
      <c r="B96" s="351"/>
      <c r="C96" s="1260" t="s">
        <v>1037</v>
      </c>
      <c r="D96" s="1"/>
      <c r="E96" s="1"/>
      <c r="F96" s="1"/>
      <c r="G96" s="356"/>
      <c r="H96" s="106" t="s">
        <v>15</v>
      </c>
      <c r="I96" s="354">
        <v>49</v>
      </c>
      <c r="J96" s="355">
        <f>HARSAT!H57</f>
        <v>756414.24512500013</v>
      </c>
      <c r="K96" s="323">
        <f t="shared" ref="K96:K118" si="2">+J96*I96</f>
        <v>37064298.011125006</v>
      </c>
      <c r="M96" s="313"/>
    </row>
    <row r="97" spans="2:13" x14ac:dyDescent="0.3">
      <c r="B97" s="351" t="s">
        <v>234</v>
      </c>
      <c r="C97" s="8" t="s">
        <v>920</v>
      </c>
      <c r="D97" s="1"/>
      <c r="E97" s="1"/>
      <c r="F97" s="1"/>
      <c r="G97" s="356"/>
      <c r="H97" s="106"/>
      <c r="I97" s="354"/>
      <c r="J97" s="355"/>
      <c r="K97" s="323">
        <f t="shared" si="2"/>
        <v>0</v>
      </c>
      <c r="M97" s="313"/>
    </row>
    <row r="98" spans="2:13" x14ac:dyDescent="0.3">
      <c r="B98" s="351"/>
      <c r="C98" s="8" t="s">
        <v>921</v>
      </c>
      <c r="D98" s="1"/>
      <c r="E98" s="1"/>
      <c r="F98" s="1"/>
      <c r="G98" s="356"/>
      <c r="H98" s="106"/>
      <c r="I98" s="354"/>
      <c r="J98" s="355"/>
      <c r="K98" s="323">
        <f t="shared" si="2"/>
        <v>0</v>
      </c>
      <c r="M98" s="313"/>
    </row>
    <row r="99" spans="2:13" x14ac:dyDescent="0.3">
      <c r="B99" s="351"/>
      <c r="C99" s="8" t="s">
        <v>233</v>
      </c>
      <c r="D99" s="836" t="s">
        <v>31</v>
      </c>
      <c r="E99" s="1"/>
      <c r="F99" s="1"/>
      <c r="G99" s="356"/>
      <c r="H99" s="106" t="s">
        <v>15</v>
      </c>
      <c r="I99" s="354">
        <f>I96-I100</f>
        <v>45</v>
      </c>
      <c r="J99" s="355">
        <f>HARSAT!H59</f>
        <v>457445.53112499998</v>
      </c>
      <c r="K99" s="323">
        <f t="shared" si="2"/>
        <v>20585048.900624998</v>
      </c>
      <c r="M99" s="313"/>
    </row>
    <row r="100" spans="2:13" x14ac:dyDescent="0.3">
      <c r="B100" s="351"/>
      <c r="C100" s="8" t="s">
        <v>233</v>
      </c>
      <c r="D100" s="836" t="s">
        <v>32</v>
      </c>
      <c r="E100" s="1"/>
      <c r="F100" s="1"/>
      <c r="G100" s="356"/>
      <c r="H100" s="977" t="s">
        <v>15</v>
      </c>
      <c r="I100" s="354">
        <v>4</v>
      </c>
      <c r="J100" s="355">
        <f>HARSAT!H60</f>
        <v>481113.50981249998</v>
      </c>
      <c r="K100" s="323">
        <f t="shared" si="2"/>
        <v>1924454.0392499999</v>
      </c>
      <c r="M100" s="313"/>
    </row>
    <row r="101" spans="2:13" x14ac:dyDescent="0.3">
      <c r="B101" s="351" t="s">
        <v>251</v>
      </c>
      <c r="C101" s="8" t="s">
        <v>922</v>
      </c>
      <c r="D101" s="1"/>
      <c r="E101" s="1"/>
      <c r="F101" s="1"/>
      <c r="G101" s="356"/>
      <c r="H101" s="106"/>
      <c r="I101" s="354"/>
      <c r="J101" s="355"/>
      <c r="K101" s="323"/>
    </row>
    <row r="102" spans="2:13" x14ac:dyDescent="0.3">
      <c r="B102" s="351"/>
      <c r="C102" s="8" t="s">
        <v>231</v>
      </c>
      <c r="D102" s="1" t="s">
        <v>923</v>
      </c>
      <c r="E102" s="1"/>
      <c r="F102" s="1"/>
      <c r="G102" s="356"/>
      <c r="H102" s="106" t="s">
        <v>148</v>
      </c>
      <c r="I102" s="354">
        <v>0.05</v>
      </c>
      <c r="J102" s="355">
        <f>HARSAT!H31</f>
        <v>689697.71428571432</v>
      </c>
      <c r="K102" s="323">
        <f t="shared" si="2"/>
        <v>34484.885714285716</v>
      </c>
      <c r="L102" s="313">
        <f>1*1*0.2</f>
        <v>0.2</v>
      </c>
    </row>
    <row r="103" spans="2:13" x14ac:dyDescent="0.3">
      <c r="B103" s="351"/>
      <c r="C103" s="8" t="s">
        <v>234</v>
      </c>
      <c r="D103" s="836" t="s">
        <v>1038</v>
      </c>
      <c r="E103" s="1"/>
      <c r="F103" s="1"/>
      <c r="G103" s="356"/>
      <c r="H103" s="106" t="s">
        <v>38</v>
      </c>
      <c r="I103" s="354">
        <v>1</v>
      </c>
      <c r="J103" s="355">
        <f>HARSAT!H239</f>
        <v>31394.999999999996</v>
      </c>
      <c r="K103" s="323">
        <f t="shared" si="2"/>
        <v>31394.999999999996</v>
      </c>
    </row>
    <row r="104" spans="2:13" x14ac:dyDescent="0.3">
      <c r="B104" s="351" t="s">
        <v>607</v>
      </c>
      <c r="C104" s="8" t="s">
        <v>924</v>
      </c>
      <c r="D104" s="1"/>
      <c r="E104" s="1"/>
      <c r="F104" s="1"/>
      <c r="G104" s="356"/>
      <c r="H104" s="106"/>
      <c r="I104" s="354"/>
      <c r="J104" s="355"/>
      <c r="K104" s="323">
        <f t="shared" si="2"/>
        <v>0</v>
      </c>
    </row>
    <row r="105" spans="2:13" x14ac:dyDescent="0.3">
      <c r="B105" s="351"/>
      <c r="C105" s="8" t="s">
        <v>925</v>
      </c>
      <c r="D105" s="1"/>
      <c r="E105" s="1"/>
      <c r="F105" s="1"/>
      <c r="G105" s="356"/>
      <c r="H105" s="106"/>
      <c r="I105" s="354"/>
      <c r="J105" s="355"/>
      <c r="K105" s="323">
        <f t="shared" si="2"/>
        <v>0</v>
      </c>
    </row>
    <row r="106" spans="2:13" x14ac:dyDescent="0.3">
      <c r="B106" s="351"/>
      <c r="C106" s="8" t="s">
        <v>233</v>
      </c>
      <c r="D106" s="1529" t="str">
        <f>HARSAT!C61</f>
        <v>Pengadaan dan Pemasangan Pompa submersible air bersih 1 Hp dia.3" 1 phase berikut Box Panel dan Kabel</v>
      </c>
      <c r="E106" s="1529"/>
      <c r="F106" s="1529"/>
      <c r="G106" s="1530"/>
      <c r="H106" s="106" t="s">
        <v>38</v>
      </c>
      <c r="I106" s="354">
        <v>1</v>
      </c>
      <c r="J106" s="355">
        <f>HARSAT!H61</f>
        <v>6485070.1962499991</v>
      </c>
      <c r="K106" s="323">
        <f t="shared" si="2"/>
        <v>6485070.1962499991</v>
      </c>
    </row>
    <row r="107" spans="2:13" x14ac:dyDescent="0.3">
      <c r="B107" s="351"/>
      <c r="C107" s="8"/>
      <c r="D107" s="1529"/>
      <c r="E107" s="1529"/>
      <c r="F107" s="1529"/>
      <c r="G107" s="1530"/>
      <c r="H107" s="106"/>
      <c r="I107" s="354"/>
      <c r="J107" s="355"/>
      <c r="K107" s="323">
        <f t="shared" si="2"/>
        <v>0</v>
      </c>
      <c r="L107" s="313">
        <f>0.45*1.5*5</f>
        <v>3.375</v>
      </c>
    </row>
    <row r="108" spans="2:13" x14ac:dyDescent="0.3">
      <c r="B108" s="351" t="s">
        <v>926</v>
      </c>
      <c r="C108" s="8" t="s">
        <v>602</v>
      </c>
      <c r="D108" s="1"/>
      <c r="E108" s="1"/>
      <c r="F108" s="1"/>
      <c r="G108" s="356"/>
      <c r="H108" s="106"/>
      <c r="I108" s="354"/>
      <c r="J108" s="355"/>
      <c r="K108" s="323">
        <f t="shared" si="2"/>
        <v>0</v>
      </c>
    </row>
    <row r="109" spans="2:13" x14ac:dyDescent="0.3">
      <c r="B109" s="351"/>
      <c r="C109" s="8" t="s">
        <v>927</v>
      </c>
      <c r="D109" s="1"/>
      <c r="E109" s="1"/>
      <c r="F109" s="1"/>
      <c r="G109" s="356"/>
      <c r="H109" s="106"/>
      <c r="I109" s="354"/>
      <c r="J109" s="355"/>
      <c r="K109" s="323">
        <f t="shared" si="2"/>
        <v>0</v>
      </c>
    </row>
    <row r="110" spans="2:13" x14ac:dyDescent="0.3">
      <c r="B110" s="351" t="s">
        <v>231</v>
      </c>
      <c r="C110" s="8" t="s">
        <v>928</v>
      </c>
      <c r="D110" s="1"/>
      <c r="E110" s="1"/>
      <c r="F110" s="1"/>
      <c r="G110" s="356"/>
      <c r="H110" s="106" t="s">
        <v>15</v>
      </c>
      <c r="I110" s="354">
        <f>I96-4</f>
        <v>45</v>
      </c>
      <c r="J110" s="355">
        <f>HARSAT!H172</f>
        <v>29700.000000000004</v>
      </c>
      <c r="K110" s="323">
        <f t="shared" si="2"/>
        <v>1336500.0000000002</v>
      </c>
    </row>
    <row r="111" spans="2:13" x14ac:dyDescent="0.3">
      <c r="B111" s="351" t="s">
        <v>234</v>
      </c>
      <c r="C111" s="8" t="s">
        <v>929</v>
      </c>
      <c r="D111" s="1"/>
      <c r="E111" s="1"/>
      <c r="F111" s="1"/>
      <c r="G111" s="356"/>
      <c r="H111" s="106"/>
      <c r="I111" s="354"/>
      <c r="J111" s="355"/>
      <c r="K111" s="323">
        <f t="shared" si="2"/>
        <v>0</v>
      </c>
    </row>
    <row r="112" spans="2:13" hidden="1" x14ac:dyDescent="0.3">
      <c r="B112" s="351"/>
      <c r="C112" s="8" t="s">
        <v>233</v>
      </c>
      <c r="D112" s="1" t="s">
        <v>930</v>
      </c>
      <c r="E112" s="1"/>
      <c r="F112" s="1"/>
      <c r="G112" s="356"/>
      <c r="H112" s="106" t="s">
        <v>86</v>
      </c>
      <c r="I112" s="354">
        <v>1</v>
      </c>
      <c r="J112" s="355"/>
      <c r="K112" s="323">
        <f t="shared" si="2"/>
        <v>0</v>
      </c>
    </row>
    <row r="113" spans="2:19" x14ac:dyDescent="0.3">
      <c r="B113" s="351"/>
      <c r="C113" s="8" t="s">
        <v>233</v>
      </c>
      <c r="D113" s="1" t="s">
        <v>931</v>
      </c>
      <c r="E113" s="1"/>
      <c r="F113" s="1"/>
      <c r="G113" s="356"/>
      <c r="H113" s="106" t="s">
        <v>86</v>
      </c>
      <c r="I113" s="354">
        <v>6</v>
      </c>
      <c r="J113" s="355">
        <f>HARSAT!H233</f>
        <v>4830</v>
      </c>
      <c r="K113" s="323">
        <f t="shared" si="2"/>
        <v>28980</v>
      </c>
      <c r="L113" s="313">
        <f>I110/4</f>
        <v>11.25</v>
      </c>
    </row>
    <row r="114" spans="2:19" x14ac:dyDescent="0.3">
      <c r="B114" s="351"/>
      <c r="C114" s="8" t="s">
        <v>233</v>
      </c>
      <c r="D114" s="1" t="s">
        <v>932</v>
      </c>
      <c r="E114" s="1"/>
      <c r="F114" s="1"/>
      <c r="G114" s="356"/>
      <c r="H114" s="106" t="s">
        <v>86</v>
      </c>
      <c r="I114" s="354">
        <f>I113</f>
        <v>6</v>
      </c>
      <c r="J114" s="355">
        <f>J113</f>
        <v>4830</v>
      </c>
      <c r="K114" s="323">
        <f t="shared" si="2"/>
        <v>28980</v>
      </c>
    </row>
    <row r="115" spans="2:19" x14ac:dyDescent="0.3">
      <c r="B115" s="351"/>
      <c r="C115" s="8" t="s">
        <v>233</v>
      </c>
      <c r="D115" s="249" t="s">
        <v>933</v>
      </c>
      <c r="E115" s="1"/>
      <c r="F115" s="1"/>
      <c r="G115" s="356"/>
      <c r="H115" s="106" t="s">
        <v>86</v>
      </c>
      <c r="I115" s="354">
        <v>2</v>
      </c>
      <c r="J115" s="355">
        <f>HARSAT!H207</f>
        <v>5405</v>
      </c>
      <c r="K115" s="323">
        <f t="shared" si="2"/>
        <v>10810</v>
      </c>
    </row>
    <row r="116" spans="2:19" x14ac:dyDescent="0.3">
      <c r="B116" s="351"/>
      <c r="C116" s="8" t="s">
        <v>233</v>
      </c>
      <c r="D116" s="249" t="s">
        <v>934</v>
      </c>
      <c r="E116" s="1"/>
      <c r="F116" s="1"/>
      <c r="G116" s="356"/>
      <c r="H116" s="106" t="s">
        <v>15</v>
      </c>
      <c r="I116" s="354">
        <f>I110+2</f>
        <v>47</v>
      </c>
      <c r="J116" s="355">
        <f>HARSAT!H282</f>
        <v>7129.9999999999991</v>
      </c>
      <c r="K116" s="323">
        <f t="shared" si="2"/>
        <v>335109.99999999994</v>
      </c>
    </row>
    <row r="117" spans="2:19" x14ac:dyDescent="0.3">
      <c r="B117" s="351"/>
      <c r="C117" s="8" t="s">
        <v>233</v>
      </c>
      <c r="D117" s="249" t="s">
        <v>935</v>
      </c>
      <c r="E117" s="1"/>
      <c r="F117" s="1"/>
      <c r="G117" s="356"/>
      <c r="H117" s="106" t="s">
        <v>86</v>
      </c>
      <c r="I117" s="354">
        <v>4</v>
      </c>
      <c r="J117" s="355">
        <f>HARSAT!H276</f>
        <v>4600</v>
      </c>
      <c r="K117" s="323">
        <f t="shared" si="2"/>
        <v>18400</v>
      </c>
    </row>
    <row r="118" spans="2:19" x14ac:dyDescent="0.3">
      <c r="B118" s="351" t="s">
        <v>936</v>
      </c>
      <c r="C118" s="8" t="str">
        <f>HARSAT!D156</f>
        <v>Pas. water turn ( 500 liter) Berikut Rangka Tower Besi Siku Tinggi 3m</v>
      </c>
      <c r="D118" s="1"/>
      <c r="E118" s="1"/>
      <c r="F118" s="1"/>
      <c r="G118" s="356"/>
      <c r="H118" s="106" t="s">
        <v>38</v>
      </c>
      <c r="I118" s="354">
        <v>1</v>
      </c>
      <c r="J118" s="355">
        <f>HARSAT!H156</f>
        <v>6020473.1270249989</v>
      </c>
      <c r="K118" s="323">
        <f t="shared" si="2"/>
        <v>6020473.1270249989</v>
      </c>
    </row>
    <row r="119" spans="2:19" x14ac:dyDescent="0.3">
      <c r="B119" s="358"/>
      <c r="C119" s="359"/>
      <c r="D119" s="173"/>
      <c r="E119" s="173"/>
      <c r="F119" s="173"/>
      <c r="G119" s="360"/>
      <c r="H119" s="361"/>
      <c r="I119" s="362"/>
      <c r="J119" s="363"/>
      <c r="K119" s="364"/>
    </row>
    <row r="120" spans="2:19" x14ac:dyDescent="0.3">
      <c r="B120" s="365"/>
      <c r="C120" s="694" t="s">
        <v>686</v>
      </c>
      <c r="D120" s="366"/>
      <c r="E120" s="366"/>
      <c r="F120" s="367"/>
      <c r="G120" s="368"/>
      <c r="H120" s="369"/>
      <c r="I120" s="370"/>
      <c r="J120" s="371"/>
      <c r="K120" s="700">
        <f>SUM(K96:K119)</f>
        <v>73904004.159989282</v>
      </c>
      <c r="L120" s="313">
        <f>K120</f>
        <v>73904004.159989282</v>
      </c>
    </row>
    <row r="121" spans="2:19" x14ac:dyDescent="0.3">
      <c r="B121" s="1137"/>
      <c r="C121" s="1138"/>
      <c r="D121" s="1139"/>
      <c r="E121" s="1139"/>
      <c r="F121" s="1139"/>
      <c r="G121" s="1140"/>
      <c r="H121" s="1140"/>
      <c r="I121" s="1141"/>
      <c r="J121" s="1142"/>
      <c r="K121" s="1143"/>
    </row>
    <row r="122" spans="2:19" x14ac:dyDescent="0.3">
      <c r="B122" s="622" t="s">
        <v>679</v>
      </c>
      <c r="C122" s="789" t="s">
        <v>939</v>
      </c>
      <c r="D122" s="749"/>
      <c r="E122" s="249"/>
      <c r="F122" s="249"/>
      <c r="G122" s="1144"/>
      <c r="H122" s="1145"/>
      <c r="I122" s="1146"/>
      <c r="J122" s="1147"/>
      <c r="K122" s="691"/>
    </row>
    <row r="123" spans="2:19" x14ac:dyDescent="0.3">
      <c r="B123" s="351" t="s">
        <v>606</v>
      </c>
      <c r="C123" s="791" t="s">
        <v>1036</v>
      </c>
      <c r="D123" s="749"/>
      <c r="E123" s="249"/>
      <c r="F123" s="249"/>
      <c r="G123" s="1144"/>
      <c r="H123" s="956" t="s">
        <v>699</v>
      </c>
      <c r="I123" s="957">
        <v>1</v>
      </c>
      <c r="J123" s="958">
        <v>4000000</v>
      </c>
      <c r="K123" s="691">
        <f>+J123*I123</f>
        <v>4000000</v>
      </c>
    </row>
    <row r="124" spans="2:19" x14ac:dyDescent="0.3">
      <c r="B124" s="377"/>
      <c r="C124" s="771"/>
      <c r="D124" s="749"/>
      <c r="E124" s="249"/>
      <c r="F124" s="249"/>
      <c r="G124" s="1144"/>
      <c r="H124" s="1148"/>
      <c r="I124" s="1146"/>
      <c r="J124" s="1147"/>
      <c r="K124" s="691"/>
    </row>
    <row r="125" spans="2:19" x14ac:dyDescent="0.3">
      <c r="B125" s="1149"/>
      <c r="C125" s="1150" t="s">
        <v>940</v>
      </c>
      <c r="D125" s="94"/>
      <c r="E125" s="94"/>
      <c r="F125" s="233"/>
      <c r="G125" s="1151"/>
      <c r="H125" s="1152"/>
      <c r="I125" s="1153"/>
      <c r="J125" s="1154"/>
      <c r="K125" s="1271">
        <f>SUM(K123:K124)</f>
        <v>4000000</v>
      </c>
      <c r="L125" s="313">
        <f>K125</f>
        <v>4000000</v>
      </c>
      <c r="M125" s="372"/>
      <c r="N125" s="541"/>
      <c r="O125" s="373"/>
      <c r="P125" s="373"/>
      <c r="Q125" s="372"/>
      <c r="R125" s="372"/>
      <c r="S125" s="959"/>
    </row>
    <row r="126" spans="2:19" x14ac:dyDescent="0.3">
      <c r="B126" s="610"/>
      <c r="C126" s="1135"/>
      <c r="D126" s="1136"/>
      <c r="E126" s="1136"/>
      <c r="F126" s="1155"/>
      <c r="G126" s="1144"/>
      <c r="H126" s="1155"/>
      <c r="I126" s="1146"/>
      <c r="J126" s="1147"/>
      <c r="K126" s="383"/>
      <c r="M126" s="372"/>
      <c r="N126" s="541"/>
      <c r="O126" s="373"/>
      <c r="P126" s="373"/>
      <c r="Q126" s="372"/>
      <c r="R126" s="372"/>
      <c r="S126" s="959"/>
    </row>
    <row r="127" spans="2:19" x14ac:dyDescent="0.3">
      <c r="B127" s="634" t="s">
        <v>682</v>
      </c>
      <c r="C127" s="750" t="s">
        <v>534</v>
      </c>
      <c r="D127" s="324"/>
      <c r="E127" s="324"/>
      <c r="F127" s="324"/>
      <c r="G127" s="110"/>
      <c r="H127" s="100"/>
      <c r="I127" s="350"/>
      <c r="J127" s="374"/>
      <c r="K127" s="323"/>
      <c r="L127" s="313">
        <f>L128-L129</f>
        <v>1800</v>
      </c>
    </row>
    <row r="128" spans="2:19" x14ac:dyDescent="0.3">
      <c r="B128" s="634"/>
      <c r="C128" s="750"/>
      <c r="D128" s="324"/>
      <c r="E128" s="324"/>
      <c r="F128" s="324"/>
      <c r="G128" s="110"/>
      <c r="H128" s="100"/>
      <c r="I128" s="718"/>
      <c r="J128" s="374"/>
      <c r="K128" s="323"/>
      <c r="L128" s="313">
        <f>L44</f>
        <v>100000000</v>
      </c>
    </row>
    <row r="129" spans="2:15" x14ac:dyDescent="0.3">
      <c r="B129" s="102">
        <v>1</v>
      </c>
      <c r="C129" s="5" t="s">
        <v>535</v>
      </c>
      <c r="D129" s="5"/>
      <c r="E129" s="5"/>
      <c r="F129" s="5"/>
      <c r="G129" s="382"/>
      <c r="H129" s="6"/>
      <c r="I129" s="321"/>
      <c r="J129" s="374"/>
      <c r="K129" s="383"/>
      <c r="L129" s="313">
        <f>K44</f>
        <v>99998200</v>
      </c>
    </row>
    <row r="130" spans="2:15" x14ac:dyDescent="0.3">
      <c r="B130" s="351">
        <v>1.1000000000000001</v>
      </c>
      <c r="C130" s="751" t="s">
        <v>536</v>
      </c>
      <c r="D130" s="752"/>
      <c r="E130" s="752"/>
      <c r="F130" s="752"/>
      <c r="G130" s="384"/>
      <c r="H130" s="385"/>
      <c r="I130" s="386"/>
      <c r="J130" s="387"/>
      <c r="K130" s="383"/>
    </row>
    <row r="131" spans="2:15" hidden="1" x14ac:dyDescent="0.3">
      <c r="B131" s="388" t="s">
        <v>537</v>
      </c>
      <c r="C131" s="752" t="s">
        <v>538</v>
      </c>
      <c r="D131" s="752"/>
      <c r="E131" s="752"/>
      <c r="F131" s="752"/>
      <c r="G131" s="384"/>
      <c r="H131" s="385" t="s">
        <v>250</v>
      </c>
      <c r="I131" s="321">
        <v>0</v>
      </c>
      <c r="J131" s="374">
        <v>1500000</v>
      </c>
      <c r="K131" s="383">
        <f>I131*J131</f>
        <v>0</v>
      </c>
    </row>
    <row r="132" spans="2:15" ht="12.75" hidden="1" customHeight="1" x14ac:dyDescent="0.3">
      <c r="B132" s="390"/>
      <c r="C132" s="1566" t="s">
        <v>663</v>
      </c>
      <c r="D132" s="1567"/>
      <c r="E132" s="1567"/>
      <c r="F132" s="1567"/>
      <c r="G132" s="1568"/>
      <c r="H132" s="385"/>
      <c r="I132" s="386"/>
      <c r="J132" s="387"/>
      <c r="K132" s="383"/>
    </row>
    <row r="133" spans="2:15" hidden="1" x14ac:dyDescent="0.3">
      <c r="B133" s="390"/>
      <c r="C133" s="1566"/>
      <c r="D133" s="1567"/>
      <c r="E133" s="1567"/>
      <c r="F133" s="1567"/>
      <c r="G133" s="1568"/>
      <c r="H133" s="385"/>
      <c r="I133" s="386"/>
      <c r="J133" s="387"/>
      <c r="K133" s="383"/>
    </row>
    <row r="134" spans="2:15" hidden="1" x14ac:dyDescent="0.3">
      <c r="B134" s="388" t="s">
        <v>231</v>
      </c>
      <c r="C134" s="752" t="str">
        <f>HARSAT!D163</f>
        <v>PVC dia. 3"  S-12,5 RRJ</v>
      </c>
      <c r="D134" s="752"/>
      <c r="E134" s="752"/>
      <c r="F134" s="752"/>
      <c r="G134" s="384"/>
      <c r="H134" s="385" t="s">
        <v>15</v>
      </c>
      <c r="I134" s="975">
        <f>M134*N134</f>
        <v>0</v>
      </c>
      <c r="J134" s="374">
        <f>HARSAT!H163</f>
        <v>100650.00000000001</v>
      </c>
      <c r="K134" s="383">
        <f>I134*J134</f>
        <v>0</v>
      </c>
      <c r="L134" s="746">
        <f>L130-L131</f>
        <v>0</v>
      </c>
      <c r="M134" s="517">
        <v>6</v>
      </c>
      <c r="N134" s="542"/>
      <c r="O134" s="49" t="s">
        <v>317</v>
      </c>
    </row>
    <row r="135" spans="2:15" hidden="1" x14ac:dyDescent="0.3">
      <c r="B135" s="388" t="s">
        <v>234</v>
      </c>
      <c r="C135" s="752" t="s">
        <v>540</v>
      </c>
      <c r="D135" s="752"/>
      <c r="E135" s="752"/>
      <c r="F135" s="752"/>
      <c r="G135" s="384"/>
      <c r="H135" s="385" t="s">
        <v>15</v>
      </c>
      <c r="I135" s="975">
        <f>M135*N135</f>
        <v>0</v>
      </c>
      <c r="J135" s="374">
        <f>HARSAT!H164</f>
        <v>48290.000000000007</v>
      </c>
      <c r="K135" s="383">
        <f>I135*J135</f>
        <v>0</v>
      </c>
      <c r="L135" s="746"/>
      <c r="M135" s="517">
        <v>6</v>
      </c>
      <c r="N135" s="542"/>
      <c r="O135" s="49" t="s">
        <v>317</v>
      </c>
    </row>
    <row r="136" spans="2:15" hidden="1" x14ac:dyDescent="0.3">
      <c r="B136" s="388" t="s">
        <v>251</v>
      </c>
      <c r="C136" s="752" t="s">
        <v>541</v>
      </c>
      <c r="D136" s="752"/>
      <c r="E136" s="752"/>
      <c r="F136" s="752"/>
      <c r="G136" s="384"/>
      <c r="H136" s="385" t="s">
        <v>15</v>
      </c>
      <c r="I136" s="975">
        <f>M136*N136</f>
        <v>0</v>
      </c>
      <c r="J136" s="374">
        <f>HARSAT!H165</f>
        <v>32010.000000000004</v>
      </c>
      <c r="K136" s="383">
        <f>I136*J136</f>
        <v>0</v>
      </c>
      <c r="L136" s="746"/>
      <c r="M136" s="517">
        <v>6</v>
      </c>
      <c r="N136" s="542"/>
      <c r="O136" s="49" t="s">
        <v>317</v>
      </c>
    </row>
    <row r="137" spans="2:15" hidden="1" x14ac:dyDescent="0.3">
      <c r="B137" s="388" t="s">
        <v>253</v>
      </c>
      <c r="C137" s="752" t="s">
        <v>542</v>
      </c>
      <c r="D137" s="752"/>
      <c r="E137" s="752"/>
      <c r="F137" s="752"/>
      <c r="G137" s="384"/>
      <c r="H137" s="385" t="s">
        <v>15</v>
      </c>
      <c r="I137" s="975">
        <f>M137*N137</f>
        <v>0</v>
      </c>
      <c r="J137" s="374">
        <f>HARSAT!H166</f>
        <v>23760.000000000004</v>
      </c>
      <c r="K137" s="383">
        <f>I137*J137</f>
        <v>0</v>
      </c>
      <c r="L137" s="746"/>
      <c r="M137" s="517">
        <v>6</v>
      </c>
      <c r="N137" s="631"/>
      <c r="O137" s="49" t="s">
        <v>317</v>
      </c>
    </row>
    <row r="138" spans="2:15" hidden="1" x14ac:dyDescent="0.3">
      <c r="B138" s="388" t="s">
        <v>231</v>
      </c>
      <c r="C138" s="752" t="str">
        <f>HARSAT!D171</f>
        <v>PVC tipe AW dia. 1 1/2"</v>
      </c>
      <c r="D138" s="752"/>
      <c r="E138" s="752"/>
      <c r="F138" s="752"/>
      <c r="G138" s="1251"/>
      <c r="H138" s="385" t="s">
        <v>15</v>
      </c>
      <c r="I138" s="975">
        <f t="shared" ref="I138:I140" si="3">M138*N138</f>
        <v>0</v>
      </c>
      <c r="J138" s="1252">
        <f>HARSAT!H171</f>
        <v>25300.000000000004</v>
      </c>
      <c r="K138" s="383">
        <f t="shared" ref="K138:K139" si="4">I138*J138</f>
        <v>0</v>
      </c>
      <c r="L138" s="746"/>
      <c r="M138" s="517">
        <v>4</v>
      </c>
      <c r="N138" s="631"/>
      <c r="O138" s="49"/>
    </row>
    <row r="139" spans="2:15" x14ac:dyDescent="0.3">
      <c r="B139" s="388" t="s">
        <v>231</v>
      </c>
      <c r="C139" s="752" t="str">
        <f>HARSAT!D171</f>
        <v>PVC tipe AW dia. 1 1/2"</v>
      </c>
      <c r="D139" s="752"/>
      <c r="E139" s="752"/>
      <c r="F139" s="752"/>
      <c r="G139" s="1251"/>
      <c r="H139" s="1505" t="s">
        <v>15</v>
      </c>
      <c r="I139" s="1506">
        <f t="shared" si="3"/>
        <v>8</v>
      </c>
      <c r="J139" s="1252">
        <f>HARSAT!H171</f>
        <v>25300.000000000004</v>
      </c>
      <c r="K139" s="383">
        <f t="shared" si="4"/>
        <v>202400.00000000003</v>
      </c>
      <c r="L139" s="746"/>
      <c r="M139" s="517">
        <f>M138</f>
        <v>4</v>
      </c>
      <c r="N139" s="631">
        <v>2</v>
      </c>
      <c r="O139" s="49"/>
    </row>
    <row r="140" spans="2:15" x14ac:dyDescent="0.3">
      <c r="B140" s="388" t="s">
        <v>234</v>
      </c>
      <c r="C140" s="752" t="str">
        <f>HARSAT!D170</f>
        <v>PVC tipe AW dia. 1"</v>
      </c>
      <c r="D140" s="752"/>
      <c r="E140" s="752"/>
      <c r="F140" s="752"/>
      <c r="G140" s="1251"/>
      <c r="H140" s="1505" t="s">
        <v>15</v>
      </c>
      <c r="I140" s="1506">
        <f t="shared" si="3"/>
        <v>12</v>
      </c>
      <c r="J140" s="1252">
        <f>HARSAT!H170</f>
        <v>10450</v>
      </c>
      <c r="K140" s="383">
        <f t="shared" ref="K140" si="5">I140*J140</f>
        <v>125400</v>
      </c>
      <c r="L140" s="746"/>
      <c r="M140" s="517">
        <f>M139</f>
        <v>4</v>
      </c>
      <c r="N140" s="1269">
        <v>3</v>
      </c>
      <c r="O140" s="49"/>
    </row>
    <row r="141" spans="2:15" x14ac:dyDescent="0.3">
      <c r="B141" s="102">
        <v>2</v>
      </c>
      <c r="C141" s="5" t="s">
        <v>543</v>
      </c>
      <c r="D141" s="324"/>
      <c r="E141" s="324"/>
      <c r="F141" s="324"/>
      <c r="G141" s="110"/>
      <c r="H141" s="753"/>
      <c r="I141" s="391"/>
      <c r="J141" s="374"/>
      <c r="K141" s="323"/>
      <c r="L141" s="747">
        <f>SUM(I134:I137)</f>
        <v>0</v>
      </c>
      <c r="M141" s="632">
        <f>SUM(I133:I139)</f>
        <v>8</v>
      </c>
      <c r="N141" s="633">
        <f>SUM(N134:N137)</f>
        <v>0</v>
      </c>
      <c r="O141" s="632" t="s">
        <v>317</v>
      </c>
    </row>
    <row r="142" spans="2:15" x14ac:dyDescent="0.3">
      <c r="B142" s="392" t="s">
        <v>533</v>
      </c>
      <c r="C142" s="754" t="s">
        <v>536</v>
      </c>
      <c r="D142" s="5"/>
      <c r="E142" s="5"/>
      <c r="F142" s="5"/>
      <c r="G142" s="382"/>
      <c r="H142" s="1"/>
      <c r="I142" s="350"/>
      <c r="J142" s="374"/>
      <c r="K142" s="383"/>
    </row>
    <row r="143" spans="2:15" x14ac:dyDescent="0.3">
      <c r="B143" s="392" t="s">
        <v>544</v>
      </c>
      <c r="C143" s="5" t="s">
        <v>545</v>
      </c>
      <c r="D143" s="5"/>
      <c r="E143" s="5"/>
      <c r="F143" s="5"/>
      <c r="G143" s="382"/>
      <c r="H143" s="393" t="s">
        <v>250</v>
      </c>
      <c r="I143" s="394">
        <v>1</v>
      </c>
      <c r="J143" s="374">
        <v>250000</v>
      </c>
      <c r="K143" s="323">
        <f>+J143*I143</f>
        <v>250000</v>
      </c>
      <c r="L143" s="719"/>
      <c r="M143" s="47" t="s">
        <v>691</v>
      </c>
      <c r="N143" s="720" t="s">
        <v>692</v>
      </c>
      <c r="O143" s="721" t="s">
        <v>693</v>
      </c>
    </row>
    <row r="144" spans="2:15" hidden="1" x14ac:dyDescent="0.3">
      <c r="B144" s="392" t="s">
        <v>546</v>
      </c>
      <c r="C144" s="5" t="s">
        <v>547</v>
      </c>
      <c r="D144" s="5"/>
      <c r="E144" s="5"/>
      <c r="F144" s="5"/>
      <c r="G144" s="382"/>
      <c r="H144" s="393" t="s">
        <v>250</v>
      </c>
      <c r="I144" s="786"/>
      <c r="J144" s="374">
        <v>1500000</v>
      </c>
      <c r="K144" s="323">
        <f>+J144*I144</f>
        <v>0</v>
      </c>
      <c r="M144" s="722">
        <v>750000</v>
      </c>
      <c r="N144" s="722">
        <v>1000000</v>
      </c>
      <c r="O144" s="722">
        <v>1500000</v>
      </c>
    </row>
    <row r="145" spans="2:15" x14ac:dyDescent="0.3">
      <c r="B145" s="392"/>
      <c r="C145" s="5"/>
      <c r="D145" s="5"/>
      <c r="E145" s="5"/>
      <c r="F145" s="5"/>
      <c r="G145" s="395"/>
      <c r="H145" s="823"/>
      <c r="I145" s="824"/>
      <c r="J145" s="397"/>
      <c r="K145" s="398"/>
      <c r="M145" s="389"/>
      <c r="N145" s="389"/>
      <c r="O145" s="389"/>
    </row>
    <row r="146" spans="2:15" x14ac:dyDescent="0.3">
      <c r="B146" s="392" t="s">
        <v>548</v>
      </c>
      <c r="C146" s="754" t="s">
        <v>549</v>
      </c>
      <c r="D146" s="754"/>
      <c r="E146" s="754"/>
      <c r="F146" s="5"/>
      <c r="G146" s="382"/>
      <c r="H146" s="399"/>
      <c r="I146" s="394"/>
      <c r="J146" s="387"/>
      <c r="K146" s="383"/>
    </row>
    <row r="147" spans="2:15" hidden="1" x14ac:dyDescent="0.3">
      <c r="B147" s="392"/>
      <c r="C147" s="1569" t="s">
        <v>664</v>
      </c>
      <c r="D147" s="1570"/>
      <c r="E147" s="1570"/>
      <c r="F147" s="1570"/>
      <c r="G147" s="1571"/>
      <c r="H147" s="399"/>
      <c r="I147" s="394"/>
      <c r="J147" s="387"/>
      <c r="K147" s="383"/>
    </row>
    <row r="148" spans="2:15" hidden="1" x14ac:dyDescent="0.3">
      <c r="B148" s="392"/>
      <c r="C148" s="1569"/>
      <c r="D148" s="1570"/>
      <c r="E148" s="1570"/>
      <c r="F148" s="1570"/>
      <c r="G148" s="1571"/>
      <c r="H148" s="399"/>
      <c r="I148" s="394"/>
      <c r="J148" s="387"/>
      <c r="K148" s="383"/>
    </row>
    <row r="149" spans="2:15" hidden="1" x14ac:dyDescent="0.3">
      <c r="B149" s="392"/>
      <c r="C149" s="1569"/>
      <c r="D149" s="1570"/>
      <c r="E149" s="1570"/>
      <c r="F149" s="1570"/>
      <c r="G149" s="1571"/>
      <c r="H149" s="399"/>
      <c r="I149" s="394"/>
      <c r="J149" s="387"/>
      <c r="K149" s="383"/>
    </row>
    <row r="150" spans="2:15" x14ac:dyDescent="0.3">
      <c r="B150" s="102" t="s">
        <v>550</v>
      </c>
      <c r="C150" s="754" t="s">
        <v>871</v>
      </c>
      <c r="D150" s="978"/>
      <c r="E150" s="978"/>
      <c r="F150" s="978"/>
      <c r="G150" s="985"/>
      <c r="H150" s="986"/>
      <c r="I150" s="970"/>
      <c r="J150" s="987"/>
      <c r="K150" s="383"/>
    </row>
    <row r="151" spans="2:15" hidden="1" x14ac:dyDescent="0.3">
      <c r="B151" s="392"/>
      <c r="C151" s="752" t="str">
        <f>B134</f>
        <v>a.</v>
      </c>
      <c r="D151" s="14" t="s">
        <v>552</v>
      </c>
      <c r="E151" s="14"/>
      <c r="F151" s="1"/>
      <c r="G151" s="7"/>
      <c r="H151" s="396" t="s">
        <v>15</v>
      </c>
      <c r="I151" s="400"/>
      <c r="J151" s="387">
        <f>HARSAT!H133</f>
        <v>22324.5</v>
      </c>
      <c r="K151" s="323">
        <f t="shared" ref="K151:K154" si="6">+J151*I151</f>
        <v>0</v>
      </c>
    </row>
    <row r="152" spans="2:15" hidden="1" x14ac:dyDescent="0.3">
      <c r="B152" s="392"/>
      <c r="C152" s="752" t="str">
        <f>B135</f>
        <v>b.</v>
      </c>
      <c r="D152" s="14" t="s">
        <v>553</v>
      </c>
      <c r="E152" s="14"/>
      <c r="F152" s="1"/>
      <c r="G152" s="7"/>
      <c r="H152" s="396" t="s">
        <v>15</v>
      </c>
      <c r="I152" s="400"/>
      <c r="J152" s="387">
        <f>HARSAT!H134</f>
        <v>15125</v>
      </c>
      <c r="K152" s="323">
        <f t="shared" si="6"/>
        <v>0</v>
      </c>
    </row>
    <row r="153" spans="2:15" x14ac:dyDescent="0.3">
      <c r="B153" s="392"/>
      <c r="C153" s="752" t="str">
        <f>B139</f>
        <v>a.</v>
      </c>
      <c r="D153" s="14" t="s">
        <v>554</v>
      </c>
      <c r="E153" s="14"/>
      <c r="F153" s="1"/>
      <c r="G153" s="7"/>
      <c r="H153" s="396" t="s">
        <v>15</v>
      </c>
      <c r="I153" s="400">
        <f>I139</f>
        <v>8</v>
      </c>
      <c r="J153" s="387">
        <f>HARSAT!H145</f>
        <v>21007.170749999997</v>
      </c>
      <c r="K153" s="323">
        <f t="shared" si="6"/>
        <v>168057.36599999998</v>
      </c>
    </row>
    <row r="154" spans="2:15" x14ac:dyDescent="0.3">
      <c r="B154" s="392"/>
      <c r="C154" s="752" t="str">
        <f>B140</f>
        <v>b.</v>
      </c>
      <c r="D154" s="14" t="s">
        <v>555</v>
      </c>
      <c r="E154" s="14"/>
      <c r="F154" s="1"/>
      <c r="G154" s="7"/>
      <c r="H154" s="396" t="s">
        <v>15</v>
      </c>
      <c r="I154" s="400">
        <f>I140</f>
        <v>12</v>
      </c>
      <c r="J154" s="387">
        <f>HARSAT!H147</f>
        <v>18342.045749999997</v>
      </c>
      <c r="K154" s="323">
        <f t="shared" si="6"/>
        <v>220104.54899999997</v>
      </c>
    </row>
    <row r="155" spans="2:15" hidden="1" x14ac:dyDescent="0.3">
      <c r="B155" s="102" t="s">
        <v>550</v>
      </c>
      <c r="C155" s="754" t="s">
        <v>551</v>
      </c>
      <c r="D155" s="754"/>
      <c r="E155" s="754"/>
      <c r="F155" s="5"/>
      <c r="G155" s="382"/>
      <c r="H155" s="399"/>
      <c r="I155" s="394"/>
      <c r="J155" s="387"/>
      <c r="K155" s="383"/>
    </row>
    <row r="156" spans="2:15" hidden="1" x14ac:dyDescent="0.3">
      <c r="B156" s="102"/>
      <c r="C156" s="752" t="str">
        <f>B134</f>
        <v>a.</v>
      </c>
      <c r="D156" s="14" t="s">
        <v>552</v>
      </c>
      <c r="E156" s="14"/>
      <c r="F156" s="1"/>
      <c r="G156" s="7"/>
      <c r="H156" s="396" t="s">
        <v>15</v>
      </c>
      <c r="I156" s="400">
        <f>I134</f>
        <v>0</v>
      </c>
      <c r="J156" s="387">
        <f>HARSAT!H141</f>
        <v>33635.554199999999</v>
      </c>
      <c r="K156" s="323">
        <f t="shared" ref="K156:K167" si="7">+J156*I156</f>
        <v>0</v>
      </c>
      <c r="M156" s="401"/>
    </row>
    <row r="157" spans="2:15" hidden="1" x14ac:dyDescent="0.3">
      <c r="B157" s="102"/>
      <c r="C157" s="752" t="str">
        <f>B135</f>
        <v>b.</v>
      </c>
      <c r="D157" s="14" t="s">
        <v>553</v>
      </c>
      <c r="E157" s="14"/>
      <c r="F157" s="1"/>
      <c r="G157" s="7"/>
      <c r="H157" s="396" t="s">
        <v>15</v>
      </c>
      <c r="I157" s="400">
        <f>I135</f>
        <v>0</v>
      </c>
      <c r="J157" s="387">
        <f>HARSAT!H143</f>
        <v>25822.795749999997</v>
      </c>
      <c r="K157" s="323">
        <f t="shared" si="7"/>
        <v>0</v>
      </c>
      <c r="M157" s="401"/>
    </row>
    <row r="158" spans="2:15" hidden="1" x14ac:dyDescent="0.3">
      <c r="B158" s="102"/>
      <c r="C158" s="752" t="str">
        <f>B136</f>
        <v>c.</v>
      </c>
      <c r="D158" s="14" t="s">
        <v>554</v>
      </c>
      <c r="E158" s="14"/>
      <c r="F158" s="1"/>
      <c r="G158" s="7"/>
      <c r="H158" s="396" t="s">
        <v>15</v>
      </c>
      <c r="I158" s="400">
        <f>I136</f>
        <v>0</v>
      </c>
      <c r="J158" s="387">
        <f>HARSAT!H145</f>
        <v>21007.170749999997</v>
      </c>
      <c r="K158" s="323">
        <f t="shared" si="7"/>
        <v>0</v>
      </c>
      <c r="M158" s="401"/>
    </row>
    <row r="159" spans="2:15" hidden="1" x14ac:dyDescent="0.3">
      <c r="B159" s="102"/>
      <c r="C159" s="752" t="str">
        <f>B137</f>
        <v>d.</v>
      </c>
      <c r="D159" s="14" t="s">
        <v>555</v>
      </c>
      <c r="E159" s="14"/>
      <c r="F159" s="1"/>
      <c r="G159" s="7"/>
      <c r="H159" s="396" t="s">
        <v>15</v>
      </c>
      <c r="I159" s="400">
        <f>I137</f>
        <v>0</v>
      </c>
      <c r="J159" s="387">
        <f>HARSAT!H147</f>
        <v>18342.045749999997</v>
      </c>
      <c r="K159" s="323">
        <f t="shared" si="7"/>
        <v>0</v>
      </c>
      <c r="L159" s="313">
        <f>I159/6</f>
        <v>0</v>
      </c>
      <c r="M159" s="401"/>
    </row>
    <row r="160" spans="2:15" hidden="1" x14ac:dyDescent="0.3">
      <c r="B160" s="102" t="s">
        <v>550</v>
      </c>
      <c r="C160" s="754" t="s">
        <v>872</v>
      </c>
      <c r="D160" s="754"/>
      <c r="E160" s="754"/>
      <c r="F160" s="5"/>
      <c r="G160" s="382"/>
      <c r="H160" s="399"/>
      <c r="I160" s="394"/>
      <c r="J160" s="387"/>
      <c r="K160" s="383"/>
      <c r="M160" s="401"/>
    </row>
    <row r="161" spans="2:13" hidden="1" x14ac:dyDescent="0.3">
      <c r="B161" s="102"/>
      <c r="C161" s="752" t="str">
        <f>B134</f>
        <v>a.</v>
      </c>
      <c r="D161" s="14" t="s">
        <v>552</v>
      </c>
      <c r="E161" s="14"/>
      <c r="F161" s="1"/>
      <c r="G161" s="7"/>
      <c r="H161" s="396" t="s">
        <v>15</v>
      </c>
      <c r="I161" s="400"/>
      <c r="J161" s="387">
        <f>HARSAT!H142</f>
        <v>45794.113199999993</v>
      </c>
      <c r="K161" s="323">
        <f t="shared" ref="K161:K164" si="8">+J161*I161</f>
        <v>0</v>
      </c>
      <c r="M161" s="401"/>
    </row>
    <row r="162" spans="2:13" hidden="1" x14ac:dyDescent="0.3">
      <c r="B162" s="102"/>
      <c r="C162" s="752" t="str">
        <f>B135</f>
        <v>b.</v>
      </c>
      <c r="D162" s="14" t="s">
        <v>553</v>
      </c>
      <c r="E162" s="14"/>
      <c r="F162" s="1"/>
      <c r="G162" s="7"/>
      <c r="H162" s="396" t="s">
        <v>15</v>
      </c>
      <c r="I162" s="400"/>
      <c r="J162" s="387">
        <f>HARSAT!H144</f>
        <v>37643.616999999998</v>
      </c>
      <c r="K162" s="323">
        <f t="shared" si="8"/>
        <v>0</v>
      </c>
      <c r="M162" s="401"/>
    </row>
    <row r="163" spans="2:13" hidden="1" x14ac:dyDescent="0.3">
      <c r="B163" s="102"/>
      <c r="C163" s="752" t="str">
        <f>B136</f>
        <v>c.</v>
      </c>
      <c r="D163" s="14" t="s">
        <v>554</v>
      </c>
      <c r="E163" s="14"/>
      <c r="F163" s="1"/>
      <c r="G163" s="7"/>
      <c r="H163" s="396" t="s">
        <v>15</v>
      </c>
      <c r="I163" s="400"/>
      <c r="J163" s="387">
        <f>HARSAT!H146</f>
        <v>32827.991999999998</v>
      </c>
      <c r="K163" s="323">
        <f t="shared" si="8"/>
        <v>0</v>
      </c>
      <c r="M163" s="401"/>
    </row>
    <row r="164" spans="2:13" hidden="1" x14ac:dyDescent="0.3">
      <c r="B164" s="102"/>
      <c r="C164" s="752" t="str">
        <f>B137</f>
        <v>d.</v>
      </c>
      <c r="D164" s="14" t="s">
        <v>555</v>
      </c>
      <c r="E164" s="14"/>
      <c r="F164" s="1"/>
      <c r="G164" s="7"/>
      <c r="H164" s="396" t="s">
        <v>15</v>
      </c>
      <c r="I164" s="400"/>
      <c r="J164" s="387">
        <f>HARSAT!H148</f>
        <v>30162.866999999998</v>
      </c>
      <c r="K164" s="323">
        <f t="shared" si="8"/>
        <v>0</v>
      </c>
      <c r="M164" s="401"/>
    </row>
    <row r="165" spans="2:13" hidden="1" x14ac:dyDescent="0.3">
      <c r="B165" s="430" t="s">
        <v>873</v>
      </c>
      <c r="C165" s="5" t="s">
        <v>556</v>
      </c>
      <c r="D165" s="14"/>
      <c r="E165" s="14"/>
      <c r="F165" s="1"/>
      <c r="G165" s="7"/>
      <c r="H165" s="396" t="s">
        <v>250</v>
      </c>
      <c r="I165" s="394"/>
      <c r="J165" s="387">
        <v>300000</v>
      </c>
      <c r="K165" s="323">
        <f t="shared" si="7"/>
        <v>0</v>
      </c>
    </row>
    <row r="166" spans="2:13" x14ac:dyDescent="0.3">
      <c r="B166" s="430" t="s">
        <v>662</v>
      </c>
      <c r="C166" s="5" t="s">
        <v>558</v>
      </c>
      <c r="D166" s="14"/>
      <c r="E166" s="14"/>
      <c r="F166" s="1"/>
      <c r="G166" s="7"/>
      <c r="H166" s="396" t="s">
        <v>250</v>
      </c>
      <c r="I166" s="394">
        <v>1</v>
      </c>
      <c r="J166" s="387">
        <v>300000</v>
      </c>
      <c r="K166" s="323">
        <f t="shared" si="7"/>
        <v>300000</v>
      </c>
    </row>
    <row r="167" spans="2:13" x14ac:dyDescent="0.3">
      <c r="B167" s="430" t="s">
        <v>557</v>
      </c>
      <c r="C167" s="754" t="s">
        <v>559</v>
      </c>
      <c r="D167" s="14"/>
      <c r="E167" s="14"/>
      <c r="F167" s="1"/>
      <c r="G167" s="7"/>
      <c r="H167" s="396" t="s">
        <v>250</v>
      </c>
      <c r="I167" s="394">
        <v>1</v>
      </c>
      <c r="J167" s="974">
        <v>335000</v>
      </c>
      <c r="K167" s="323">
        <f t="shared" si="7"/>
        <v>335000</v>
      </c>
    </row>
    <row r="168" spans="2:13" x14ac:dyDescent="0.3">
      <c r="B168" s="392"/>
      <c r="C168" s="5"/>
      <c r="D168" s="316"/>
      <c r="E168" s="316"/>
      <c r="F168" s="1"/>
      <c r="G168" s="7"/>
      <c r="H168" s="7"/>
      <c r="I168" s="321"/>
      <c r="J168" s="374"/>
      <c r="K168" s="383"/>
    </row>
    <row r="169" spans="2:13" x14ac:dyDescent="0.3">
      <c r="B169" s="351">
        <v>2</v>
      </c>
      <c r="C169" s="751" t="s">
        <v>690</v>
      </c>
      <c r="D169" s="755"/>
      <c r="E169" s="755"/>
      <c r="F169" s="755"/>
      <c r="G169" s="413"/>
      <c r="H169" s="385"/>
      <c r="I169" s="414"/>
      <c r="J169" s="374"/>
      <c r="K169" s="383"/>
    </row>
    <row r="170" spans="2:13" x14ac:dyDescent="0.3">
      <c r="B170" s="388" t="s">
        <v>231</v>
      </c>
      <c r="C170" s="415" t="s">
        <v>85</v>
      </c>
      <c r="D170" s="755"/>
      <c r="E170" s="756"/>
      <c r="F170" s="755"/>
      <c r="G170" s="413"/>
      <c r="H170" s="385"/>
      <c r="I170" s="386"/>
      <c r="J170" s="387"/>
      <c r="K170" s="383"/>
    </row>
    <row r="171" spans="2:13" hidden="1" x14ac:dyDescent="0.3">
      <c r="B171" s="388"/>
      <c r="C171" s="988" t="s">
        <v>233</v>
      </c>
      <c r="D171" s="989" t="str">
        <f>HARSAT!D178</f>
        <v>Dia. 3" x 2" (RRJ)</v>
      </c>
      <c r="E171" s="756"/>
      <c r="F171" s="755"/>
      <c r="G171" s="413"/>
      <c r="H171" s="385" t="s">
        <v>86</v>
      </c>
      <c r="I171" s="386"/>
      <c r="J171" s="387">
        <f>HARSAT!H178</f>
        <v>119622.99999999999</v>
      </c>
      <c r="K171" s="383">
        <f t="shared" ref="K171" si="9">J171*I171</f>
        <v>0</v>
      </c>
    </row>
    <row r="172" spans="2:13" hidden="1" x14ac:dyDescent="0.3">
      <c r="B172" s="388"/>
      <c r="C172" s="988" t="s">
        <v>233</v>
      </c>
      <c r="D172" s="989" t="str">
        <f>HARSAT!D179</f>
        <v>Dia. 2" x 1,5" (SCJ)</v>
      </c>
      <c r="E172" s="756"/>
      <c r="F172" s="755"/>
      <c r="G172" s="413"/>
      <c r="H172" s="385" t="s">
        <v>86</v>
      </c>
      <c r="I172" s="386"/>
      <c r="J172" s="387">
        <f>HARSAT!H179</f>
        <v>54429.499999999993</v>
      </c>
      <c r="K172" s="383">
        <f t="shared" ref="K172:K203" si="10">J172*I172</f>
        <v>0</v>
      </c>
    </row>
    <row r="173" spans="2:13" hidden="1" x14ac:dyDescent="0.3">
      <c r="B173" s="388"/>
      <c r="C173" s="988" t="s">
        <v>233</v>
      </c>
      <c r="D173" s="989" t="str">
        <f>HARSAT!D180</f>
        <v>Dia. 2" x 1" (SCJ)</v>
      </c>
      <c r="E173" s="756"/>
      <c r="F173" s="755"/>
      <c r="G173" s="413"/>
      <c r="H173" s="385" t="s">
        <v>86</v>
      </c>
      <c r="I173" s="386"/>
      <c r="J173" s="387">
        <f>HARSAT!H180</f>
        <v>38157</v>
      </c>
      <c r="K173" s="383">
        <f t="shared" si="10"/>
        <v>0</v>
      </c>
    </row>
    <row r="174" spans="2:13" x14ac:dyDescent="0.3">
      <c r="B174" s="388"/>
      <c r="C174" s="988" t="s">
        <v>233</v>
      </c>
      <c r="D174" s="989" t="str">
        <f>HARSAT!D182</f>
        <v>Dia. 1,5" x 1" AW</v>
      </c>
      <c r="E174" s="756"/>
      <c r="F174" s="755"/>
      <c r="G174" s="413"/>
      <c r="H174" s="385" t="s">
        <v>86</v>
      </c>
      <c r="I174" s="386">
        <v>1</v>
      </c>
      <c r="J174" s="387">
        <f>HARSAT!H182</f>
        <v>9487.5</v>
      </c>
      <c r="K174" s="383">
        <f t="shared" si="10"/>
        <v>9487.5</v>
      </c>
    </row>
    <row r="175" spans="2:13" x14ac:dyDescent="0.3">
      <c r="B175" s="388" t="s">
        <v>234</v>
      </c>
      <c r="C175" s="416" t="s">
        <v>87</v>
      </c>
      <c r="D175" s="756"/>
      <c r="E175" s="756"/>
      <c r="F175" s="755"/>
      <c r="G175" s="413"/>
      <c r="H175" s="385"/>
      <c r="I175" s="386"/>
      <c r="J175" s="387"/>
      <c r="K175" s="383">
        <f t="shared" si="10"/>
        <v>0</v>
      </c>
    </row>
    <row r="176" spans="2:13" hidden="1" x14ac:dyDescent="0.3">
      <c r="B176" s="388"/>
      <c r="C176" s="988" t="s">
        <v>233</v>
      </c>
      <c r="D176" s="756" t="str">
        <f>HARSAT!D185</f>
        <v>Dia. 2" x 2"  (RRJ)</v>
      </c>
      <c r="E176" s="756"/>
      <c r="F176" s="755"/>
      <c r="G176" s="413"/>
      <c r="H176" s="385" t="s">
        <v>86</v>
      </c>
      <c r="I176" s="386"/>
      <c r="J176" s="387">
        <f>HARSAT!H185</f>
        <v>184885.5</v>
      </c>
      <c r="K176" s="383">
        <f t="shared" si="10"/>
        <v>0</v>
      </c>
    </row>
    <row r="177" spans="2:11" hidden="1" x14ac:dyDescent="0.3">
      <c r="B177" s="388"/>
      <c r="C177" s="988" t="s">
        <v>233</v>
      </c>
      <c r="D177" s="756" t="str">
        <f>HARSAT!D186</f>
        <v>Dia. 2" x 1,5"  (SCJ)</v>
      </c>
      <c r="E177" s="756"/>
      <c r="F177" s="755"/>
      <c r="G177" s="413"/>
      <c r="H177" s="385" t="s">
        <v>86</v>
      </c>
      <c r="I177" s="386"/>
      <c r="J177" s="387">
        <f>HARSAT!H186</f>
        <v>130536.49999999999</v>
      </c>
      <c r="K177" s="383">
        <f t="shared" si="10"/>
        <v>0</v>
      </c>
    </row>
    <row r="178" spans="2:11" hidden="1" x14ac:dyDescent="0.3">
      <c r="B178" s="388"/>
      <c r="C178" s="988" t="s">
        <v>233</v>
      </c>
      <c r="D178" s="756" t="str">
        <f>HARSAT!D187</f>
        <v>Dia. 2" x 1"  (SCJ)</v>
      </c>
      <c r="E178" s="756"/>
      <c r="F178" s="755"/>
      <c r="G178" s="413"/>
      <c r="H178" s="385" t="s">
        <v>86</v>
      </c>
      <c r="I178" s="386"/>
      <c r="J178" s="387">
        <f>HARSAT!H187</f>
        <v>163139</v>
      </c>
      <c r="K178" s="383">
        <f t="shared" si="10"/>
        <v>0</v>
      </c>
    </row>
    <row r="179" spans="2:11" hidden="1" x14ac:dyDescent="0.3">
      <c r="B179" s="388"/>
      <c r="C179" s="988" t="s">
        <v>233</v>
      </c>
      <c r="D179" s="756" t="str">
        <f>HARSAT!D188</f>
        <v>Dia. 1,5" x 1,5"  (SCJ)</v>
      </c>
      <c r="E179" s="756"/>
      <c r="F179" s="755"/>
      <c r="G179" s="413"/>
      <c r="H179" s="385" t="s">
        <v>86</v>
      </c>
      <c r="I179" s="386"/>
      <c r="J179" s="387">
        <f>HARSAT!H188</f>
        <v>33660.5</v>
      </c>
      <c r="K179" s="383">
        <f t="shared" si="10"/>
        <v>0</v>
      </c>
    </row>
    <row r="180" spans="2:11" hidden="1" x14ac:dyDescent="0.3">
      <c r="B180" s="388"/>
      <c r="C180" s="988" t="s">
        <v>233</v>
      </c>
      <c r="D180" s="756" t="str">
        <f>HARSAT!D189</f>
        <v>Dia. 1,5" x 1"  (SCJ)</v>
      </c>
      <c r="E180" s="756"/>
      <c r="F180" s="755"/>
      <c r="G180" s="413"/>
      <c r="H180" s="385" t="s">
        <v>86</v>
      </c>
      <c r="I180" s="386"/>
      <c r="J180" s="387">
        <f>HARSAT!H189</f>
        <v>31808.999999999996</v>
      </c>
      <c r="K180" s="383">
        <f t="shared" si="10"/>
        <v>0</v>
      </c>
    </row>
    <row r="181" spans="2:11" x14ac:dyDescent="0.3">
      <c r="B181" s="388"/>
      <c r="C181" s="988" t="s">
        <v>233</v>
      </c>
      <c r="D181" s="756" t="str">
        <f>HARSAT!D192</f>
        <v>Dia. 1" x 1"  (AW)</v>
      </c>
      <c r="E181" s="756"/>
      <c r="F181" s="755"/>
      <c r="G181" s="413"/>
      <c r="H181" s="385" t="s">
        <v>86</v>
      </c>
      <c r="I181" s="386">
        <v>1</v>
      </c>
      <c r="J181" s="387">
        <f>HARSAT!H192</f>
        <v>7934.9999999999991</v>
      </c>
      <c r="K181" s="383">
        <f t="shared" si="10"/>
        <v>7934.9999999999991</v>
      </c>
    </row>
    <row r="182" spans="2:11" x14ac:dyDescent="0.3">
      <c r="B182" s="388" t="s">
        <v>251</v>
      </c>
      <c r="C182" s="416" t="s">
        <v>88</v>
      </c>
      <c r="D182" s="756"/>
      <c r="E182" s="756"/>
      <c r="F182" s="755"/>
      <c r="G182" s="413"/>
      <c r="H182" s="385"/>
      <c r="I182" s="386"/>
      <c r="J182" s="387"/>
      <c r="K182" s="383">
        <f t="shared" si="10"/>
        <v>0</v>
      </c>
    </row>
    <row r="183" spans="2:11" hidden="1" x14ac:dyDescent="0.3">
      <c r="B183" s="388"/>
      <c r="C183" s="988" t="s">
        <v>233</v>
      </c>
      <c r="D183" s="756" t="str">
        <f>HARSAT!D195</f>
        <v>Dia. 3" x 900 (RRJ)</v>
      </c>
      <c r="E183" s="756"/>
      <c r="F183" s="755"/>
      <c r="G183" s="413"/>
      <c r="H183" s="385" t="s">
        <v>86</v>
      </c>
      <c r="I183" s="321"/>
      <c r="J183" s="387">
        <f>HARSAT!H195</f>
        <v>119622.99999999999</v>
      </c>
      <c r="K183" s="383">
        <f t="shared" si="10"/>
        <v>0</v>
      </c>
    </row>
    <row r="184" spans="2:11" hidden="1" x14ac:dyDescent="0.3">
      <c r="B184" s="388"/>
      <c r="C184" s="988" t="s">
        <v>233</v>
      </c>
      <c r="D184" s="756" t="str">
        <f>HARSAT!D196</f>
        <v>Dia. 3" x 450 (RRJ)</v>
      </c>
      <c r="E184" s="756"/>
      <c r="F184" s="755"/>
      <c r="G184" s="413"/>
      <c r="H184" s="385" t="s">
        <v>86</v>
      </c>
      <c r="I184" s="386"/>
      <c r="J184" s="387">
        <f>HARSAT!H196</f>
        <v>87020.5</v>
      </c>
      <c r="K184" s="383">
        <f t="shared" si="10"/>
        <v>0</v>
      </c>
    </row>
    <row r="185" spans="2:11" hidden="1" x14ac:dyDescent="0.3">
      <c r="B185" s="388"/>
      <c r="C185" s="988" t="s">
        <v>233</v>
      </c>
      <c r="D185" s="756" t="str">
        <f>HARSAT!D197</f>
        <v>Dia. 2" x 900 (RRJ)</v>
      </c>
      <c r="E185" s="756"/>
      <c r="F185" s="755"/>
      <c r="G185" s="413"/>
      <c r="H185" s="385" t="s">
        <v>86</v>
      </c>
      <c r="I185" s="386"/>
      <c r="J185" s="387">
        <f>HARSAT!H197</f>
        <v>32671.499999999996</v>
      </c>
      <c r="K185" s="383">
        <f t="shared" si="10"/>
        <v>0</v>
      </c>
    </row>
    <row r="186" spans="2:11" hidden="1" x14ac:dyDescent="0.3">
      <c r="B186" s="388"/>
      <c r="C186" s="988" t="s">
        <v>233</v>
      </c>
      <c r="D186" s="756" t="str">
        <f>HARSAT!D198</f>
        <v>Dia. 2" x 450 (RRJ)</v>
      </c>
      <c r="E186" s="756"/>
      <c r="F186" s="755"/>
      <c r="G186" s="413"/>
      <c r="H186" s="385" t="s">
        <v>86</v>
      </c>
      <c r="I186" s="386"/>
      <c r="J186" s="387">
        <f>HARSAT!H198</f>
        <v>31613.499999999996</v>
      </c>
      <c r="K186" s="383">
        <f t="shared" si="10"/>
        <v>0</v>
      </c>
    </row>
    <row r="187" spans="2:11" x14ac:dyDescent="0.3">
      <c r="B187" s="417"/>
      <c r="C187" s="988" t="s">
        <v>233</v>
      </c>
      <c r="D187" s="756" t="str">
        <f>HARSAT!D206</f>
        <v>Dia. 1,5" x 900 (AW)</v>
      </c>
      <c r="E187" s="756"/>
      <c r="F187" s="755"/>
      <c r="G187" s="413"/>
      <c r="H187" s="385" t="s">
        <v>86</v>
      </c>
      <c r="I187" s="386">
        <v>2</v>
      </c>
      <c r="J187" s="387">
        <f>HARSAT!H206</f>
        <v>9200</v>
      </c>
      <c r="K187" s="383">
        <f t="shared" si="10"/>
        <v>18400</v>
      </c>
    </row>
    <row r="188" spans="2:11" x14ac:dyDescent="0.3">
      <c r="B188" s="417"/>
      <c r="C188" s="988" t="s">
        <v>233</v>
      </c>
      <c r="D188" s="756" t="str">
        <f>HARSAT!D207</f>
        <v>Dia. 1" x 900 (AW)</v>
      </c>
      <c r="E188" s="756"/>
      <c r="F188" s="755"/>
      <c r="G188" s="413"/>
      <c r="H188" s="385" t="s">
        <v>86</v>
      </c>
      <c r="I188" s="386">
        <v>3</v>
      </c>
      <c r="J188" s="387">
        <f>HARSAT!H207</f>
        <v>5405</v>
      </c>
      <c r="K188" s="383">
        <f t="shared" si="10"/>
        <v>16215</v>
      </c>
    </row>
    <row r="189" spans="2:11" hidden="1" x14ac:dyDescent="0.3">
      <c r="B189" s="417"/>
      <c r="C189" s="988" t="s">
        <v>233</v>
      </c>
      <c r="D189" s="756" t="str">
        <f>HARSAT!D208</f>
        <v>Dia. 1/2" x 900 (AW)</v>
      </c>
      <c r="E189" s="756"/>
      <c r="F189" s="755"/>
      <c r="G189" s="1270"/>
      <c r="H189" s="385" t="s">
        <v>86</v>
      </c>
      <c r="I189" s="386"/>
      <c r="J189" s="387">
        <f>HARSAT!H208</f>
        <v>2875</v>
      </c>
      <c r="K189" s="383">
        <f t="shared" ref="K189" si="11">J189*I189</f>
        <v>0</v>
      </c>
    </row>
    <row r="190" spans="2:11" x14ac:dyDescent="0.3">
      <c r="B190" s="717" t="s">
        <v>253</v>
      </c>
      <c r="C190" s="415" t="s">
        <v>93</v>
      </c>
      <c r="D190" s="756"/>
      <c r="E190" s="756"/>
      <c r="F190" s="755"/>
      <c r="G190" s="413"/>
      <c r="H190" s="385"/>
      <c r="I190" s="386"/>
      <c r="J190" s="387"/>
      <c r="K190" s="383">
        <f t="shared" si="10"/>
        <v>0</v>
      </c>
    </row>
    <row r="191" spans="2:11" hidden="1" x14ac:dyDescent="0.3">
      <c r="B191" s="417"/>
      <c r="C191" s="988" t="s">
        <v>233</v>
      </c>
      <c r="D191" s="756" t="str">
        <f>HARSAT!D218</f>
        <v>Dia. 3"</v>
      </c>
      <c r="E191" s="756"/>
      <c r="F191" s="755"/>
      <c r="G191" s="413"/>
      <c r="H191" s="385" t="s">
        <v>86</v>
      </c>
      <c r="I191" s="386"/>
      <c r="J191" s="387">
        <f>HARSAT!H218</f>
        <v>1954999.9999999998</v>
      </c>
      <c r="K191" s="383">
        <f t="shared" ref="K191" si="12">J191*I191</f>
        <v>0</v>
      </c>
    </row>
    <row r="192" spans="2:11" hidden="1" x14ac:dyDescent="0.3">
      <c r="B192" s="417"/>
      <c r="C192" s="988" t="s">
        <v>233</v>
      </c>
      <c r="D192" s="756" t="str">
        <f>HARSAT!D219</f>
        <v>Dia. 2"</v>
      </c>
      <c r="E192" s="756"/>
      <c r="F192" s="755"/>
      <c r="G192" s="413"/>
      <c r="H192" s="385" t="s">
        <v>86</v>
      </c>
      <c r="I192" s="386"/>
      <c r="J192" s="387">
        <f>HARSAT!H219</f>
        <v>718750</v>
      </c>
      <c r="K192" s="383">
        <f t="shared" si="10"/>
        <v>0</v>
      </c>
    </row>
    <row r="193" spans="2:12" x14ac:dyDescent="0.3">
      <c r="B193" s="417"/>
      <c r="C193" s="988" t="s">
        <v>233</v>
      </c>
      <c r="D193" s="756" t="str">
        <f>HARSAT!D220</f>
        <v>Dia. 1,5"</v>
      </c>
      <c r="E193" s="756"/>
      <c r="F193" s="755"/>
      <c r="G193" s="413"/>
      <c r="H193" s="385" t="s">
        <v>86</v>
      </c>
      <c r="I193" s="386">
        <v>1</v>
      </c>
      <c r="J193" s="387">
        <f>HARSAT!H220</f>
        <v>419749.99999999994</v>
      </c>
      <c r="K193" s="383">
        <f t="shared" si="10"/>
        <v>419749.99999999994</v>
      </c>
    </row>
    <row r="194" spans="2:12" x14ac:dyDescent="0.3">
      <c r="B194" s="417"/>
      <c r="C194" s="988" t="s">
        <v>233</v>
      </c>
      <c r="D194" s="756" t="str">
        <f>HARSAT!D221</f>
        <v>Dia. 1"</v>
      </c>
      <c r="E194" s="756"/>
      <c r="F194" s="755"/>
      <c r="G194" s="413"/>
      <c r="H194" s="385" t="s">
        <v>86</v>
      </c>
      <c r="I194" s="386">
        <v>1</v>
      </c>
      <c r="J194" s="387">
        <f>HARSAT!H221</f>
        <v>206999.99999999997</v>
      </c>
      <c r="K194" s="383">
        <f t="shared" si="10"/>
        <v>206999.99999999997</v>
      </c>
    </row>
    <row r="195" spans="2:12" x14ac:dyDescent="0.3">
      <c r="B195" s="717" t="s">
        <v>340</v>
      </c>
      <c r="C195" s="415" t="s">
        <v>94</v>
      </c>
      <c r="D195" s="756"/>
      <c r="E195" s="756"/>
      <c r="F195" s="755"/>
      <c r="G195" s="413"/>
      <c r="H195" s="385"/>
      <c r="I195" s="386"/>
      <c r="J195" s="387"/>
      <c r="K195" s="383">
        <f t="shared" si="10"/>
        <v>0</v>
      </c>
    </row>
    <row r="196" spans="2:12" hidden="1" x14ac:dyDescent="0.3">
      <c r="B196" s="417"/>
      <c r="C196" s="988" t="s">
        <v>233</v>
      </c>
      <c r="D196" s="756" t="str">
        <f>HARSAT!D225</f>
        <v>Dia. 3" (SCJ)</v>
      </c>
      <c r="E196" s="756"/>
      <c r="F196" s="755"/>
      <c r="G196" s="413"/>
      <c r="H196" s="385" t="s">
        <v>86</v>
      </c>
      <c r="I196" s="386">
        <f>I191*2</f>
        <v>0</v>
      </c>
      <c r="J196" s="387">
        <f>HARSAT!H225</f>
        <v>85732.5</v>
      </c>
      <c r="K196" s="383">
        <f t="shared" ref="K196" si="13">J196*I196</f>
        <v>0</v>
      </c>
    </row>
    <row r="197" spans="2:12" hidden="1" x14ac:dyDescent="0.3">
      <c r="B197" s="417"/>
      <c r="C197" s="988" t="s">
        <v>233</v>
      </c>
      <c r="D197" s="756" t="str">
        <f>HARSAT!D226</f>
        <v>Dia. 2" (SCJ)</v>
      </c>
      <c r="E197" s="756"/>
      <c r="F197" s="755"/>
      <c r="G197" s="413"/>
      <c r="H197" s="385" t="s">
        <v>86</v>
      </c>
      <c r="I197" s="386">
        <f t="shared" ref="I197:I199" si="14">I192*2</f>
        <v>0</v>
      </c>
      <c r="J197" s="387">
        <f>HARSAT!H226</f>
        <v>80500</v>
      </c>
      <c r="K197" s="383">
        <f t="shared" si="10"/>
        <v>0</v>
      </c>
    </row>
    <row r="198" spans="2:12" x14ac:dyDescent="0.3">
      <c r="B198" s="417"/>
      <c r="C198" s="988" t="s">
        <v>233</v>
      </c>
      <c r="D198" s="756" t="str">
        <f>HARSAT!D232</f>
        <v>Dia. 1,5"  (SDL) AW</v>
      </c>
      <c r="E198" s="756"/>
      <c r="F198" s="755"/>
      <c r="G198" s="413"/>
      <c r="H198" s="385" t="s">
        <v>86</v>
      </c>
      <c r="I198" s="386">
        <f t="shared" si="14"/>
        <v>2</v>
      </c>
      <c r="J198" s="387">
        <f>HARSAT!H232</f>
        <v>4904.75</v>
      </c>
      <c r="K198" s="383">
        <f t="shared" si="10"/>
        <v>9809.5</v>
      </c>
    </row>
    <row r="199" spans="2:12" x14ac:dyDescent="0.3">
      <c r="B199" s="417"/>
      <c r="C199" s="988" t="s">
        <v>233</v>
      </c>
      <c r="D199" s="756" t="str">
        <f>HARSAT!D233</f>
        <v>Dia. 1"  (SDL) AW</v>
      </c>
      <c r="E199" s="756"/>
      <c r="F199" s="755"/>
      <c r="G199" s="413"/>
      <c r="H199" s="385" t="s">
        <v>86</v>
      </c>
      <c r="I199" s="386">
        <f t="shared" si="14"/>
        <v>2</v>
      </c>
      <c r="J199" s="387">
        <f>HARSAT!H233</f>
        <v>4830</v>
      </c>
      <c r="K199" s="383">
        <f t="shared" si="10"/>
        <v>9660</v>
      </c>
    </row>
    <row r="200" spans="2:12" x14ac:dyDescent="0.3">
      <c r="B200" s="717" t="s">
        <v>342</v>
      </c>
      <c r="C200" s="415" t="s">
        <v>95</v>
      </c>
      <c r="D200" s="756"/>
      <c r="E200" s="756"/>
      <c r="F200" s="755"/>
      <c r="G200" s="413"/>
      <c r="H200" s="385"/>
      <c r="I200" s="386"/>
      <c r="J200" s="387"/>
      <c r="K200" s="383">
        <f t="shared" si="10"/>
        <v>0</v>
      </c>
    </row>
    <row r="201" spans="2:12" x14ac:dyDescent="0.3">
      <c r="B201" s="417"/>
      <c r="C201" s="988" t="s">
        <v>233</v>
      </c>
      <c r="D201" s="756" t="str">
        <f>HARSAT!D241</f>
        <v>Dia. 1" (AW)</v>
      </c>
      <c r="E201" s="756"/>
      <c r="F201" s="755"/>
      <c r="G201" s="413"/>
      <c r="H201" s="385" t="s">
        <v>86</v>
      </c>
      <c r="I201" s="386">
        <v>1</v>
      </c>
      <c r="J201" s="387">
        <f>HARSAT!H241</f>
        <v>1724.9999999999998</v>
      </c>
      <c r="K201" s="383">
        <f t="shared" si="10"/>
        <v>1724.9999999999998</v>
      </c>
    </row>
    <row r="202" spans="2:12" hidden="1" x14ac:dyDescent="0.3">
      <c r="B202" s="717" t="s">
        <v>344</v>
      </c>
      <c r="C202" s="415" t="s">
        <v>97</v>
      </c>
      <c r="D202" s="756"/>
      <c r="E202" s="756"/>
      <c r="F202" s="755"/>
      <c r="G202" s="413"/>
      <c r="H202" s="385" t="s">
        <v>86</v>
      </c>
      <c r="I202" s="386"/>
      <c r="J202" s="387">
        <f>HARSAT!H246</f>
        <v>143750</v>
      </c>
      <c r="K202" s="383">
        <f t="shared" si="10"/>
        <v>0</v>
      </c>
    </row>
    <row r="203" spans="2:12" x14ac:dyDescent="0.3">
      <c r="B203" s="717" t="s">
        <v>346</v>
      </c>
      <c r="C203" s="415" t="str">
        <f>HARSAT!C248</f>
        <v>Lem PVC  ( 0,5 kg/kaleng )</v>
      </c>
      <c r="D203" s="756"/>
      <c r="E203" s="756"/>
      <c r="F203" s="755"/>
      <c r="G203" s="755"/>
      <c r="H203" s="385" t="s">
        <v>86</v>
      </c>
      <c r="I203" s="386">
        <v>1</v>
      </c>
      <c r="J203" s="387">
        <f>HARSAT!H248</f>
        <v>63249.999999999993</v>
      </c>
      <c r="K203" s="383">
        <f t="shared" si="10"/>
        <v>63249.999999999993</v>
      </c>
      <c r="L203" s="313">
        <f>(I137+I136)/250</f>
        <v>0</v>
      </c>
    </row>
    <row r="204" spans="2:12" x14ac:dyDescent="0.3">
      <c r="B204" s="358"/>
      <c r="C204" s="402"/>
      <c r="D204" s="173"/>
      <c r="E204" s="173"/>
      <c r="F204" s="173"/>
      <c r="G204" s="360"/>
      <c r="H204" s="361"/>
      <c r="I204" s="403"/>
      <c r="J204" s="404"/>
      <c r="K204" s="364"/>
    </row>
    <row r="205" spans="2:12" x14ac:dyDescent="0.3">
      <c r="B205" s="130"/>
      <c r="C205" s="694" t="s">
        <v>687</v>
      </c>
      <c r="D205" s="94"/>
      <c r="E205" s="94"/>
      <c r="F205" s="95"/>
      <c r="G205" s="378"/>
      <c r="H205" s="379"/>
      <c r="I205" s="380"/>
      <c r="J205" s="381"/>
      <c r="K205" s="699">
        <f>SUM(K131:K204)</f>
        <v>2364193.915</v>
      </c>
      <c r="L205" s="313">
        <f>K205</f>
        <v>2364193.915</v>
      </c>
    </row>
    <row r="206" spans="2:12" hidden="1" x14ac:dyDescent="0.3">
      <c r="B206" s="757"/>
      <c r="C206" s="406"/>
      <c r="D206" s="406"/>
      <c r="E206" s="406"/>
      <c r="F206" s="406"/>
      <c r="G206" s="405"/>
      <c r="H206" s="405"/>
      <c r="I206" s="407"/>
      <c r="J206" s="408"/>
      <c r="K206" s="758"/>
    </row>
    <row r="207" spans="2:12" hidden="1" x14ac:dyDescent="0.3">
      <c r="B207" s="759"/>
      <c r="C207" s="103"/>
      <c r="D207" s="103"/>
      <c r="E207" s="103"/>
      <c r="F207" s="103"/>
      <c r="I207" s="760"/>
      <c r="J207" s="426"/>
      <c r="K207" s="761"/>
    </row>
    <row r="208" spans="2:12" ht="15.6" hidden="1" x14ac:dyDescent="0.3">
      <c r="B208" s="762" t="s">
        <v>525</v>
      </c>
      <c r="C208" s="100"/>
      <c r="D208" s="100"/>
      <c r="E208" s="100"/>
      <c r="F208" s="100"/>
      <c r="G208" s="100"/>
      <c r="H208" s="100"/>
      <c r="I208" s="322"/>
      <c r="J208" s="587"/>
      <c r="K208" s="323"/>
    </row>
    <row r="209" spans="2:11" hidden="1" x14ac:dyDescent="0.3">
      <c r="B209" s="763" t="str">
        <f t="shared" ref="B209:B216" si="15">B66</f>
        <v>UNIT KERJA</v>
      </c>
      <c r="C209" s="3"/>
      <c r="D209" s="3"/>
      <c r="E209" s="3"/>
      <c r="F209" s="106" t="s">
        <v>2</v>
      </c>
      <c r="G209" s="3" t="str">
        <f t="shared" ref="G209:G216" si="16">G66</f>
        <v>DINAS PERUMAHAN DAN KAWASAN PERMUKIMAN KABUPATEN CIANJUR</v>
      </c>
      <c r="H209" s="100"/>
      <c r="I209" s="322"/>
      <c r="J209" s="764"/>
      <c r="K209" s="323"/>
    </row>
    <row r="210" spans="2:11" hidden="1" x14ac:dyDescent="0.3">
      <c r="B210" s="763" t="str">
        <f t="shared" si="15"/>
        <v>PROGRAM</v>
      </c>
      <c r="C210" s="3"/>
      <c r="D210" s="3"/>
      <c r="E210" s="3"/>
      <c r="F210" s="106" t="s">
        <v>2</v>
      </c>
      <c r="G210" s="3" t="str">
        <f t="shared" si="16"/>
        <v>PROGRAM PENGELOLAAN DAN PENGEMBANGAN SISTEM PENYEDIAAN AIR MINUM</v>
      </c>
      <c r="H210" s="100"/>
      <c r="I210" s="322"/>
      <c r="J210" s="764"/>
      <c r="K210" s="323"/>
    </row>
    <row r="211" spans="2:11" hidden="1" x14ac:dyDescent="0.3">
      <c r="B211" s="763" t="str">
        <f t="shared" si="15"/>
        <v>KEGIATAN</v>
      </c>
      <c r="C211" s="3"/>
      <c r="D211" s="3"/>
      <c r="E211" s="3"/>
      <c r="F211" s="106" t="s">
        <v>2</v>
      </c>
      <c r="G211" s="3" t="str">
        <f t="shared" si="16"/>
        <v>PENGELOLAAN DAN PENGEMBANGAN SISTEM PENYEDIAAN AIR MINUM (SPAM) DI DAERAH KABUPATEN/KOTA</v>
      </c>
      <c r="H211" s="100"/>
      <c r="I211" s="322"/>
      <c r="J211" s="764"/>
      <c r="K211" s="323"/>
    </row>
    <row r="212" spans="2:11" hidden="1" x14ac:dyDescent="0.3">
      <c r="B212" s="763" t="str">
        <f t="shared" si="15"/>
        <v>SUB KEGIATAN</v>
      </c>
      <c r="C212" s="3"/>
      <c r="D212" s="3"/>
      <c r="E212" s="3"/>
      <c r="F212" s="106" t="s">
        <v>2</v>
      </c>
      <c r="G212" s="3" t="str">
        <f t="shared" si="16"/>
        <v>PEMBANGUNAN SPAM BUKAN JARINGAN PERPIPAAN DI KAWASAN PERDESAAN</v>
      </c>
      <c r="H212" s="100"/>
      <c r="I212" s="322"/>
      <c r="J212" s="764"/>
      <c r="K212" s="323"/>
    </row>
    <row r="213" spans="2:11" hidden="1" x14ac:dyDescent="0.3">
      <c r="B213" s="763" t="str">
        <f t="shared" si="15"/>
        <v>PEKERJAAN</v>
      </c>
      <c r="C213" s="3"/>
      <c r="D213" s="3"/>
      <c r="E213" s="3"/>
      <c r="F213" s="106" t="s">
        <v>2</v>
      </c>
      <c r="G213" s="3" t="str">
        <f t="shared" si="16"/>
        <v>KURANGYA AIR BERSIH PESANTREN AL MARUF RT.03 RW.01 KP.BOBOJONG DESA BOBOJONG KECAMATAN MANDE</v>
      </c>
      <c r="H213" s="341"/>
      <c r="I213" s="341"/>
      <c r="J213" s="765"/>
      <c r="K213" s="766"/>
    </row>
    <row r="214" spans="2:11" hidden="1" x14ac:dyDescent="0.3">
      <c r="B214" s="763" t="str">
        <f t="shared" si="15"/>
        <v>LOKASI</v>
      </c>
      <c r="C214" s="3"/>
      <c r="D214" s="3"/>
      <c r="E214" s="3"/>
      <c r="F214" s="106" t="s">
        <v>2</v>
      </c>
      <c r="G214" s="3" t="str">
        <f t="shared" si="16"/>
        <v>PESANTREN AL MARUF RT.03 RW.01 KP.BOBOJONG DESA BOBOJONG KECAMATAN MANDE</v>
      </c>
      <c r="H214" s="409"/>
      <c r="I214" s="709"/>
      <c r="J214" s="764"/>
      <c r="K214" s="323"/>
    </row>
    <row r="215" spans="2:11" hidden="1" x14ac:dyDescent="0.3">
      <c r="B215" s="763" t="str">
        <f t="shared" si="15"/>
        <v>SUMBER DANA</v>
      </c>
      <c r="C215" s="3"/>
      <c r="D215" s="3"/>
      <c r="E215" s="3"/>
      <c r="F215" s="106" t="s">
        <v>2</v>
      </c>
      <c r="G215" s="3" t="str">
        <f t="shared" si="16"/>
        <v>DAU</v>
      </c>
      <c r="H215" s="767"/>
      <c r="I215" s="768"/>
      <c r="J215" s="764"/>
      <c r="K215" s="323"/>
    </row>
    <row r="216" spans="2:11" hidden="1" x14ac:dyDescent="0.3">
      <c r="B216" s="763" t="str">
        <f t="shared" si="15"/>
        <v>TAHUN ANGGARAN</v>
      </c>
      <c r="C216" s="3"/>
      <c r="D216" s="3"/>
      <c r="E216" s="3"/>
      <c r="F216" s="106" t="s">
        <v>2</v>
      </c>
      <c r="G216" s="3">
        <f t="shared" si="16"/>
        <v>2026</v>
      </c>
      <c r="H216" s="767"/>
      <c r="I216" s="768"/>
      <c r="J216" s="764"/>
      <c r="K216" s="323"/>
    </row>
    <row r="217" spans="2:11" ht="14.4" hidden="1" thickBot="1" x14ac:dyDescent="0.35">
      <c r="B217" s="769"/>
      <c r="C217" s="100"/>
      <c r="D217" s="100"/>
      <c r="E217" s="100"/>
      <c r="F217" s="100"/>
      <c r="G217" s="100"/>
      <c r="H217" s="100"/>
      <c r="I217" s="322"/>
      <c r="J217" s="764"/>
      <c r="K217" s="770" t="s">
        <v>91</v>
      </c>
    </row>
    <row r="218" spans="2:11" hidden="1" x14ac:dyDescent="0.3">
      <c r="B218" s="1534" t="s">
        <v>9</v>
      </c>
      <c r="C218" s="1537" t="s">
        <v>10</v>
      </c>
      <c r="D218" s="1537"/>
      <c r="E218" s="1537"/>
      <c r="F218" s="1537"/>
      <c r="G218" s="1538"/>
      <c r="H218" s="1543" t="s">
        <v>210</v>
      </c>
      <c r="I218" s="1546" t="s">
        <v>526</v>
      </c>
      <c r="J218" s="410" t="s">
        <v>212</v>
      </c>
      <c r="K218" s="347" t="s">
        <v>522</v>
      </c>
    </row>
    <row r="219" spans="2:11" hidden="1" x14ac:dyDescent="0.3">
      <c r="B219" s="1535"/>
      <c r="C219" s="1539"/>
      <c r="D219" s="1539"/>
      <c r="E219" s="1539"/>
      <c r="F219" s="1539"/>
      <c r="G219" s="1540"/>
      <c r="H219" s="1544"/>
      <c r="I219" s="1547"/>
      <c r="J219" s="411" t="s">
        <v>11</v>
      </c>
      <c r="K219" s="348" t="s">
        <v>212</v>
      </c>
    </row>
    <row r="220" spans="2:11" hidden="1" x14ac:dyDescent="0.3">
      <c r="B220" s="1536"/>
      <c r="C220" s="1541"/>
      <c r="D220" s="1541"/>
      <c r="E220" s="1541"/>
      <c r="F220" s="1541"/>
      <c r="G220" s="1542"/>
      <c r="H220" s="1545"/>
      <c r="I220" s="1548"/>
      <c r="J220" s="412" t="s">
        <v>13</v>
      </c>
      <c r="K220" s="349" t="s">
        <v>13</v>
      </c>
    </row>
    <row r="221" spans="2:11" hidden="1" x14ac:dyDescent="0.3">
      <c r="B221" s="320"/>
      <c r="C221" s="100"/>
      <c r="D221" s="100"/>
      <c r="E221" s="100"/>
      <c r="F221" s="100"/>
      <c r="G221" s="142"/>
      <c r="H221" s="100"/>
      <c r="I221" s="99"/>
      <c r="J221" s="418"/>
      <c r="K221" s="101"/>
    </row>
    <row r="222" spans="2:11" hidden="1" x14ac:dyDescent="0.3">
      <c r="B222" s="634" t="s">
        <v>681</v>
      </c>
      <c r="C222" s="750" t="s">
        <v>626</v>
      </c>
      <c r="D222" s="1"/>
      <c r="E222" s="1"/>
      <c r="F222" s="1"/>
      <c r="G222" s="7"/>
      <c r="H222" s="968"/>
      <c r="I222" s="350"/>
      <c r="J222" s="419"/>
      <c r="K222" s="834"/>
    </row>
    <row r="223" spans="2:11" hidden="1" x14ac:dyDescent="0.3">
      <c r="B223" s="102"/>
      <c r="C223" s="5"/>
      <c r="D223" s="1"/>
      <c r="E223" s="1"/>
      <c r="F223" s="1"/>
      <c r="G223" s="7"/>
      <c r="H223" s="106"/>
      <c r="I223" s="350"/>
      <c r="J223" s="419"/>
      <c r="K223" s="834"/>
    </row>
    <row r="224" spans="2:11" hidden="1" x14ac:dyDescent="0.3">
      <c r="B224" s="392">
        <v>1</v>
      </c>
      <c r="C224" s="754" t="s">
        <v>560</v>
      </c>
      <c r="D224" s="14"/>
      <c r="E224" s="14"/>
      <c r="F224" s="1"/>
      <c r="G224" s="7"/>
      <c r="H224" s="106" t="s">
        <v>38</v>
      </c>
      <c r="I224" s="394"/>
      <c r="J224" s="419">
        <f>'ANALISA SR'!I46</f>
        <v>1460109.55</v>
      </c>
      <c r="K224" s="832">
        <f t="shared" ref="K224" si="17">I224*J224</f>
        <v>0</v>
      </c>
    </row>
    <row r="225" spans="2:12" hidden="1" x14ac:dyDescent="0.3">
      <c r="B225" s="102"/>
      <c r="C225" s="751" t="s">
        <v>233</v>
      </c>
      <c r="D225" s="755" t="s">
        <v>101</v>
      </c>
      <c r="E225" s="755"/>
      <c r="F225" s="755"/>
      <c r="G225" s="413"/>
      <c r="H225" s="422" t="s">
        <v>15</v>
      </c>
      <c r="I225" s="786">
        <f>I224*1.5</f>
        <v>0</v>
      </c>
      <c r="J225" s="423">
        <f>HARSAT!H250</f>
        <v>54509.999999999993</v>
      </c>
      <c r="K225" s="832"/>
      <c r="L225" s="313">
        <f>K225/L44*100</f>
        <v>0</v>
      </c>
    </row>
    <row r="226" spans="2:12" hidden="1" x14ac:dyDescent="0.3">
      <c r="B226" s="102"/>
      <c r="C226" s="751" t="s">
        <v>233</v>
      </c>
      <c r="D226" s="755" t="s">
        <v>589</v>
      </c>
      <c r="E226" s="755"/>
      <c r="F226" s="755"/>
      <c r="G226" s="413"/>
      <c r="H226" s="422" t="s">
        <v>15</v>
      </c>
      <c r="I226" s="786">
        <f>I224*6</f>
        <v>0</v>
      </c>
      <c r="J226" s="423">
        <f>HARSAT!H167</f>
        <v>10670</v>
      </c>
      <c r="K226" s="832"/>
    </row>
    <row r="227" spans="2:12" hidden="1" x14ac:dyDescent="0.3">
      <c r="B227" s="102"/>
      <c r="C227" s="751" t="s">
        <v>233</v>
      </c>
      <c r="D227" s="755" t="s">
        <v>102</v>
      </c>
      <c r="E227" s="755"/>
      <c r="F227" s="755"/>
      <c r="G227" s="413"/>
      <c r="H227" s="422" t="s">
        <v>86</v>
      </c>
      <c r="I227" s="786"/>
      <c r="J227" s="423">
        <f>HARSAT!H255</f>
        <v>78200</v>
      </c>
      <c r="K227" s="832"/>
    </row>
    <row r="228" spans="2:12" hidden="1" x14ac:dyDescent="0.3">
      <c r="B228" s="102"/>
      <c r="C228" s="751" t="s">
        <v>233</v>
      </c>
      <c r="D228" s="755" t="s">
        <v>103</v>
      </c>
      <c r="E228" s="755"/>
      <c r="F228" s="755"/>
      <c r="G228" s="413"/>
      <c r="H228" s="422" t="s">
        <v>86</v>
      </c>
      <c r="I228" s="786"/>
      <c r="J228" s="423">
        <f>HARSAT!H256</f>
        <v>64399.999999999993</v>
      </c>
      <c r="K228" s="832"/>
    </row>
    <row r="229" spans="2:12" hidden="1" x14ac:dyDescent="0.3">
      <c r="B229" s="102"/>
      <c r="C229" s="751" t="s">
        <v>233</v>
      </c>
      <c r="D229" s="755" t="str">
        <f>[31]HARSAT!C168</f>
        <v xml:space="preserve">Tee PVC dia. 1" x 1/2" </v>
      </c>
      <c r="E229" s="755"/>
      <c r="F229" s="755"/>
      <c r="G229" s="413"/>
      <c r="H229" s="422" t="s">
        <v>86</v>
      </c>
      <c r="I229" s="786">
        <f>I224-I228</f>
        <v>0</v>
      </c>
      <c r="J229" s="423">
        <f>HARSAT!H257</f>
        <v>27000</v>
      </c>
      <c r="K229" s="832"/>
    </row>
    <row r="230" spans="2:12" hidden="1" x14ac:dyDescent="0.3">
      <c r="B230" s="102"/>
      <c r="C230" s="751" t="s">
        <v>233</v>
      </c>
      <c r="D230" s="755" t="str">
        <f>[31]HARSAT!C169</f>
        <v>Reducer PVC  dia. 1" x 1/2"</v>
      </c>
      <c r="E230" s="755"/>
      <c r="F230" s="755"/>
      <c r="G230" s="413"/>
      <c r="H230" s="422" t="s">
        <v>86</v>
      </c>
      <c r="I230" s="350"/>
      <c r="J230" s="423">
        <f>HARSAT!H258</f>
        <v>9775</v>
      </c>
      <c r="K230" s="832"/>
    </row>
    <row r="231" spans="2:12" hidden="1" x14ac:dyDescent="0.3">
      <c r="B231" s="102"/>
      <c r="C231" s="751" t="s">
        <v>233</v>
      </c>
      <c r="D231" s="755" t="s">
        <v>106</v>
      </c>
      <c r="E231" s="755"/>
      <c r="F231" s="755"/>
      <c r="G231" s="413"/>
      <c r="H231" s="422" t="s">
        <v>86</v>
      </c>
      <c r="I231" s="350"/>
      <c r="J231" s="423">
        <f>HARSAT!H259</f>
        <v>7474.9999999999991</v>
      </c>
      <c r="K231" s="832"/>
    </row>
    <row r="232" spans="2:12" hidden="1" x14ac:dyDescent="0.3">
      <c r="B232" s="102"/>
      <c r="C232" s="751" t="s">
        <v>233</v>
      </c>
      <c r="D232" s="693" t="s">
        <v>107</v>
      </c>
      <c r="E232" s="693"/>
      <c r="F232" s="693"/>
      <c r="G232" s="589"/>
      <c r="H232" s="590" t="s">
        <v>86</v>
      </c>
      <c r="I232" s="591">
        <f>I224*5</f>
        <v>0</v>
      </c>
      <c r="J232" s="423">
        <f>HARSAT!H260</f>
        <v>8100</v>
      </c>
      <c r="K232" s="832"/>
    </row>
    <row r="233" spans="2:12" hidden="1" x14ac:dyDescent="0.3">
      <c r="B233" s="102"/>
      <c r="C233" s="751" t="s">
        <v>233</v>
      </c>
      <c r="D233" s="693" t="s">
        <v>108</v>
      </c>
      <c r="E233" s="693"/>
      <c r="F233" s="693"/>
      <c r="G233" s="589"/>
      <c r="H233" s="590" t="s">
        <v>86</v>
      </c>
      <c r="I233" s="591">
        <f>I224*1</f>
        <v>0</v>
      </c>
      <c r="J233" s="423">
        <f>HARSAT!H261</f>
        <v>6324.9999999999991</v>
      </c>
      <c r="K233" s="832"/>
    </row>
    <row r="234" spans="2:12" hidden="1" x14ac:dyDescent="0.3">
      <c r="B234" s="102"/>
      <c r="C234" s="751" t="s">
        <v>233</v>
      </c>
      <c r="D234" s="693" t="str">
        <f>HARSAT!C263</f>
        <v>Soket Drat Luar PVC dia. 1/2" (SDL)</v>
      </c>
      <c r="E234" s="693"/>
      <c r="F234" s="693"/>
      <c r="G234" s="589"/>
      <c r="H234" s="590" t="s">
        <v>86</v>
      </c>
      <c r="I234" s="591">
        <f>I224*1</f>
        <v>0</v>
      </c>
      <c r="J234" s="423">
        <f>HARSAT!H263</f>
        <v>4140</v>
      </c>
      <c r="K234" s="832"/>
    </row>
    <row r="235" spans="2:12" hidden="1" x14ac:dyDescent="0.3">
      <c r="B235" s="102"/>
      <c r="C235" s="751" t="s">
        <v>233</v>
      </c>
      <c r="D235" s="693" t="s">
        <v>109</v>
      </c>
      <c r="E235" s="693"/>
      <c r="F235" s="693"/>
      <c r="G235" s="589"/>
      <c r="H235" s="590" t="s">
        <v>86</v>
      </c>
      <c r="I235" s="591"/>
      <c r="J235" s="423">
        <f>HARSAT!H264</f>
        <v>15524.999999999998</v>
      </c>
      <c r="K235" s="832"/>
    </row>
    <row r="236" spans="2:12" hidden="1" x14ac:dyDescent="0.3">
      <c r="B236" s="424"/>
      <c r="C236" s="751" t="s">
        <v>233</v>
      </c>
      <c r="D236" s="693" t="s">
        <v>110</v>
      </c>
      <c r="E236" s="693"/>
      <c r="F236" s="693"/>
      <c r="G236" s="589"/>
      <c r="H236" s="590" t="s">
        <v>86</v>
      </c>
      <c r="I236" s="591">
        <f>I224*3</f>
        <v>0</v>
      </c>
      <c r="J236" s="423">
        <f>HARSAT!H265</f>
        <v>6700</v>
      </c>
      <c r="K236" s="832"/>
    </row>
    <row r="237" spans="2:12" hidden="1" x14ac:dyDescent="0.3">
      <c r="B237" s="424"/>
      <c r="C237" s="751" t="s">
        <v>233</v>
      </c>
      <c r="D237" s="693" t="str">
        <f>HARSAT!C268</f>
        <v>Chek Valve dia. 1/2"</v>
      </c>
      <c r="E237" s="693"/>
      <c r="F237" s="693"/>
      <c r="G237" s="589"/>
      <c r="H237" s="590" t="s">
        <v>86</v>
      </c>
      <c r="I237" s="591">
        <f>I224</f>
        <v>0</v>
      </c>
      <c r="J237" s="423">
        <f>HARSAT!H268</f>
        <v>96000</v>
      </c>
      <c r="K237" s="832"/>
    </row>
    <row r="238" spans="2:12" hidden="1" x14ac:dyDescent="0.3">
      <c r="B238" s="102"/>
      <c r="C238" s="751" t="s">
        <v>233</v>
      </c>
      <c r="D238" s="755" t="s">
        <v>111</v>
      </c>
      <c r="E238" s="755"/>
      <c r="F238" s="755"/>
      <c r="G238" s="413"/>
      <c r="H238" s="422" t="s">
        <v>86</v>
      </c>
      <c r="I238" s="350">
        <f>I224*1</f>
        <v>0</v>
      </c>
      <c r="J238" s="423">
        <f>HARSAT!H270</f>
        <v>92000</v>
      </c>
      <c r="K238" s="832"/>
    </row>
    <row r="239" spans="2:12" hidden="1" x14ac:dyDescent="0.3">
      <c r="B239" s="102"/>
      <c r="C239" s="751" t="s">
        <v>233</v>
      </c>
      <c r="D239" s="755" t="s">
        <v>112</v>
      </c>
      <c r="E239" s="755"/>
      <c r="F239" s="755"/>
      <c r="G239" s="413"/>
      <c r="H239" s="422" t="s">
        <v>86</v>
      </c>
      <c r="I239" s="350">
        <f>I224*1</f>
        <v>0</v>
      </c>
      <c r="J239" s="423">
        <f>HARSAT!H271</f>
        <v>197000</v>
      </c>
      <c r="K239" s="832"/>
    </row>
    <row r="240" spans="2:12" hidden="1" x14ac:dyDescent="0.3">
      <c r="B240" s="102"/>
      <c r="C240" s="751" t="s">
        <v>233</v>
      </c>
      <c r="D240" s="755" t="s">
        <v>113</v>
      </c>
      <c r="E240" s="755"/>
      <c r="F240" s="755"/>
      <c r="G240" s="413"/>
      <c r="H240" s="422" t="s">
        <v>86</v>
      </c>
      <c r="I240" s="350">
        <f>I224*1</f>
        <v>0</v>
      </c>
      <c r="J240" s="423">
        <f>HARSAT!H272</f>
        <v>448000</v>
      </c>
      <c r="K240" s="832"/>
      <c r="L240" s="313">
        <v>376600</v>
      </c>
    </row>
    <row r="241" spans="2:14" hidden="1" x14ac:dyDescent="0.3">
      <c r="B241" s="102"/>
      <c r="C241" s="751" t="s">
        <v>233</v>
      </c>
      <c r="D241" s="755" t="s">
        <v>114</v>
      </c>
      <c r="E241" s="755"/>
      <c r="F241" s="755"/>
      <c r="G241" s="413"/>
      <c r="H241" s="422" t="s">
        <v>86</v>
      </c>
      <c r="I241" s="350">
        <f>I224*1</f>
        <v>0</v>
      </c>
      <c r="J241" s="423">
        <f>HARSAT!H273</f>
        <v>15800</v>
      </c>
      <c r="K241" s="832"/>
    </row>
    <row r="242" spans="2:14" hidden="1" x14ac:dyDescent="0.3">
      <c r="B242" s="425"/>
      <c r="C242" s="751" t="s">
        <v>233</v>
      </c>
      <c r="D242" s="755" t="s">
        <v>115</v>
      </c>
      <c r="E242" s="755"/>
      <c r="F242" s="755"/>
      <c r="G242" s="413"/>
      <c r="H242" s="422" t="s">
        <v>86</v>
      </c>
      <c r="I242" s="350">
        <f>I224*1</f>
        <v>0</v>
      </c>
      <c r="J242" s="423">
        <f>HARSAT!H274</f>
        <v>5175</v>
      </c>
      <c r="K242" s="832"/>
    </row>
    <row r="243" spans="2:14" hidden="1" x14ac:dyDescent="0.3">
      <c r="B243" s="102"/>
      <c r="C243" s="751" t="s">
        <v>233</v>
      </c>
      <c r="D243" s="755" t="s">
        <v>116</v>
      </c>
      <c r="E243" s="755"/>
      <c r="F243" s="755"/>
      <c r="G243" s="413"/>
      <c r="H243" s="422" t="s">
        <v>86</v>
      </c>
      <c r="I243" s="350">
        <f>I224*1</f>
        <v>0</v>
      </c>
      <c r="J243" s="423">
        <f>HARSAT!H275</f>
        <v>65000</v>
      </c>
      <c r="K243" s="832"/>
    </row>
    <row r="244" spans="2:14" hidden="1" x14ac:dyDescent="0.3">
      <c r="B244" s="102"/>
      <c r="C244" s="751" t="s">
        <v>233</v>
      </c>
      <c r="D244" s="755" t="s">
        <v>117</v>
      </c>
      <c r="E244" s="755"/>
      <c r="F244" s="755"/>
      <c r="G244" s="413"/>
      <c r="H244" s="422" t="s">
        <v>86</v>
      </c>
      <c r="I244" s="350">
        <f>I224*1.5</f>
        <v>0</v>
      </c>
      <c r="J244" s="423">
        <f>HARSAT!H276</f>
        <v>4600</v>
      </c>
      <c r="K244" s="832"/>
    </row>
    <row r="245" spans="2:14" hidden="1" x14ac:dyDescent="0.3">
      <c r="B245" s="102"/>
      <c r="C245" s="751" t="s">
        <v>233</v>
      </c>
      <c r="D245" s="755" t="s">
        <v>118</v>
      </c>
      <c r="E245" s="755"/>
      <c r="F245" s="755"/>
      <c r="G245" s="413"/>
      <c r="H245" s="422" t="s">
        <v>86</v>
      </c>
      <c r="I245" s="350">
        <f>I224*1</f>
        <v>0</v>
      </c>
      <c r="J245" s="423">
        <f>HARSAT!H277</f>
        <v>77000</v>
      </c>
      <c r="K245" s="832"/>
    </row>
    <row r="246" spans="2:14" hidden="1" x14ac:dyDescent="0.3">
      <c r="B246" s="102"/>
      <c r="C246" s="751" t="s">
        <v>233</v>
      </c>
      <c r="D246" s="755" t="str">
        <f>[31]HARSAT!C183</f>
        <v xml:space="preserve">Rabat Beton Dudukan Box SR </v>
      </c>
      <c r="E246" s="755"/>
      <c r="F246" s="755"/>
      <c r="G246" s="413"/>
      <c r="H246" s="422" t="s">
        <v>86</v>
      </c>
      <c r="I246" s="350">
        <f>I224*1</f>
        <v>0</v>
      </c>
      <c r="J246" s="426">
        <f>HARSAT!H278</f>
        <v>34500</v>
      </c>
      <c r="K246" s="835"/>
    </row>
    <row r="247" spans="2:14" hidden="1" x14ac:dyDescent="0.3">
      <c r="B247" s="102"/>
      <c r="C247" s="5"/>
      <c r="D247" s="1"/>
      <c r="E247" s="1"/>
      <c r="F247" s="1"/>
      <c r="G247" s="7"/>
      <c r="H247" s="106"/>
      <c r="I247" s="350"/>
      <c r="J247" s="421"/>
      <c r="K247" s="834"/>
    </row>
    <row r="248" spans="2:14" hidden="1" x14ac:dyDescent="0.3">
      <c r="B248" s="102">
        <v>2</v>
      </c>
      <c r="C248" s="752" t="s">
        <v>561</v>
      </c>
      <c r="D248" s="755"/>
      <c r="E248" s="755"/>
      <c r="F248" s="755"/>
      <c r="G248" s="413"/>
      <c r="H248" s="422"/>
      <c r="I248" s="350"/>
      <c r="J248" s="421"/>
      <c r="K248" s="832"/>
    </row>
    <row r="249" spans="2:14" hidden="1" x14ac:dyDescent="0.3">
      <c r="B249" s="102"/>
      <c r="C249" s="752" t="s">
        <v>562</v>
      </c>
      <c r="D249" s="755"/>
      <c r="E249" s="755"/>
      <c r="F249" s="755"/>
      <c r="G249" s="413"/>
      <c r="H249" s="422"/>
      <c r="I249" s="350"/>
      <c r="J249" s="421"/>
      <c r="K249" s="832"/>
    </row>
    <row r="250" spans="2:14" hidden="1" x14ac:dyDescent="0.3">
      <c r="B250" s="102"/>
      <c r="C250" s="752" t="s">
        <v>563</v>
      </c>
      <c r="D250" s="755"/>
      <c r="E250" s="755"/>
      <c r="F250" s="755"/>
      <c r="G250" s="413"/>
      <c r="H250" s="422"/>
      <c r="I250" s="350"/>
      <c r="J250" s="421"/>
      <c r="K250" s="832"/>
    </row>
    <row r="251" spans="2:14" hidden="1" x14ac:dyDescent="0.3">
      <c r="B251" s="102"/>
      <c r="C251" s="752" t="s">
        <v>233</v>
      </c>
      <c r="D251" s="755" t="s">
        <v>564</v>
      </c>
      <c r="E251" s="755"/>
      <c r="F251" s="755"/>
      <c r="G251" s="413"/>
      <c r="H251" s="422" t="s">
        <v>86</v>
      </c>
      <c r="I251" s="350">
        <f>I224*1</f>
        <v>0</v>
      </c>
      <c r="J251" s="421">
        <v>150000</v>
      </c>
      <c r="K251" s="832"/>
    </row>
    <row r="252" spans="2:14" hidden="1" x14ac:dyDescent="0.3">
      <c r="B252" s="358"/>
      <c r="C252" s="402"/>
      <c r="D252" s="173"/>
      <c r="E252" s="173"/>
      <c r="F252" s="173"/>
      <c r="G252" s="360"/>
      <c r="H252" s="361"/>
      <c r="I252" s="115"/>
      <c r="J252" s="427"/>
      <c r="K252" s="428"/>
    </row>
    <row r="253" spans="2:14" hidden="1" x14ac:dyDescent="0.3">
      <c r="B253" s="130"/>
      <c r="C253" s="694" t="s">
        <v>688</v>
      </c>
      <c r="D253" s="94"/>
      <c r="E253" s="94"/>
      <c r="F253" s="95"/>
      <c r="G253" s="378"/>
      <c r="H253" s="379"/>
      <c r="I253" s="543"/>
      <c r="J253" s="544"/>
      <c r="K253" s="698">
        <f>SUM(K223:K252)</f>
        <v>0</v>
      </c>
      <c r="L253" s="313" t="e">
        <f>K253/I224</f>
        <v>#DIV/0!</v>
      </c>
      <c r="M253" s="389">
        <v>63289550</v>
      </c>
      <c r="N253" s="313">
        <f>K253-M253</f>
        <v>-63289550</v>
      </c>
    </row>
    <row r="254" spans="2:14" x14ac:dyDescent="0.3">
      <c r="B254" s="320"/>
      <c r="C254" s="100"/>
      <c r="D254" s="100"/>
      <c r="E254" s="100"/>
      <c r="F254" s="100"/>
      <c r="G254" s="1163"/>
      <c r="H254" s="100"/>
      <c r="I254" s="108"/>
      <c r="J254" s="117"/>
      <c r="K254" s="109"/>
      <c r="M254" s="389"/>
    </row>
    <row r="255" spans="2:14" x14ac:dyDescent="0.3">
      <c r="B255" s="634" t="s">
        <v>681</v>
      </c>
      <c r="C255" s="708" t="s">
        <v>942</v>
      </c>
      <c r="D255" s="100"/>
      <c r="E255" s="100"/>
      <c r="F255" s="100"/>
      <c r="G255" s="1163"/>
      <c r="H255" s="171" t="s">
        <v>38</v>
      </c>
      <c r="I255" s="1253">
        <v>1</v>
      </c>
      <c r="J255" s="1163"/>
      <c r="K255" s="101"/>
      <c r="L255" s="313">
        <v>1</v>
      </c>
      <c r="M255" s="389"/>
    </row>
    <row r="256" spans="2:14" x14ac:dyDescent="0.3">
      <c r="B256" s="102"/>
      <c r="C256" s="324"/>
      <c r="D256" s="100"/>
      <c r="E256" s="100"/>
      <c r="F256" s="100"/>
      <c r="G256" s="1163"/>
      <c r="H256" s="171"/>
      <c r="I256" s="1164"/>
      <c r="J256" s="1163"/>
      <c r="K256" s="101"/>
      <c r="M256" s="389"/>
    </row>
    <row r="257" spans="2:13" x14ac:dyDescent="0.3">
      <c r="B257" s="102">
        <v>1</v>
      </c>
      <c r="C257" s="324" t="s">
        <v>536</v>
      </c>
      <c r="D257" s="100"/>
      <c r="E257" s="100"/>
      <c r="F257" s="100"/>
      <c r="G257" s="1163"/>
      <c r="H257" s="171"/>
      <c r="I257" s="1164"/>
      <c r="J257" s="1163"/>
      <c r="K257" s="101"/>
      <c r="M257" s="389"/>
    </row>
    <row r="258" spans="2:13" x14ac:dyDescent="0.3">
      <c r="B258" s="102" t="s">
        <v>943</v>
      </c>
      <c r="C258" s="324" t="s">
        <v>527</v>
      </c>
      <c r="D258" s="100"/>
      <c r="E258" s="100"/>
      <c r="F258" s="100"/>
      <c r="G258" s="1163"/>
      <c r="H258" s="171" t="s">
        <v>250</v>
      </c>
      <c r="I258" s="1164">
        <f>L258</f>
        <v>1</v>
      </c>
      <c r="J258" s="1166">
        <f>100000*I255</f>
        <v>100000</v>
      </c>
      <c r="K258" s="383">
        <f t="shared" ref="K258:K289" si="18">J258*I258</f>
        <v>100000</v>
      </c>
      <c r="L258" s="313">
        <v>1</v>
      </c>
      <c r="M258" s="389"/>
    </row>
    <row r="259" spans="2:13" x14ac:dyDescent="0.3">
      <c r="B259" s="102" t="s">
        <v>944</v>
      </c>
      <c r="C259" s="324" t="s">
        <v>598</v>
      </c>
      <c r="D259" s="100"/>
      <c r="E259" s="100"/>
      <c r="F259" s="100"/>
      <c r="G259" s="1163"/>
      <c r="H259" s="171" t="s">
        <v>15</v>
      </c>
      <c r="I259" s="1164">
        <f>L259*M259</f>
        <v>6</v>
      </c>
      <c r="J259" s="1167">
        <f>HARSAT!H17</f>
        <v>21692.45</v>
      </c>
      <c r="K259" s="383">
        <f t="shared" si="18"/>
        <v>130154.70000000001</v>
      </c>
      <c r="L259" s="313">
        <v>6</v>
      </c>
      <c r="M259" s="389">
        <f>I255</f>
        <v>1</v>
      </c>
    </row>
    <row r="260" spans="2:13" hidden="1" x14ac:dyDescent="0.3">
      <c r="B260" s="102" t="s">
        <v>945</v>
      </c>
      <c r="C260" s="324" t="s">
        <v>946</v>
      </c>
      <c r="D260" s="100"/>
      <c r="E260" s="100"/>
      <c r="F260" s="100"/>
      <c r="G260" s="1163"/>
      <c r="H260" s="171" t="s">
        <v>250</v>
      </c>
      <c r="I260" s="1164"/>
      <c r="J260" s="1166">
        <v>500000</v>
      </c>
      <c r="K260" s="383">
        <f t="shared" si="18"/>
        <v>0</v>
      </c>
      <c r="L260" s="313">
        <v>1</v>
      </c>
      <c r="M260" s="389">
        <f t="shared" ref="M260:M286" si="19">M259</f>
        <v>1</v>
      </c>
    </row>
    <row r="261" spans="2:13" x14ac:dyDescent="0.3">
      <c r="B261" s="102"/>
      <c r="C261" s="324"/>
      <c r="D261" s="100"/>
      <c r="E261" s="100"/>
      <c r="F261" s="100"/>
      <c r="G261" s="1163"/>
      <c r="H261" s="171"/>
      <c r="I261" s="1164">
        <f t="shared" ref="I261:I287" si="20">L261*M261</f>
        <v>0</v>
      </c>
      <c r="J261" s="1168"/>
      <c r="K261" s="383">
        <f t="shared" si="18"/>
        <v>0</v>
      </c>
      <c r="M261" s="389">
        <f t="shared" si="19"/>
        <v>1</v>
      </c>
    </row>
    <row r="262" spans="2:13" x14ac:dyDescent="0.3">
      <c r="B262" s="102">
        <v>2</v>
      </c>
      <c r="C262" s="324" t="s">
        <v>628</v>
      </c>
      <c r="D262" s="100"/>
      <c r="E262" s="100"/>
      <c r="F262" s="100"/>
      <c r="G262" s="1163"/>
      <c r="H262" s="171"/>
      <c r="I262" s="1164">
        <f t="shared" si="20"/>
        <v>0</v>
      </c>
      <c r="J262" s="1169"/>
      <c r="K262" s="383">
        <f t="shared" si="18"/>
        <v>0</v>
      </c>
      <c r="M262" s="389">
        <f t="shared" si="19"/>
        <v>1</v>
      </c>
    </row>
    <row r="263" spans="2:13" x14ac:dyDescent="0.3">
      <c r="B263" s="102" t="s">
        <v>533</v>
      </c>
      <c r="C263" s="324" t="s">
        <v>629</v>
      </c>
      <c r="D263" s="100"/>
      <c r="E263" s="100"/>
      <c r="F263" s="100"/>
      <c r="G263" s="1163"/>
      <c r="H263" s="171" t="s">
        <v>148</v>
      </c>
      <c r="I263" s="1164">
        <f t="shared" si="20"/>
        <v>1.49</v>
      </c>
      <c r="J263" s="1170">
        <f>HARSAT!H18</f>
        <v>18914.625</v>
      </c>
      <c r="K263" s="383">
        <f t="shared" si="18"/>
        <v>28182.791249999998</v>
      </c>
      <c r="L263" s="313">
        <v>1.49</v>
      </c>
      <c r="M263" s="389">
        <f t="shared" si="19"/>
        <v>1</v>
      </c>
    </row>
    <row r="264" spans="2:13" x14ac:dyDescent="0.3">
      <c r="B264" s="102" t="s">
        <v>548</v>
      </c>
      <c r="C264" s="324" t="s">
        <v>630</v>
      </c>
      <c r="D264" s="100"/>
      <c r="E264" s="100"/>
      <c r="F264" s="100"/>
      <c r="G264" s="1163"/>
      <c r="H264" s="171" t="s">
        <v>148</v>
      </c>
      <c r="I264" s="1164">
        <f t="shared" si="20"/>
        <v>0.16</v>
      </c>
      <c r="J264" s="1169">
        <f>HARSAT!H21</f>
        <v>201508.75</v>
      </c>
      <c r="K264" s="383">
        <f t="shared" si="18"/>
        <v>32241.4</v>
      </c>
      <c r="L264" s="313">
        <v>0.16</v>
      </c>
      <c r="M264" s="389">
        <f t="shared" si="19"/>
        <v>1</v>
      </c>
    </row>
    <row r="265" spans="2:13" x14ac:dyDescent="0.3">
      <c r="B265" s="102" t="s">
        <v>947</v>
      </c>
      <c r="C265" s="324" t="s">
        <v>593</v>
      </c>
      <c r="D265" s="100"/>
      <c r="E265" s="100"/>
      <c r="F265" s="100"/>
      <c r="G265" s="1163"/>
      <c r="H265" s="171" t="s">
        <v>148</v>
      </c>
      <c r="I265" s="1164">
        <f t="shared" si="20"/>
        <v>0.3725</v>
      </c>
      <c r="J265" s="1169">
        <f>HARSAT!H22</f>
        <v>27939.25</v>
      </c>
      <c r="K265" s="383">
        <f t="shared" si="18"/>
        <v>10407.370625</v>
      </c>
      <c r="L265" s="313">
        <v>0.3725</v>
      </c>
      <c r="M265" s="389">
        <f t="shared" si="19"/>
        <v>1</v>
      </c>
    </row>
    <row r="266" spans="2:13" x14ac:dyDescent="0.3">
      <c r="B266" s="102" t="s">
        <v>948</v>
      </c>
      <c r="C266" s="324" t="s">
        <v>631</v>
      </c>
      <c r="D266" s="100"/>
      <c r="E266" s="100"/>
      <c r="F266" s="100"/>
      <c r="G266" s="1163"/>
      <c r="H266" s="171" t="s">
        <v>148</v>
      </c>
      <c r="I266" s="1164">
        <f t="shared" si="20"/>
        <v>1.1174999999999999</v>
      </c>
      <c r="J266" s="1169">
        <f>HARSAT!H23</f>
        <v>36081.25</v>
      </c>
      <c r="K266" s="383">
        <f t="shared" si="18"/>
        <v>40320.796875</v>
      </c>
      <c r="L266" s="313">
        <v>1.1174999999999999</v>
      </c>
      <c r="M266" s="389">
        <f t="shared" si="19"/>
        <v>1</v>
      </c>
    </row>
    <row r="267" spans="2:13" x14ac:dyDescent="0.3">
      <c r="B267" s="102"/>
      <c r="C267" s="324"/>
      <c r="D267" s="100"/>
      <c r="E267" s="100"/>
      <c r="F267" s="100"/>
      <c r="G267" s="1163"/>
      <c r="H267" s="171"/>
      <c r="I267" s="1164">
        <f t="shared" si="20"/>
        <v>0</v>
      </c>
      <c r="J267" s="1169"/>
      <c r="K267" s="383">
        <f t="shared" si="18"/>
        <v>0</v>
      </c>
      <c r="M267" s="389">
        <f t="shared" si="19"/>
        <v>1</v>
      </c>
    </row>
    <row r="268" spans="2:13" x14ac:dyDescent="0.3">
      <c r="B268" s="102">
        <v>3</v>
      </c>
      <c r="C268" s="324" t="s">
        <v>949</v>
      </c>
      <c r="D268" s="100"/>
      <c r="E268" s="100"/>
      <c r="F268" s="100"/>
      <c r="G268" s="1163"/>
      <c r="H268" s="171"/>
      <c r="I268" s="1164">
        <f t="shared" si="20"/>
        <v>0</v>
      </c>
      <c r="J268" s="1169"/>
      <c r="K268" s="383">
        <f t="shared" si="18"/>
        <v>0</v>
      </c>
      <c r="M268" s="389">
        <f t="shared" si="19"/>
        <v>1</v>
      </c>
    </row>
    <row r="269" spans="2:13" x14ac:dyDescent="0.3">
      <c r="B269" s="102" t="s">
        <v>606</v>
      </c>
      <c r="C269" s="324" t="s">
        <v>24</v>
      </c>
      <c r="D269" s="100"/>
      <c r="E269" s="100"/>
      <c r="F269" s="100"/>
      <c r="G269" s="1163"/>
      <c r="H269" s="171" t="s">
        <v>148</v>
      </c>
      <c r="I269" s="1164">
        <f t="shared" si="20"/>
        <v>1</v>
      </c>
      <c r="J269" s="1169">
        <f>HARSAT!H25</f>
        <v>820280.05</v>
      </c>
      <c r="K269" s="383">
        <f t="shared" si="18"/>
        <v>820280.05</v>
      </c>
      <c r="L269" s="313">
        <v>1</v>
      </c>
      <c r="M269" s="389">
        <f t="shared" si="19"/>
        <v>1</v>
      </c>
    </row>
    <row r="270" spans="2:13" x14ac:dyDescent="0.3">
      <c r="B270" s="102" t="s">
        <v>607</v>
      </c>
      <c r="C270" s="324" t="s">
        <v>950</v>
      </c>
      <c r="D270" s="100"/>
      <c r="E270" s="100"/>
      <c r="F270" s="100"/>
      <c r="G270" s="1163"/>
      <c r="H270" s="171" t="s">
        <v>148</v>
      </c>
      <c r="I270" s="1164">
        <f t="shared" si="20"/>
        <v>3.6</v>
      </c>
      <c r="J270" s="1169">
        <f>HARSAT!H26</f>
        <v>158779.81</v>
      </c>
      <c r="K270" s="383">
        <f t="shared" si="18"/>
        <v>571607.31599999999</v>
      </c>
      <c r="L270" s="313">
        <v>3.6</v>
      </c>
      <c r="M270" s="389">
        <f t="shared" si="19"/>
        <v>1</v>
      </c>
    </row>
    <row r="271" spans="2:13" x14ac:dyDescent="0.3">
      <c r="B271" s="102" t="s">
        <v>951</v>
      </c>
      <c r="C271" s="324" t="s">
        <v>25</v>
      </c>
      <c r="D271" s="100"/>
      <c r="E271" s="100"/>
      <c r="F271" s="100"/>
      <c r="G271" s="1163"/>
      <c r="H271" s="171" t="s">
        <v>952</v>
      </c>
      <c r="I271" s="1164">
        <f t="shared" si="20"/>
        <v>7.2</v>
      </c>
      <c r="J271" s="1169">
        <f>HARSAT!H27</f>
        <v>83800.5</v>
      </c>
      <c r="K271" s="383">
        <f t="shared" si="18"/>
        <v>603363.6</v>
      </c>
      <c r="L271" s="313">
        <v>7.2</v>
      </c>
      <c r="M271" s="389">
        <f t="shared" si="19"/>
        <v>1</v>
      </c>
    </row>
    <row r="272" spans="2:13" x14ac:dyDescent="0.3">
      <c r="B272" s="102" t="s">
        <v>926</v>
      </c>
      <c r="C272" s="324" t="str">
        <f>HARSAT!C28</f>
        <v>Pas.Lantai Keramik  uk. 25 x 25 cm (warna / corak)</v>
      </c>
      <c r="D272" s="100"/>
      <c r="E272" s="100"/>
      <c r="F272" s="100"/>
      <c r="G272" s="1163"/>
      <c r="H272" s="171" t="s">
        <v>952</v>
      </c>
      <c r="I272" s="1164">
        <f t="shared" si="20"/>
        <v>2.7</v>
      </c>
      <c r="J272" s="1169">
        <f>HARSAT!H28</f>
        <v>179348.25</v>
      </c>
      <c r="K272" s="383">
        <f t="shared" si="18"/>
        <v>484240.27500000002</v>
      </c>
      <c r="L272" s="313">
        <v>2.7</v>
      </c>
      <c r="M272" s="389">
        <f t="shared" si="19"/>
        <v>1</v>
      </c>
    </row>
    <row r="273" spans="2:13" x14ac:dyDescent="0.3">
      <c r="B273" s="102" t="s">
        <v>936</v>
      </c>
      <c r="C273" s="324" t="str">
        <f>HARSAT!C29</f>
        <v>Pas.Dinding Keramik  uk. 25 x 40cm (warna / corak)</v>
      </c>
      <c r="D273" s="100"/>
      <c r="E273" s="100"/>
      <c r="F273" s="100"/>
      <c r="G273" s="1163"/>
      <c r="H273" s="171" t="s">
        <v>952</v>
      </c>
      <c r="I273" s="1164">
        <f t="shared" si="20"/>
        <v>3.38</v>
      </c>
      <c r="J273" s="1169">
        <f>HARSAT!H29</f>
        <v>218885.25</v>
      </c>
      <c r="K273" s="383">
        <f t="shared" si="18"/>
        <v>739832.14500000002</v>
      </c>
      <c r="L273" s="313">
        <v>3.38</v>
      </c>
      <c r="M273" s="389">
        <f t="shared" si="19"/>
        <v>1</v>
      </c>
    </row>
    <row r="274" spans="2:13" x14ac:dyDescent="0.3">
      <c r="B274" s="102">
        <v>4</v>
      </c>
      <c r="C274" s="324" t="s">
        <v>602</v>
      </c>
      <c r="D274" s="100"/>
      <c r="E274" s="100"/>
      <c r="F274" s="100"/>
      <c r="G274" s="1163"/>
      <c r="H274" s="171"/>
      <c r="I274" s="1164">
        <f t="shared" si="20"/>
        <v>0</v>
      </c>
      <c r="J274" s="1169"/>
      <c r="K274" s="383">
        <f t="shared" si="18"/>
        <v>0</v>
      </c>
      <c r="M274" s="389">
        <f t="shared" si="19"/>
        <v>1</v>
      </c>
    </row>
    <row r="275" spans="2:13" x14ac:dyDescent="0.3">
      <c r="B275" s="102" t="s">
        <v>953</v>
      </c>
      <c r="C275" s="324" t="s">
        <v>954</v>
      </c>
      <c r="D275" s="100"/>
      <c r="E275" s="100"/>
      <c r="F275" s="100"/>
      <c r="G275" s="1163"/>
      <c r="H275" s="171" t="s">
        <v>15</v>
      </c>
      <c r="I275" s="1164">
        <f t="shared" si="20"/>
        <v>2</v>
      </c>
      <c r="J275" s="1169">
        <f>HARSAT!H170</f>
        <v>10450</v>
      </c>
      <c r="K275" s="383">
        <f t="shared" si="18"/>
        <v>20900</v>
      </c>
      <c r="L275" s="313">
        <v>2</v>
      </c>
      <c r="M275" s="389">
        <f t="shared" si="19"/>
        <v>1</v>
      </c>
    </row>
    <row r="276" spans="2:13" x14ac:dyDescent="0.3">
      <c r="B276" s="102" t="s">
        <v>955</v>
      </c>
      <c r="C276" s="324" t="s">
        <v>956</v>
      </c>
      <c r="D276" s="100"/>
      <c r="E276" s="100"/>
      <c r="F276" s="100"/>
      <c r="G276" s="1163"/>
      <c r="H276" s="171" t="s">
        <v>15</v>
      </c>
      <c r="I276" s="1164">
        <f t="shared" si="20"/>
        <v>8</v>
      </c>
      <c r="J276" s="1169">
        <f>HARSAT!H174</f>
        <v>57750.000000000007</v>
      </c>
      <c r="K276" s="383">
        <f t="shared" si="18"/>
        <v>462000.00000000006</v>
      </c>
      <c r="L276" s="313">
        <v>8</v>
      </c>
      <c r="M276" s="389">
        <f t="shared" si="19"/>
        <v>1</v>
      </c>
    </row>
    <row r="277" spans="2:13" x14ac:dyDescent="0.3">
      <c r="B277" s="102" t="s">
        <v>957</v>
      </c>
      <c r="C277" s="324" t="s">
        <v>651</v>
      </c>
      <c r="D277" s="100"/>
      <c r="E277" s="100"/>
      <c r="F277" s="100"/>
      <c r="G277" s="1163"/>
      <c r="H277" s="171"/>
      <c r="I277" s="1164">
        <f t="shared" si="20"/>
        <v>0</v>
      </c>
      <c r="J277" s="1169"/>
      <c r="K277" s="383">
        <f t="shared" si="18"/>
        <v>0</v>
      </c>
      <c r="M277" s="389">
        <f t="shared" si="19"/>
        <v>1</v>
      </c>
    </row>
    <row r="278" spans="2:13" x14ac:dyDescent="0.3">
      <c r="B278" s="102"/>
      <c r="C278" s="324" t="s">
        <v>233</v>
      </c>
      <c r="D278" s="100" t="s">
        <v>958</v>
      </c>
      <c r="E278" s="100"/>
      <c r="F278" s="100"/>
      <c r="G278" s="1163"/>
      <c r="H278" s="171" t="s">
        <v>86</v>
      </c>
      <c r="I278" s="1164">
        <f t="shared" si="20"/>
        <v>1</v>
      </c>
      <c r="J278" s="1170">
        <f>HARSAT!H221</f>
        <v>206999.99999999997</v>
      </c>
      <c r="K278" s="383">
        <f t="shared" si="18"/>
        <v>206999.99999999997</v>
      </c>
      <c r="L278" s="313">
        <v>1</v>
      </c>
      <c r="M278" s="389">
        <f t="shared" si="19"/>
        <v>1</v>
      </c>
    </row>
    <row r="279" spans="2:13" x14ac:dyDescent="0.3">
      <c r="B279" s="102"/>
      <c r="C279" s="324" t="s">
        <v>233</v>
      </c>
      <c r="D279" s="100" t="s">
        <v>959</v>
      </c>
      <c r="E279" s="100"/>
      <c r="F279" s="100"/>
      <c r="G279" s="1163"/>
      <c r="H279" s="171" t="s">
        <v>86</v>
      </c>
      <c r="I279" s="1164">
        <f t="shared" si="20"/>
        <v>2</v>
      </c>
      <c r="J279" s="1169">
        <f>HARSAT!H233</f>
        <v>4830</v>
      </c>
      <c r="K279" s="383">
        <f t="shared" si="18"/>
        <v>9660</v>
      </c>
      <c r="L279" s="313">
        <v>2</v>
      </c>
      <c r="M279" s="389">
        <f t="shared" si="19"/>
        <v>1</v>
      </c>
    </row>
    <row r="280" spans="2:13" x14ac:dyDescent="0.3">
      <c r="B280" s="102"/>
      <c r="C280" s="324" t="s">
        <v>233</v>
      </c>
      <c r="D280" s="100" t="s">
        <v>960</v>
      </c>
      <c r="E280" s="100"/>
      <c r="F280" s="100"/>
      <c r="G280" s="1163"/>
      <c r="H280" s="171" t="s">
        <v>15</v>
      </c>
      <c r="I280" s="1164">
        <f t="shared" si="20"/>
        <v>4</v>
      </c>
      <c r="J280" s="1169">
        <f>HARSAT!H168</f>
        <v>7425.0000000000009</v>
      </c>
      <c r="K280" s="383">
        <f t="shared" si="18"/>
        <v>29700.000000000004</v>
      </c>
      <c r="L280" s="313">
        <v>4</v>
      </c>
      <c r="M280" s="389">
        <f t="shared" si="19"/>
        <v>1</v>
      </c>
    </row>
    <row r="281" spans="2:13" x14ac:dyDescent="0.3">
      <c r="B281" s="102"/>
      <c r="C281" s="324" t="s">
        <v>233</v>
      </c>
      <c r="D281" s="290" t="s">
        <v>961</v>
      </c>
      <c r="E281" s="100"/>
      <c r="F281" s="100"/>
      <c r="G281" s="1163"/>
      <c r="H281" s="171" t="s">
        <v>86</v>
      </c>
      <c r="I281" s="1164">
        <f t="shared" si="20"/>
        <v>3</v>
      </c>
      <c r="J281" s="1171">
        <f>HARSAT!H207</f>
        <v>5405</v>
      </c>
      <c r="K281" s="383">
        <f t="shared" si="18"/>
        <v>16215</v>
      </c>
      <c r="L281" s="313">
        <v>3</v>
      </c>
      <c r="M281" s="389">
        <f t="shared" si="19"/>
        <v>1</v>
      </c>
    </row>
    <row r="282" spans="2:13" x14ac:dyDescent="0.3">
      <c r="B282" s="102"/>
      <c r="C282" s="324" t="s">
        <v>233</v>
      </c>
      <c r="D282" s="100" t="s">
        <v>962</v>
      </c>
      <c r="E282" s="100"/>
      <c r="F282" s="100"/>
      <c r="G282" s="1163"/>
      <c r="H282" s="171" t="s">
        <v>86</v>
      </c>
      <c r="I282" s="1164">
        <f t="shared" si="20"/>
        <v>1</v>
      </c>
      <c r="J282" s="1171">
        <f>HARSAT!H192</f>
        <v>7934.9999999999991</v>
      </c>
      <c r="K282" s="383">
        <f t="shared" si="18"/>
        <v>7934.9999999999991</v>
      </c>
      <c r="L282" s="313">
        <v>1</v>
      </c>
      <c r="M282" s="389">
        <f t="shared" si="19"/>
        <v>1</v>
      </c>
    </row>
    <row r="283" spans="2:13" x14ac:dyDescent="0.3">
      <c r="B283" s="102"/>
      <c r="C283" s="324" t="s">
        <v>233</v>
      </c>
      <c r="D283" s="100" t="s">
        <v>963</v>
      </c>
      <c r="E283" s="100"/>
      <c r="F283" s="100"/>
      <c r="G283" s="1163"/>
      <c r="H283" s="171" t="s">
        <v>86</v>
      </c>
      <c r="I283" s="1164">
        <f t="shared" si="20"/>
        <v>4</v>
      </c>
      <c r="J283" s="1171">
        <f>HARSAT!H193</f>
        <v>7244.9999999999991</v>
      </c>
      <c r="K283" s="383">
        <f t="shared" si="18"/>
        <v>28979.999999999996</v>
      </c>
      <c r="L283" s="313">
        <v>4</v>
      </c>
      <c r="M283" s="389">
        <f t="shared" si="19"/>
        <v>1</v>
      </c>
    </row>
    <row r="284" spans="2:13" x14ac:dyDescent="0.3">
      <c r="B284" s="102"/>
      <c r="C284" s="324" t="s">
        <v>233</v>
      </c>
      <c r="D284" s="100" t="s">
        <v>964</v>
      </c>
      <c r="E284" s="100"/>
      <c r="F284" s="100"/>
      <c r="G284" s="1163"/>
      <c r="H284" s="171" t="s">
        <v>86</v>
      </c>
      <c r="I284" s="1164">
        <f t="shared" si="20"/>
        <v>2</v>
      </c>
      <c r="J284" s="1171">
        <f>HARSAT!H241</f>
        <v>1724.9999999999998</v>
      </c>
      <c r="K284" s="383">
        <f t="shared" si="18"/>
        <v>3449.9999999999995</v>
      </c>
      <c r="L284" s="313">
        <v>2</v>
      </c>
      <c r="M284" s="389">
        <f t="shared" si="19"/>
        <v>1</v>
      </c>
    </row>
    <row r="285" spans="2:13" x14ac:dyDescent="0.3">
      <c r="B285" s="102"/>
      <c r="C285" s="324" t="s">
        <v>233</v>
      </c>
      <c r="D285" s="100" t="s">
        <v>965</v>
      </c>
      <c r="E285" s="100"/>
      <c r="F285" s="100"/>
      <c r="G285" s="1163"/>
      <c r="H285" s="171" t="s">
        <v>86</v>
      </c>
      <c r="I285" s="1164">
        <f t="shared" si="20"/>
        <v>4</v>
      </c>
      <c r="J285" s="1169">
        <f>HARSAT!H231</f>
        <v>3449.9999999999995</v>
      </c>
      <c r="K285" s="383">
        <f t="shared" si="18"/>
        <v>13799.999999999998</v>
      </c>
      <c r="L285" s="313">
        <v>4</v>
      </c>
      <c r="M285" s="389">
        <f t="shared" si="19"/>
        <v>1</v>
      </c>
    </row>
    <row r="286" spans="2:13" x14ac:dyDescent="0.3">
      <c r="B286" s="102"/>
      <c r="C286" s="324" t="s">
        <v>233</v>
      </c>
      <c r="D286" s="100" t="s">
        <v>966</v>
      </c>
      <c r="E286" s="100"/>
      <c r="F286" s="100"/>
      <c r="G286" s="1163"/>
      <c r="H286" s="171" t="s">
        <v>86</v>
      </c>
      <c r="I286" s="1164">
        <f t="shared" si="20"/>
        <v>4</v>
      </c>
      <c r="J286" s="1169">
        <f>HARSAT!H275</f>
        <v>65000</v>
      </c>
      <c r="K286" s="383">
        <f t="shared" si="18"/>
        <v>260000</v>
      </c>
      <c r="L286" s="313">
        <v>4</v>
      </c>
      <c r="M286" s="389">
        <f t="shared" si="19"/>
        <v>1</v>
      </c>
    </row>
    <row r="287" spans="2:13" x14ac:dyDescent="0.3">
      <c r="B287" s="102" t="s">
        <v>967</v>
      </c>
      <c r="C287" s="324" t="s">
        <v>655</v>
      </c>
      <c r="D287" s="100"/>
      <c r="E287" s="100"/>
      <c r="F287" s="100"/>
      <c r="G287" s="1163"/>
      <c r="H287" s="171"/>
      <c r="I287" s="1164">
        <f t="shared" si="20"/>
        <v>0</v>
      </c>
      <c r="J287" s="1169"/>
      <c r="K287" s="383">
        <f t="shared" si="18"/>
        <v>0</v>
      </c>
      <c r="M287" s="389"/>
    </row>
    <row r="288" spans="2:13" x14ac:dyDescent="0.3">
      <c r="B288" s="102" t="s">
        <v>968</v>
      </c>
      <c r="C288" s="324" t="s">
        <v>656</v>
      </c>
      <c r="D288" s="100"/>
      <c r="E288" s="100"/>
      <c r="F288" s="100"/>
      <c r="G288" s="1163"/>
      <c r="H288" s="171" t="s">
        <v>250</v>
      </c>
      <c r="I288" s="1164">
        <f>L288</f>
        <v>1</v>
      </c>
      <c r="J288" s="1169">
        <f>300000*I255</f>
        <v>300000</v>
      </c>
      <c r="K288" s="383">
        <f t="shared" si="18"/>
        <v>300000</v>
      </c>
      <c r="L288" s="313">
        <v>1</v>
      </c>
      <c r="M288" s="389"/>
    </row>
    <row r="289" spans="2:13" x14ac:dyDescent="0.3">
      <c r="B289" s="102" t="s">
        <v>969</v>
      </c>
      <c r="C289" s="324" t="s">
        <v>657</v>
      </c>
      <c r="D289" s="100"/>
      <c r="E289" s="100"/>
      <c r="F289" s="100"/>
      <c r="G289" s="1163"/>
      <c r="H289" s="171" t="s">
        <v>250</v>
      </c>
      <c r="I289" s="1164">
        <f>L289</f>
        <v>1</v>
      </c>
      <c r="J289" s="1169">
        <f>150000*I255</f>
        <v>150000</v>
      </c>
      <c r="K289" s="383">
        <f t="shared" si="18"/>
        <v>150000</v>
      </c>
      <c r="L289" s="313">
        <v>1</v>
      </c>
      <c r="M289" s="389"/>
    </row>
    <row r="290" spans="2:13" x14ac:dyDescent="0.3">
      <c r="B290" s="320"/>
      <c r="C290" s="100"/>
      <c r="D290" s="100"/>
      <c r="E290" s="100"/>
      <c r="F290" s="100"/>
      <c r="G290" s="1163"/>
      <c r="H290" s="100"/>
      <c r="I290" s="1165"/>
      <c r="J290" s="1163"/>
      <c r="K290" s="101"/>
      <c r="M290" s="389"/>
    </row>
    <row r="291" spans="2:13" x14ac:dyDescent="0.3">
      <c r="B291" s="130"/>
      <c r="C291" s="694" t="s">
        <v>688</v>
      </c>
      <c r="D291" s="94"/>
      <c r="E291" s="94"/>
      <c r="F291" s="95"/>
      <c r="G291" s="378"/>
      <c r="H291" s="379"/>
      <c r="I291" s="543"/>
      <c r="J291" s="544"/>
      <c r="K291" s="698">
        <f>SUM(K258:K290)</f>
        <v>5070270.4447499998</v>
      </c>
      <c r="M291" s="389"/>
    </row>
    <row r="292" spans="2:13" hidden="1" x14ac:dyDescent="0.3">
      <c r="B292" s="320"/>
      <c r="C292" s="100"/>
      <c r="D292" s="100"/>
      <c r="E292" s="100"/>
      <c r="F292" s="100"/>
      <c r="G292" s="142"/>
      <c r="H292" s="100"/>
      <c r="I292" s="108"/>
      <c r="J292" s="117"/>
      <c r="K292" s="109"/>
    </row>
    <row r="293" spans="2:13" hidden="1" x14ac:dyDescent="0.3">
      <c r="B293" s="634" t="s">
        <v>681</v>
      </c>
      <c r="C293" s="750" t="str">
        <f>M293</f>
        <v>PEMBUATAN RESERVOIR 25 M3</v>
      </c>
      <c r="D293" s="1"/>
      <c r="E293" s="1"/>
      <c r="F293" s="1"/>
      <c r="G293" s="7"/>
      <c r="H293" s="6"/>
      <c r="I293" s="6"/>
      <c r="J293" s="7"/>
      <c r="K293" s="101"/>
      <c r="L293" s="781" t="s">
        <v>627</v>
      </c>
      <c r="M293" s="560" t="s">
        <v>697</v>
      </c>
    </row>
    <row r="294" spans="2:13" ht="14.4" hidden="1" thickBot="1" x14ac:dyDescent="0.35">
      <c r="B294" s="102"/>
      <c r="C294" s="5"/>
      <c r="D294" s="1"/>
      <c r="E294" s="1"/>
      <c r="F294" s="1"/>
      <c r="G294" s="7"/>
      <c r="H294" s="6"/>
      <c r="I294" s="612"/>
      <c r="J294" s="7"/>
      <c r="K294" s="832"/>
    </row>
    <row r="295" spans="2:13" ht="14.4" hidden="1" thickBot="1" x14ac:dyDescent="0.35">
      <c r="B295" s="351">
        <v>1</v>
      </c>
      <c r="C295" s="771" t="s">
        <v>536</v>
      </c>
      <c r="D295" s="749"/>
      <c r="E295" s="1"/>
      <c r="F295" s="1"/>
      <c r="G295" s="7"/>
      <c r="H295" s="6"/>
      <c r="I295" s="612"/>
      <c r="J295" s="7"/>
      <c r="K295" s="832"/>
      <c r="L295" s="748" t="s">
        <v>658</v>
      </c>
      <c r="M295" s="629" t="s">
        <v>659</v>
      </c>
    </row>
    <row r="296" spans="2:13" hidden="1" x14ac:dyDescent="0.3">
      <c r="B296" s="351">
        <v>1.1000000000000001</v>
      </c>
      <c r="C296" s="771" t="s">
        <v>527</v>
      </c>
      <c r="D296" s="749"/>
      <c r="E296" s="1"/>
      <c r="F296" s="1"/>
      <c r="G296" s="7"/>
      <c r="H296" s="353" t="s">
        <v>250</v>
      </c>
      <c r="I296" s="613">
        <f>M296</f>
        <v>1</v>
      </c>
      <c r="J296" s="626">
        <v>300000</v>
      </c>
      <c r="K296" s="832"/>
      <c r="L296" s="313">
        <v>1</v>
      </c>
      <c r="M296" s="313">
        <v>1</v>
      </c>
    </row>
    <row r="297" spans="2:13" hidden="1" x14ac:dyDescent="0.3">
      <c r="B297" s="351">
        <v>1.2</v>
      </c>
      <c r="C297" s="771" t="s">
        <v>598</v>
      </c>
      <c r="D297" s="749"/>
      <c r="E297" s="1"/>
      <c r="F297" s="1"/>
      <c r="G297" s="7"/>
      <c r="H297" s="353" t="s">
        <v>15</v>
      </c>
      <c r="I297" s="613">
        <f t="shared" ref="I297:I298" si="21">M297</f>
        <v>14.6</v>
      </c>
      <c r="J297" s="627">
        <f>HARSAT!H17</f>
        <v>21692.45</v>
      </c>
      <c r="K297" s="832"/>
      <c r="L297" s="313">
        <v>13</v>
      </c>
      <c r="M297" s="313">
        <v>14.6</v>
      </c>
    </row>
    <row r="298" spans="2:13" hidden="1" x14ac:dyDescent="0.3">
      <c r="B298" s="351">
        <v>1.3</v>
      </c>
      <c r="C298" s="5" t="s">
        <v>599</v>
      </c>
      <c r="D298" s="1"/>
      <c r="E298" s="1"/>
      <c r="F298" s="1"/>
      <c r="G298" s="356"/>
      <c r="H298" s="357" t="s">
        <v>250</v>
      </c>
      <c r="I298" s="613">
        <f t="shared" si="21"/>
        <v>1</v>
      </c>
      <c r="J298" s="626">
        <v>500000</v>
      </c>
      <c r="K298" s="832"/>
      <c r="L298" s="313">
        <v>1</v>
      </c>
      <c r="M298" s="313">
        <v>1</v>
      </c>
    </row>
    <row r="299" spans="2:13" hidden="1" x14ac:dyDescent="0.3">
      <c r="B299" s="614"/>
      <c r="C299" s="772"/>
      <c r="D299" s="1511"/>
      <c r="E299" s="1511"/>
      <c r="F299" s="1511"/>
      <c r="G299" s="615"/>
      <c r="H299" s="616"/>
      <c r="I299" s="617"/>
      <c r="J299" s="628"/>
      <c r="K299" s="832"/>
      <c r="M299" s="313"/>
    </row>
    <row r="300" spans="2:13" hidden="1" x14ac:dyDescent="0.3">
      <c r="B300" s="351">
        <v>2</v>
      </c>
      <c r="C300" s="771" t="s">
        <v>628</v>
      </c>
      <c r="D300" s="749"/>
      <c r="E300" s="749"/>
      <c r="G300" s="618"/>
      <c r="H300" s="619"/>
      <c r="I300" s="620"/>
      <c r="J300" s="615"/>
      <c r="K300" s="832"/>
      <c r="M300" s="313"/>
    </row>
    <row r="301" spans="2:13" hidden="1" x14ac:dyDescent="0.3">
      <c r="B301" s="351">
        <v>2.1</v>
      </c>
      <c r="C301" s="771" t="s">
        <v>629</v>
      </c>
      <c r="D301" s="749"/>
      <c r="E301" s="749"/>
      <c r="G301" s="618"/>
      <c r="H301" s="353" t="s">
        <v>148</v>
      </c>
      <c r="I301" s="613">
        <f t="shared" ref="I301:I304" si="22">M301</f>
        <v>22.11</v>
      </c>
      <c r="J301" s="142">
        <f>HARSAT!H18</f>
        <v>18914.625</v>
      </c>
      <c r="K301" s="832"/>
      <c r="L301" s="313">
        <v>11.88</v>
      </c>
      <c r="M301" s="313">
        <v>22.11</v>
      </c>
    </row>
    <row r="302" spans="2:13" hidden="1" x14ac:dyDescent="0.3">
      <c r="B302" s="351">
        <v>2.2000000000000002</v>
      </c>
      <c r="C302" s="771" t="s">
        <v>630</v>
      </c>
      <c r="D302" s="749"/>
      <c r="E302" s="749"/>
      <c r="G302" s="618"/>
      <c r="H302" s="353" t="s">
        <v>148</v>
      </c>
      <c r="I302" s="613">
        <f t="shared" si="22"/>
        <v>2.4500000000000002</v>
      </c>
      <c r="J302" s="615">
        <f>HARSAT!H21</f>
        <v>201508.75</v>
      </c>
      <c r="K302" s="832"/>
      <c r="L302" s="313">
        <v>1.1879999999999997</v>
      </c>
      <c r="M302" s="313">
        <v>2.4500000000000002</v>
      </c>
    </row>
    <row r="303" spans="2:13" hidden="1" x14ac:dyDescent="0.3">
      <c r="B303" s="351">
        <v>2.2999999999999998</v>
      </c>
      <c r="C303" s="771" t="s">
        <v>593</v>
      </c>
      <c r="D303" s="749"/>
      <c r="E303" s="749"/>
      <c r="G303" s="618"/>
      <c r="H303" s="353" t="s">
        <v>148</v>
      </c>
      <c r="I303" s="613">
        <f t="shared" si="22"/>
        <v>2.2109999999999999</v>
      </c>
      <c r="J303" s="615">
        <f>HARSAT!H22</f>
        <v>27939.25</v>
      </c>
      <c r="K303" s="832"/>
      <c r="L303" s="313">
        <v>2.97</v>
      </c>
      <c r="M303" s="313">
        <v>2.2109999999999999</v>
      </c>
    </row>
    <row r="304" spans="2:13" hidden="1" x14ac:dyDescent="0.3">
      <c r="B304" s="351">
        <v>2.4</v>
      </c>
      <c r="C304" s="771" t="s">
        <v>631</v>
      </c>
      <c r="D304" s="749"/>
      <c r="E304" s="749"/>
      <c r="G304" s="618"/>
      <c r="H304" s="353" t="s">
        <v>148</v>
      </c>
      <c r="I304" s="613">
        <f t="shared" si="22"/>
        <v>19.899000000000001</v>
      </c>
      <c r="J304" s="615">
        <f>HARSAT!H23</f>
        <v>36081.25</v>
      </c>
      <c r="K304" s="832"/>
      <c r="L304" s="313">
        <v>8.91</v>
      </c>
      <c r="M304" s="313">
        <v>19.899000000000001</v>
      </c>
    </row>
    <row r="305" spans="2:13" hidden="1" x14ac:dyDescent="0.3">
      <c r="B305" s="351"/>
      <c r="C305" s="771"/>
      <c r="D305" s="749"/>
      <c r="E305" s="749"/>
      <c r="G305" s="618"/>
      <c r="H305" s="353"/>
      <c r="I305" s="617"/>
      <c r="J305" s="615"/>
      <c r="K305" s="832"/>
      <c r="M305" s="313"/>
    </row>
    <row r="306" spans="2:13" hidden="1" x14ac:dyDescent="0.3">
      <c r="B306" s="351">
        <v>3</v>
      </c>
      <c r="C306" s="771" t="s">
        <v>632</v>
      </c>
      <c r="D306" s="749"/>
      <c r="E306" s="749"/>
      <c r="G306" s="618"/>
      <c r="H306" s="353"/>
      <c r="I306" s="617"/>
      <c r="J306" s="615"/>
      <c r="K306" s="832"/>
      <c r="M306" s="313"/>
    </row>
    <row r="307" spans="2:13" hidden="1" x14ac:dyDescent="0.3">
      <c r="B307" s="351">
        <v>3.1</v>
      </c>
      <c r="C307" s="11" t="s">
        <v>633</v>
      </c>
      <c r="D307" s="749"/>
      <c r="E307" s="749"/>
      <c r="G307" s="618"/>
      <c r="H307" s="353" t="s">
        <v>148</v>
      </c>
      <c r="I307" s="613">
        <f>M307</f>
        <v>1.63</v>
      </c>
      <c r="J307" s="615">
        <f>HARSAT!H30</f>
        <v>623929.13214285707</v>
      </c>
      <c r="K307" s="832"/>
      <c r="L307" s="313">
        <v>0.7</v>
      </c>
      <c r="M307" s="313">
        <v>1.63</v>
      </c>
    </row>
    <row r="308" spans="2:13" hidden="1" x14ac:dyDescent="0.3">
      <c r="B308" s="351">
        <v>3.2</v>
      </c>
      <c r="C308" s="771" t="s">
        <v>634</v>
      </c>
      <c r="D308" s="749"/>
      <c r="E308" s="749"/>
      <c r="G308" s="618"/>
      <c r="H308" s="353"/>
      <c r="I308" s="617"/>
      <c r="J308" s="615"/>
      <c r="K308" s="832"/>
      <c r="M308" s="313"/>
    </row>
    <row r="309" spans="2:13" hidden="1" x14ac:dyDescent="0.3">
      <c r="B309" s="621"/>
      <c r="C309" s="771" t="s">
        <v>635</v>
      </c>
      <c r="D309" s="749"/>
      <c r="E309" s="749"/>
      <c r="G309" s="618"/>
      <c r="H309" s="353"/>
      <c r="I309" s="617"/>
      <c r="J309" s="615"/>
      <c r="K309" s="832"/>
      <c r="M309" s="313"/>
    </row>
    <row r="310" spans="2:13" hidden="1" x14ac:dyDescent="0.3">
      <c r="B310" s="621"/>
      <c r="C310" s="771" t="s">
        <v>233</v>
      </c>
      <c r="D310" s="749" t="s">
        <v>636</v>
      </c>
      <c r="E310" s="749"/>
      <c r="G310" s="618"/>
      <c r="H310" s="353" t="s">
        <v>148</v>
      </c>
      <c r="I310" s="613">
        <f t="shared" ref="I310:I313" si="23">M310</f>
        <v>3.27</v>
      </c>
      <c r="J310" s="615">
        <f>HARSAT!H48</f>
        <v>3098316.0357142859</v>
      </c>
      <c r="K310" s="832"/>
      <c r="L310" s="313">
        <v>1.5839999999999999</v>
      </c>
      <c r="M310" s="313">
        <v>3.27</v>
      </c>
    </row>
    <row r="311" spans="2:13" hidden="1" x14ac:dyDescent="0.3">
      <c r="B311" s="621"/>
      <c r="C311" s="771" t="s">
        <v>233</v>
      </c>
      <c r="D311" s="749" t="s">
        <v>637</v>
      </c>
      <c r="E311" s="749"/>
      <c r="G311" s="618"/>
      <c r="H311" s="353" t="s">
        <v>148</v>
      </c>
      <c r="I311" s="613">
        <f t="shared" si="23"/>
        <v>6.5</v>
      </c>
      <c r="J311" s="615">
        <f>HARSAT!H50</f>
        <v>3755768.1607142859</v>
      </c>
      <c r="K311" s="832"/>
      <c r="L311" s="313">
        <v>4.3099999999999996</v>
      </c>
      <c r="M311" s="313">
        <v>6.5</v>
      </c>
    </row>
    <row r="312" spans="2:13" hidden="1" x14ac:dyDescent="0.3">
      <c r="B312" s="621"/>
      <c r="C312" s="771" t="s">
        <v>233</v>
      </c>
      <c r="D312" s="749" t="s">
        <v>638</v>
      </c>
      <c r="E312" s="749"/>
      <c r="G312" s="618"/>
      <c r="H312" s="353" t="s">
        <v>148</v>
      </c>
      <c r="I312" s="613">
        <f t="shared" si="23"/>
        <v>1.99</v>
      </c>
      <c r="J312" s="615">
        <f>HARSAT!H49</f>
        <v>5076270.7544642854</v>
      </c>
      <c r="K312" s="832"/>
      <c r="L312" s="313">
        <v>0.75</v>
      </c>
      <c r="M312" s="313">
        <v>1.99</v>
      </c>
    </row>
    <row r="313" spans="2:13" hidden="1" x14ac:dyDescent="0.3">
      <c r="B313" s="351">
        <v>3.3</v>
      </c>
      <c r="C313" s="771" t="s">
        <v>639</v>
      </c>
      <c r="E313" s="749"/>
      <c r="G313" s="618"/>
      <c r="H313" s="353" t="s">
        <v>15</v>
      </c>
      <c r="I313" s="613">
        <f t="shared" si="23"/>
        <v>14.6</v>
      </c>
      <c r="J313" s="615">
        <f>HARSAT!H103</f>
        <v>110371.71</v>
      </c>
      <c r="K313" s="832"/>
      <c r="L313" s="313">
        <v>8</v>
      </c>
      <c r="M313" s="313">
        <v>14.6</v>
      </c>
    </row>
    <row r="314" spans="2:13" hidden="1" x14ac:dyDescent="0.3">
      <c r="B314" s="351"/>
      <c r="C314" s="771"/>
      <c r="E314" s="749"/>
      <c r="G314" s="618"/>
      <c r="H314" s="353"/>
      <c r="I314" s="617"/>
      <c r="J314" s="615"/>
      <c r="K314" s="832"/>
      <c r="M314" s="313"/>
    </row>
    <row r="315" spans="2:13" hidden="1" x14ac:dyDescent="0.3">
      <c r="B315" s="351">
        <v>4</v>
      </c>
      <c r="C315" s="771" t="s">
        <v>640</v>
      </c>
      <c r="D315" s="749"/>
      <c r="E315" s="749"/>
      <c r="G315" s="618"/>
      <c r="H315" s="353"/>
      <c r="I315" s="617"/>
      <c r="J315" s="615"/>
      <c r="K315" s="832"/>
      <c r="M315" s="313"/>
    </row>
    <row r="316" spans="2:13" hidden="1" x14ac:dyDescent="0.3">
      <c r="B316" s="351">
        <v>4.0999999999999996</v>
      </c>
      <c r="C316" s="771" t="s">
        <v>600</v>
      </c>
      <c r="D316" s="749"/>
      <c r="E316" s="749"/>
      <c r="G316" s="618"/>
      <c r="H316" s="353" t="s">
        <v>86</v>
      </c>
      <c r="I316" s="613">
        <f t="shared" ref="I316:I318" si="24">M316</f>
        <v>1</v>
      </c>
      <c r="J316" s="615">
        <f>HARSAT!H105</f>
        <v>967461.65</v>
      </c>
      <c r="K316" s="832"/>
      <c r="L316" s="313">
        <v>1</v>
      </c>
      <c r="M316" s="313">
        <v>1</v>
      </c>
    </row>
    <row r="317" spans="2:13" hidden="1" x14ac:dyDescent="0.3">
      <c r="B317" s="351">
        <v>4.2</v>
      </c>
      <c r="C317" s="771" t="s">
        <v>641</v>
      </c>
      <c r="D317" s="749"/>
      <c r="E317" s="749"/>
      <c r="G317" s="618"/>
      <c r="H317" s="353" t="s">
        <v>38</v>
      </c>
      <c r="I317" s="613">
        <f t="shared" si="24"/>
        <v>1</v>
      </c>
      <c r="J317" s="615">
        <f>HARSAT!H109</f>
        <v>158664.0625</v>
      </c>
      <c r="K317" s="832"/>
      <c r="L317" s="313">
        <v>1</v>
      </c>
      <c r="M317" s="313">
        <v>1</v>
      </c>
    </row>
    <row r="318" spans="2:13" hidden="1" x14ac:dyDescent="0.3">
      <c r="B318" s="351">
        <v>4.3</v>
      </c>
      <c r="C318" s="771" t="s">
        <v>601</v>
      </c>
      <c r="D318" s="749"/>
      <c r="E318" s="749"/>
      <c r="G318" s="618"/>
      <c r="H318" s="353" t="s">
        <v>86</v>
      </c>
      <c r="I318" s="613">
        <f t="shared" si="24"/>
        <v>1</v>
      </c>
      <c r="J318" s="615">
        <f>HARSAT!H107</f>
        <v>285775</v>
      </c>
      <c r="K318" s="832"/>
      <c r="L318" s="313">
        <v>1</v>
      </c>
      <c r="M318" s="313">
        <v>1</v>
      </c>
    </row>
    <row r="319" spans="2:13" hidden="1" x14ac:dyDescent="0.3">
      <c r="B319" s="351"/>
      <c r="C319" s="771"/>
      <c r="D319" s="749"/>
      <c r="E319" s="749"/>
      <c r="G319" s="618"/>
      <c r="H319" s="353"/>
      <c r="I319" s="617"/>
      <c r="J319" s="615"/>
      <c r="K319" s="832"/>
      <c r="M319" s="313"/>
    </row>
    <row r="320" spans="2:13" hidden="1" x14ac:dyDescent="0.3">
      <c r="B320" s="351">
        <v>5</v>
      </c>
      <c r="C320" s="771" t="s">
        <v>602</v>
      </c>
      <c r="D320" s="749"/>
      <c r="E320" s="749"/>
      <c r="G320" s="618"/>
      <c r="H320" s="353"/>
      <c r="I320" s="617"/>
      <c r="J320" s="615"/>
      <c r="K320" s="832"/>
      <c r="M320" s="313"/>
    </row>
    <row r="321" spans="2:13" hidden="1" x14ac:dyDescent="0.3">
      <c r="B321" s="622"/>
      <c r="C321" s="771" t="s">
        <v>642</v>
      </c>
      <c r="D321" s="749"/>
      <c r="E321" s="749"/>
      <c r="G321" s="618"/>
      <c r="H321" s="353"/>
      <c r="I321" s="617"/>
      <c r="J321" s="615"/>
      <c r="K321" s="832"/>
      <c r="M321" s="313"/>
    </row>
    <row r="322" spans="2:13" hidden="1" x14ac:dyDescent="0.3">
      <c r="B322" s="622"/>
      <c r="C322" s="771" t="s">
        <v>643</v>
      </c>
      <c r="D322" s="749"/>
      <c r="E322" s="749"/>
      <c r="G322" s="618"/>
      <c r="H322" s="353"/>
      <c r="I322" s="617"/>
      <c r="J322" s="615"/>
      <c r="K322" s="832"/>
      <c r="M322" s="313"/>
    </row>
    <row r="323" spans="2:13" hidden="1" x14ac:dyDescent="0.3">
      <c r="B323" s="622"/>
      <c r="C323" s="771" t="s">
        <v>644</v>
      </c>
      <c r="D323" s="749"/>
      <c r="E323" s="749"/>
      <c r="G323" s="618"/>
      <c r="H323" s="353"/>
      <c r="I323" s="617"/>
      <c r="J323" s="615"/>
      <c r="K323" s="832"/>
      <c r="M323" s="313"/>
    </row>
    <row r="324" spans="2:13" hidden="1" x14ac:dyDescent="0.3">
      <c r="B324" s="351">
        <v>5.0999999999999996</v>
      </c>
      <c r="C324" s="771" t="s">
        <v>645</v>
      </c>
      <c r="D324" s="749"/>
      <c r="E324" s="749"/>
      <c r="G324" s="618"/>
      <c r="H324" s="353"/>
      <c r="I324" s="617"/>
      <c r="J324" s="615"/>
      <c r="K324" s="832"/>
      <c r="M324" s="313"/>
    </row>
    <row r="325" spans="2:13" hidden="1" x14ac:dyDescent="0.3">
      <c r="B325" s="621"/>
      <c r="C325" s="771" t="s">
        <v>233</v>
      </c>
      <c r="D325" s="749" t="s">
        <v>646</v>
      </c>
      <c r="E325" s="749"/>
      <c r="G325" s="618"/>
      <c r="H325" s="353" t="s">
        <v>86</v>
      </c>
      <c r="I325" s="613">
        <f t="shared" ref="I325:I329" si="25">M325</f>
        <v>1</v>
      </c>
      <c r="J325" s="615">
        <f>HARSAT!H119</f>
        <v>562434.64</v>
      </c>
      <c r="K325" s="832"/>
      <c r="L325" s="313">
        <v>1</v>
      </c>
      <c r="M325" s="313">
        <v>1</v>
      </c>
    </row>
    <row r="326" spans="2:13" hidden="1" x14ac:dyDescent="0.3">
      <c r="B326" s="621"/>
      <c r="C326" s="771" t="s">
        <v>233</v>
      </c>
      <c r="D326" s="749" t="s">
        <v>647</v>
      </c>
      <c r="E326" s="749"/>
      <c r="G326" s="618"/>
      <c r="H326" s="353" t="s">
        <v>86</v>
      </c>
      <c r="I326" s="613">
        <f t="shared" si="25"/>
        <v>1</v>
      </c>
      <c r="J326" s="615">
        <f>J325</f>
        <v>562434.64</v>
      </c>
      <c r="K326" s="832"/>
      <c r="L326" s="313">
        <v>1</v>
      </c>
      <c r="M326" s="313">
        <v>1</v>
      </c>
    </row>
    <row r="327" spans="2:13" hidden="1" x14ac:dyDescent="0.3">
      <c r="B327" s="621"/>
      <c r="C327" s="771" t="s">
        <v>233</v>
      </c>
      <c r="D327" s="749" t="s">
        <v>648</v>
      </c>
      <c r="E327" s="749"/>
      <c r="G327" s="618"/>
      <c r="H327" s="353" t="s">
        <v>86</v>
      </c>
      <c r="I327" s="613">
        <f t="shared" si="25"/>
        <v>1</v>
      </c>
      <c r="J327" s="615">
        <f>HARSAT!H121</f>
        <v>273899.64</v>
      </c>
      <c r="K327" s="832"/>
      <c r="L327" s="313">
        <v>1</v>
      </c>
      <c r="M327" s="313">
        <v>1</v>
      </c>
    </row>
    <row r="328" spans="2:13" hidden="1" x14ac:dyDescent="0.3">
      <c r="B328" s="621"/>
      <c r="C328" s="771" t="s">
        <v>233</v>
      </c>
      <c r="D328" s="749" t="s">
        <v>649</v>
      </c>
      <c r="E328" s="749"/>
      <c r="G328" s="618"/>
      <c r="H328" s="353" t="s">
        <v>86</v>
      </c>
      <c r="I328" s="613">
        <f t="shared" si="25"/>
        <v>1</v>
      </c>
      <c r="J328" s="615">
        <f>J327</f>
        <v>273899.64</v>
      </c>
      <c r="K328" s="832"/>
      <c r="L328" s="313">
        <v>1</v>
      </c>
      <c r="M328" s="313">
        <v>1</v>
      </c>
    </row>
    <row r="329" spans="2:13" hidden="1" x14ac:dyDescent="0.3">
      <c r="B329" s="351">
        <v>5.2</v>
      </c>
      <c r="C329" s="771" t="s">
        <v>650</v>
      </c>
      <c r="D329" s="749"/>
      <c r="E329" s="749"/>
      <c r="G329" s="618"/>
      <c r="H329" s="353" t="s">
        <v>15</v>
      </c>
      <c r="I329" s="613">
        <f t="shared" si="25"/>
        <v>2</v>
      </c>
      <c r="J329" s="615">
        <f>HARSAT!H254</f>
        <v>211024.99999999997</v>
      </c>
      <c r="K329" s="832"/>
      <c r="L329" s="313">
        <v>2</v>
      </c>
      <c r="M329" s="313">
        <v>2</v>
      </c>
    </row>
    <row r="330" spans="2:13" hidden="1" x14ac:dyDescent="0.3">
      <c r="B330" s="351">
        <v>5.3</v>
      </c>
      <c r="C330" s="771" t="s">
        <v>651</v>
      </c>
      <c r="D330" s="749"/>
      <c r="E330" s="749"/>
      <c r="G330" s="618"/>
      <c r="H330" s="353"/>
      <c r="I330" s="617"/>
      <c r="J330" s="615"/>
      <c r="K330" s="832"/>
      <c r="M330" s="313"/>
    </row>
    <row r="331" spans="2:13" hidden="1" x14ac:dyDescent="0.3">
      <c r="B331" s="351"/>
      <c r="C331" s="771" t="s">
        <v>233</v>
      </c>
      <c r="D331" s="1" t="s">
        <v>652</v>
      </c>
      <c r="E331" s="749"/>
      <c r="G331" s="618"/>
      <c r="H331" s="353" t="s">
        <v>86</v>
      </c>
      <c r="I331" s="613">
        <f t="shared" ref="I331:I335" si="26">M331</f>
        <v>1</v>
      </c>
      <c r="J331" s="142">
        <f>HARSAT!H211</f>
        <v>3794999.9999999995</v>
      </c>
      <c r="K331" s="832"/>
      <c r="L331" s="313">
        <v>2</v>
      </c>
      <c r="M331" s="313">
        <v>1</v>
      </c>
    </row>
    <row r="332" spans="2:13" hidden="1" x14ac:dyDescent="0.3">
      <c r="B332" s="351"/>
      <c r="C332" s="771" t="s">
        <v>233</v>
      </c>
      <c r="D332" s="749" t="s">
        <v>54</v>
      </c>
      <c r="E332" s="749"/>
      <c r="G332" s="618"/>
      <c r="H332" s="353" t="s">
        <v>86</v>
      </c>
      <c r="I332" s="613">
        <f t="shared" si="26"/>
        <v>1</v>
      </c>
      <c r="J332" s="615">
        <f>HARSAT!H108</f>
        <v>150000</v>
      </c>
      <c r="K332" s="832"/>
      <c r="L332" s="313">
        <v>1</v>
      </c>
      <c r="M332" s="313">
        <v>1</v>
      </c>
    </row>
    <row r="333" spans="2:13" hidden="1" x14ac:dyDescent="0.3">
      <c r="B333" s="351"/>
      <c r="C333" s="771" t="s">
        <v>233</v>
      </c>
      <c r="D333" s="749" t="s">
        <v>653</v>
      </c>
      <c r="E333" s="749"/>
      <c r="G333" s="618"/>
      <c r="H333" s="353" t="s">
        <v>86</v>
      </c>
      <c r="I333" s="613">
        <f t="shared" si="26"/>
        <v>2</v>
      </c>
      <c r="J333" s="615">
        <f>HARSAT!H215</f>
        <v>761230.99999999988</v>
      </c>
      <c r="K333" s="832"/>
      <c r="L333" s="313">
        <v>2</v>
      </c>
      <c r="M333" s="313">
        <v>2</v>
      </c>
    </row>
    <row r="334" spans="2:13" hidden="1" x14ac:dyDescent="0.3">
      <c r="B334" s="351"/>
      <c r="C334" s="771" t="s">
        <v>233</v>
      </c>
      <c r="D334" s="749" t="s">
        <v>608</v>
      </c>
      <c r="E334" s="749"/>
      <c r="G334" s="618"/>
      <c r="H334" s="353" t="s">
        <v>86</v>
      </c>
      <c r="I334" s="613">
        <f t="shared" si="26"/>
        <v>1</v>
      </c>
      <c r="J334" s="615">
        <f>HARSAT!H246</f>
        <v>143750</v>
      </c>
      <c r="K334" s="832"/>
      <c r="L334" s="313">
        <v>2</v>
      </c>
      <c r="M334" s="313">
        <v>1</v>
      </c>
    </row>
    <row r="335" spans="2:13" hidden="1" x14ac:dyDescent="0.3">
      <c r="B335" s="351">
        <v>5.4</v>
      </c>
      <c r="C335" s="771" t="s">
        <v>654</v>
      </c>
      <c r="D335" s="749"/>
      <c r="E335" s="749"/>
      <c r="G335" s="618"/>
      <c r="H335" s="353" t="s">
        <v>250</v>
      </c>
      <c r="I335" s="613">
        <f t="shared" si="26"/>
        <v>1</v>
      </c>
      <c r="J335" s="615">
        <v>500000</v>
      </c>
      <c r="K335" s="832"/>
      <c r="L335" s="313">
        <v>1</v>
      </c>
      <c r="M335" s="313">
        <v>1</v>
      </c>
    </row>
    <row r="336" spans="2:13" hidden="1" x14ac:dyDescent="0.3">
      <c r="B336" s="351"/>
      <c r="C336" s="771"/>
      <c r="D336" s="749"/>
      <c r="E336" s="749"/>
      <c r="G336" s="618"/>
      <c r="H336" s="353"/>
      <c r="I336" s="617"/>
      <c r="J336" s="615"/>
      <c r="K336" s="832"/>
      <c r="M336" s="313"/>
    </row>
    <row r="337" spans="2:13" hidden="1" x14ac:dyDescent="0.3">
      <c r="B337" s="351">
        <v>6</v>
      </c>
      <c r="C337" s="771" t="s">
        <v>655</v>
      </c>
      <c r="D337" s="749"/>
      <c r="E337" s="749"/>
      <c r="G337" s="618"/>
      <c r="H337" s="353"/>
      <c r="I337" s="617"/>
      <c r="J337" s="615"/>
      <c r="K337" s="832"/>
      <c r="M337" s="313"/>
    </row>
    <row r="338" spans="2:13" hidden="1" x14ac:dyDescent="0.3">
      <c r="B338" s="351">
        <v>6.1</v>
      </c>
      <c r="C338" s="771" t="s">
        <v>624</v>
      </c>
      <c r="D338" s="749"/>
      <c r="E338" s="749"/>
      <c r="G338" s="618"/>
      <c r="H338" s="353" t="s">
        <v>86</v>
      </c>
      <c r="I338" s="613">
        <f t="shared" ref="I338:I340" si="27">M338</f>
        <v>1</v>
      </c>
      <c r="J338" s="615">
        <f>HARSAT!H285</f>
        <v>402499.99999999994</v>
      </c>
      <c r="K338" s="832"/>
      <c r="L338" s="313">
        <v>1</v>
      </c>
      <c r="M338" s="313">
        <v>1</v>
      </c>
    </row>
    <row r="339" spans="2:13" hidden="1" x14ac:dyDescent="0.3">
      <c r="B339" s="351">
        <v>6.2</v>
      </c>
      <c r="C339" s="771" t="s">
        <v>656</v>
      </c>
      <c r="D339" s="749"/>
      <c r="E339" s="749"/>
      <c r="G339" s="618"/>
      <c r="H339" s="353" t="s">
        <v>250</v>
      </c>
      <c r="I339" s="613">
        <f t="shared" si="27"/>
        <v>1</v>
      </c>
      <c r="J339" s="615">
        <v>500000</v>
      </c>
      <c r="K339" s="832"/>
      <c r="L339" s="313">
        <v>1</v>
      </c>
      <c r="M339" s="313">
        <v>1</v>
      </c>
    </row>
    <row r="340" spans="2:13" hidden="1" x14ac:dyDescent="0.3">
      <c r="B340" s="351">
        <v>6.3</v>
      </c>
      <c r="C340" s="771" t="s">
        <v>657</v>
      </c>
      <c r="D340" s="749"/>
      <c r="E340" s="749"/>
      <c r="G340" s="618"/>
      <c r="H340" s="353" t="s">
        <v>250</v>
      </c>
      <c r="I340" s="613">
        <f t="shared" si="27"/>
        <v>1</v>
      </c>
      <c r="J340" s="615">
        <v>100000</v>
      </c>
      <c r="K340" s="832"/>
      <c r="L340" s="313">
        <v>1</v>
      </c>
      <c r="M340" s="313">
        <v>1</v>
      </c>
    </row>
    <row r="341" spans="2:13" hidden="1" x14ac:dyDescent="0.3">
      <c r="B341" s="358"/>
      <c r="C341" s="623"/>
      <c r="D341" s="173"/>
      <c r="E341" s="173"/>
      <c r="F341" s="173"/>
      <c r="G341" s="360"/>
      <c r="H341" s="624"/>
      <c r="I341" s="625"/>
      <c r="J341" s="625"/>
      <c r="K341" s="833"/>
    </row>
    <row r="342" spans="2:13" hidden="1" x14ac:dyDescent="0.3">
      <c r="B342" s="365"/>
      <c r="C342" s="694" t="s">
        <v>688</v>
      </c>
      <c r="D342" s="366"/>
      <c r="E342" s="366"/>
      <c r="F342" s="367"/>
      <c r="G342" s="368"/>
      <c r="H342" s="369"/>
      <c r="I342" s="678"/>
      <c r="J342" s="679"/>
      <c r="K342" s="695">
        <f>SUM(K295:K341)</f>
        <v>0</v>
      </c>
    </row>
    <row r="343" spans="2:13" hidden="1" x14ac:dyDescent="0.3">
      <c r="B343" s="680"/>
      <c r="C343" s="682"/>
      <c r="D343" s="683"/>
      <c r="E343" s="316"/>
      <c r="F343" s="1"/>
      <c r="G343" s="7"/>
      <c r="H343" s="7"/>
      <c r="I343" s="681"/>
      <c r="J343" s="419"/>
      <c r="K343" s="420"/>
    </row>
    <row r="344" spans="2:13" hidden="1" x14ac:dyDescent="0.3">
      <c r="B344" s="634" t="s">
        <v>680</v>
      </c>
      <c r="C344" s="750" t="s">
        <v>683</v>
      </c>
      <c r="D344" s="316"/>
      <c r="E344" s="316"/>
      <c r="F344" s="1"/>
      <c r="G344" s="7"/>
      <c r="H344" s="7"/>
      <c r="I344" s="681"/>
      <c r="J344" s="419"/>
      <c r="K344" s="420"/>
    </row>
    <row r="345" spans="2:13" hidden="1" x14ac:dyDescent="0.3">
      <c r="B345" s="680"/>
      <c r="C345" s="684"/>
      <c r="D345" s="316"/>
      <c r="E345" s="316"/>
      <c r="F345" s="1"/>
      <c r="G345" s="7"/>
      <c r="H345" s="7"/>
      <c r="I345" s="681"/>
      <c r="J345" s="419"/>
      <c r="K345" s="420"/>
    </row>
    <row r="346" spans="2:13" hidden="1" x14ac:dyDescent="0.3">
      <c r="B346" s="610">
        <v>1</v>
      </c>
      <c r="C346" s="687" t="s">
        <v>609</v>
      </c>
      <c r="D346" s="249"/>
      <c r="E346" s="249"/>
      <c r="F346" s="249"/>
      <c r="G346" s="611"/>
      <c r="H346" s="688"/>
      <c r="I346" s="689"/>
      <c r="J346" s="690"/>
      <c r="K346" s="691"/>
    </row>
    <row r="347" spans="2:13" hidden="1" x14ac:dyDescent="0.3">
      <c r="B347" s="610"/>
      <c r="C347" s="687" t="s">
        <v>610</v>
      </c>
      <c r="D347" s="249"/>
      <c r="E347" s="249"/>
      <c r="F347" s="249"/>
      <c r="G347" s="611"/>
      <c r="H347" s="688"/>
      <c r="I347" s="689"/>
      <c r="J347" s="690"/>
      <c r="K347" s="691"/>
    </row>
    <row r="348" spans="2:13" hidden="1" x14ac:dyDescent="0.3">
      <c r="B348" s="610"/>
      <c r="C348" s="692" t="s">
        <v>233</v>
      </c>
      <c r="D348" s="693" t="str">
        <f>HARSAT!C279</f>
        <v>Tiang sling dari pipa besi dia. 2" disi cor beton sesuai dengan gambar</v>
      </c>
      <c r="E348" s="249"/>
      <c r="F348" s="249"/>
      <c r="G348" s="611"/>
      <c r="H348" s="688" t="s">
        <v>86</v>
      </c>
      <c r="I348" s="689">
        <v>2</v>
      </c>
      <c r="J348" s="690">
        <f>HARSAT!H279</f>
        <v>872274.99999999988</v>
      </c>
      <c r="K348" s="691"/>
    </row>
    <row r="349" spans="2:13" hidden="1" x14ac:dyDescent="0.3">
      <c r="B349" s="610"/>
      <c r="C349" s="692" t="s">
        <v>233</v>
      </c>
      <c r="D349" s="693" t="str">
        <f>HARSAT!C280</f>
        <v xml:space="preserve">Kawat sling dia. 10 mm </v>
      </c>
      <c r="E349" s="249"/>
      <c r="F349" s="249"/>
      <c r="G349" s="611"/>
      <c r="H349" s="688" t="s">
        <v>15</v>
      </c>
      <c r="I349" s="689">
        <f>30+6</f>
        <v>36</v>
      </c>
      <c r="J349" s="690">
        <f>HARSAT!H280</f>
        <v>40250</v>
      </c>
      <c r="K349" s="691"/>
    </row>
    <row r="350" spans="2:13" hidden="1" x14ac:dyDescent="0.3">
      <c r="B350" s="610"/>
      <c r="C350" s="692" t="s">
        <v>233</v>
      </c>
      <c r="D350" s="693" t="str">
        <f>HARSAT!C281</f>
        <v>Roda sling</v>
      </c>
      <c r="E350" s="249"/>
      <c r="F350" s="249"/>
      <c r="G350" s="611"/>
      <c r="H350" s="688" t="s">
        <v>86</v>
      </c>
      <c r="I350" s="689">
        <v>2</v>
      </c>
      <c r="J350" s="690">
        <f>HARSAT!H281</f>
        <v>51749.999999999993</v>
      </c>
      <c r="K350" s="691"/>
    </row>
    <row r="351" spans="2:13" hidden="1" x14ac:dyDescent="0.3">
      <c r="B351" s="610"/>
      <c r="C351" s="692" t="s">
        <v>233</v>
      </c>
      <c r="D351" s="693" t="str">
        <f>HARSAT!C283</f>
        <v>Pengait sling</v>
      </c>
      <c r="E351" s="249"/>
      <c r="F351" s="249"/>
      <c r="G351" s="611"/>
      <c r="H351" s="688" t="s">
        <v>86</v>
      </c>
      <c r="I351" s="689">
        <v>2</v>
      </c>
      <c r="J351" s="690">
        <f>HARSAT!H283</f>
        <v>60949.999999999993</v>
      </c>
      <c r="K351" s="691"/>
    </row>
    <row r="352" spans="2:13" hidden="1" x14ac:dyDescent="0.3">
      <c r="B352" s="610"/>
      <c r="C352" s="692" t="s">
        <v>233</v>
      </c>
      <c r="D352" s="693" t="str">
        <f>HARSAT!C284</f>
        <v>Pengantung pipa</v>
      </c>
      <c r="E352" s="249"/>
      <c r="F352" s="249"/>
      <c r="G352" s="611"/>
      <c r="H352" s="688" t="s">
        <v>86</v>
      </c>
      <c r="I352" s="689">
        <f>30/1.5</f>
        <v>20</v>
      </c>
      <c r="J352" s="690">
        <f>HARSAT!H284</f>
        <v>80500</v>
      </c>
      <c r="K352" s="691"/>
    </row>
    <row r="353" spans="2:13" hidden="1" x14ac:dyDescent="0.3">
      <c r="B353" s="610">
        <v>2</v>
      </c>
      <c r="C353" s="692" t="s">
        <v>345</v>
      </c>
      <c r="D353" s="693"/>
      <c r="E353" s="249"/>
      <c r="F353" s="249"/>
      <c r="G353" s="611"/>
      <c r="H353" s="234" t="s">
        <v>684</v>
      </c>
      <c r="I353" s="689">
        <v>1</v>
      </c>
      <c r="J353" s="690">
        <v>150000</v>
      </c>
      <c r="K353" s="691"/>
    </row>
    <row r="354" spans="2:13" hidden="1" x14ac:dyDescent="0.3">
      <c r="B354" s="680"/>
      <c r="C354" s="685"/>
      <c r="D354" s="686"/>
      <c r="E354" s="316"/>
      <c r="F354" s="1"/>
      <c r="G354" s="7"/>
      <c r="H354" s="7"/>
      <c r="I354" s="681"/>
      <c r="J354" s="419"/>
      <c r="K354" s="420"/>
    </row>
    <row r="355" spans="2:13" hidden="1" x14ac:dyDescent="0.3">
      <c r="B355" s="365"/>
      <c r="C355" s="694" t="s">
        <v>689</v>
      </c>
      <c r="D355" s="366"/>
      <c r="E355" s="366"/>
      <c r="F355" s="367"/>
      <c r="G355" s="368"/>
      <c r="H355" s="369"/>
      <c r="I355" s="678"/>
      <c r="J355" s="679"/>
      <c r="K355" s="695">
        <f>SUM(K348:K354)</f>
        <v>0</v>
      </c>
    </row>
    <row r="356" spans="2:13" x14ac:dyDescent="0.3">
      <c r="B356" s="98"/>
      <c r="C356" s="399"/>
      <c r="D356" s="1"/>
      <c r="E356" s="1"/>
      <c r="F356" s="1"/>
      <c r="G356" s="7"/>
      <c r="H356" s="7"/>
      <c r="I356" s="350"/>
      <c r="J356" s="374"/>
      <c r="K356" s="323"/>
    </row>
    <row r="357" spans="2:13" x14ac:dyDescent="0.3">
      <c r="B357" s="622" t="s">
        <v>680</v>
      </c>
      <c r="C357" s="789" t="s">
        <v>757</v>
      </c>
      <c r="D357" s="749"/>
      <c r="E357" s="1"/>
      <c r="F357" s="1"/>
      <c r="G357" s="7"/>
      <c r="H357" s="790"/>
      <c r="I357" s="786"/>
      <c r="J357" s="374"/>
      <c r="K357" s="323"/>
      <c r="M357" s="389"/>
    </row>
    <row r="358" spans="2:13" x14ac:dyDescent="0.3">
      <c r="B358" s="351" t="str">
        <f>[32]SMKK!B9</f>
        <v>A</v>
      </c>
      <c r="C358" s="791" t="str">
        <f>[32]SMKK!C9</f>
        <v>PENYIAPAN RKK</v>
      </c>
      <c r="D358" s="749"/>
      <c r="E358" s="1"/>
      <c r="F358" s="1"/>
      <c r="G358" s="7"/>
      <c r="H358" s="353"/>
      <c r="I358" s="375"/>
      <c r="J358" s="376"/>
      <c r="K358" s="323"/>
      <c r="M358" s="389"/>
    </row>
    <row r="359" spans="2:13" x14ac:dyDescent="0.3">
      <c r="B359" s="351"/>
      <c r="C359" s="791">
        <f>[32]SMKK!C10</f>
        <v>1</v>
      </c>
      <c r="D359" s="749" t="str">
        <f>[32]SMKK!D10</f>
        <v>Pembuatan Dokumen Rencana Keselematan Konstruksi</v>
      </c>
      <c r="E359" s="1"/>
      <c r="F359" s="1"/>
      <c r="G359" s="7"/>
      <c r="H359" s="972" t="str">
        <f>[32]SMKK!G10</f>
        <v>set</v>
      </c>
      <c r="I359" s="970">
        <f>SMKK!G11</f>
        <v>1</v>
      </c>
      <c r="J359" s="971">
        <f>SMKK!H11</f>
        <v>200000</v>
      </c>
      <c r="K359" s="548">
        <f>J359*I359</f>
        <v>200000</v>
      </c>
      <c r="M359" s="389"/>
    </row>
    <row r="360" spans="2:13" x14ac:dyDescent="0.3">
      <c r="B360" s="351"/>
      <c r="C360" s="791">
        <f>[32]SMKK!C11</f>
        <v>2</v>
      </c>
      <c r="D360" s="749" t="str">
        <f>[32]SMKK!D11</f>
        <v>Pembuatan Prosedur dan Instruksi Kerja</v>
      </c>
      <c r="E360" s="249"/>
      <c r="F360" s="1"/>
      <c r="G360" s="7"/>
      <c r="H360" s="969"/>
      <c r="I360" s="970"/>
      <c r="J360" s="971"/>
      <c r="K360" s="548"/>
      <c r="L360" s="313">
        <v>75000</v>
      </c>
      <c r="M360" s="389">
        <f>J360*I360</f>
        <v>0</v>
      </c>
    </row>
    <row r="361" spans="2:13" x14ac:dyDescent="0.3">
      <c r="B361" s="351"/>
      <c r="C361" s="791">
        <f>[32]SMKK!C12</f>
        <v>3</v>
      </c>
      <c r="D361" s="749" t="str">
        <f>[32]SMKK!D12</f>
        <v>Penyiapan Formulir</v>
      </c>
      <c r="E361" s="249"/>
      <c r="F361" s="1"/>
      <c r="G361" s="7"/>
      <c r="H361" s="969"/>
      <c r="I361" s="970"/>
      <c r="J361" s="971"/>
      <c r="K361" s="548"/>
      <c r="L361" s="313">
        <v>13500</v>
      </c>
      <c r="M361" s="389">
        <f t="shared" ref="M361" si="28">J361*I361</f>
        <v>0</v>
      </c>
    </row>
    <row r="362" spans="2:13" x14ac:dyDescent="0.3">
      <c r="B362" s="351"/>
      <c r="C362" s="791"/>
      <c r="D362" s="792"/>
      <c r="E362" s="249"/>
      <c r="F362" s="1"/>
      <c r="G362" s="7"/>
      <c r="H362" s="353"/>
      <c r="I362" s="375"/>
      <c r="J362" s="376"/>
      <c r="K362" s="323"/>
      <c r="M362" s="389"/>
    </row>
    <row r="363" spans="2:13" x14ac:dyDescent="0.3">
      <c r="B363" s="351" t="str">
        <f>[32]SMKK!B14</f>
        <v>B</v>
      </c>
      <c r="C363" s="791" t="str">
        <f>[32]SMKK!C14</f>
        <v>SOSIALISASI , PROMOSI DAN PELATIHAN</v>
      </c>
      <c r="D363" s="792"/>
      <c r="E363" s="249"/>
      <c r="F363" s="1"/>
      <c r="G363" s="7"/>
      <c r="H363" s="353"/>
      <c r="I363" s="375"/>
      <c r="J363" s="376"/>
      <c r="K363" s="323"/>
      <c r="M363" s="389"/>
    </row>
    <row r="364" spans="2:13" x14ac:dyDescent="0.3">
      <c r="B364" s="351"/>
      <c r="C364" s="791">
        <f>[32]SMKK!C15</f>
        <v>1</v>
      </c>
      <c r="D364" s="749" t="str">
        <f>SMKK!D17</f>
        <v>Induksi K3 (Safety Induction)</v>
      </c>
      <c r="E364" s="249"/>
      <c r="F364" s="1"/>
      <c r="G364" s="7"/>
      <c r="H364" s="353" t="str">
        <f>SMKK!F17</f>
        <v>Org</v>
      </c>
      <c r="I364" s="375">
        <f>SMKK!G17</f>
        <v>4</v>
      </c>
      <c r="J364" s="376">
        <f>SMKK!H17</f>
        <v>10000</v>
      </c>
      <c r="K364" s="101">
        <f>+J364*I364</f>
        <v>40000</v>
      </c>
      <c r="M364" s="389"/>
    </row>
    <row r="365" spans="2:13" x14ac:dyDescent="0.3">
      <c r="B365" s="351"/>
      <c r="C365" s="791">
        <f>[32]SMKK!C16</f>
        <v>2</v>
      </c>
      <c r="D365" s="749" t="str">
        <f>SMKK!D18</f>
        <v>Pertemuan Keselamatan (Safety Talk dan / atau Tool Box Meeting)</v>
      </c>
      <c r="E365" s="249"/>
      <c r="F365" s="1"/>
      <c r="G365" s="7"/>
      <c r="H365" s="353" t="str">
        <f>SMKK!F18</f>
        <v>Org</v>
      </c>
      <c r="I365" s="375">
        <f>SMKK!G18</f>
        <v>4</v>
      </c>
      <c r="J365" s="376">
        <f>SMKK!H18</f>
        <v>10000</v>
      </c>
      <c r="K365" s="101">
        <f t="shared" ref="K365:K367" si="29">+J365*I365</f>
        <v>40000</v>
      </c>
      <c r="M365" s="389"/>
    </row>
    <row r="366" spans="2:13" hidden="1" x14ac:dyDescent="0.3">
      <c r="B366" s="351"/>
      <c r="C366" s="791">
        <f>[32]SMKK!C17</f>
        <v>3</v>
      </c>
      <c r="D366" s="749" t="str">
        <f>SMKK!D19</f>
        <v>Spanduk (banner)</v>
      </c>
      <c r="E366" s="249"/>
      <c r="F366" s="1"/>
      <c r="G366" s="7"/>
      <c r="H366" s="353" t="str">
        <f>SMKK!F19</f>
        <v>Lbr</v>
      </c>
      <c r="I366" s="375">
        <f>SMKK!G19</f>
        <v>0</v>
      </c>
      <c r="J366" s="376">
        <f>SMKK!H19</f>
        <v>135900</v>
      </c>
      <c r="K366" s="101">
        <f t="shared" si="29"/>
        <v>0</v>
      </c>
      <c r="M366" s="389"/>
    </row>
    <row r="367" spans="2:13" hidden="1" x14ac:dyDescent="0.3">
      <c r="B367" s="351"/>
      <c r="C367" s="791">
        <f>[32]SMKK!C18</f>
        <v>4</v>
      </c>
      <c r="D367" s="749" t="str">
        <f>SMKK!D20</f>
        <v>Poster</v>
      </c>
      <c r="E367" s="249"/>
      <c r="F367" s="1"/>
      <c r="G367" s="7"/>
      <c r="H367" s="353" t="str">
        <f>SMKK!F20</f>
        <v>Lbr</v>
      </c>
      <c r="I367" s="375">
        <f>SMKK!G20</f>
        <v>0</v>
      </c>
      <c r="J367" s="376">
        <f>SMKK!H20</f>
        <v>14000</v>
      </c>
      <c r="K367" s="101">
        <f t="shared" si="29"/>
        <v>0</v>
      </c>
      <c r="M367" s="389"/>
    </row>
    <row r="368" spans="2:13" x14ac:dyDescent="0.3">
      <c r="B368" s="351"/>
      <c r="C368" s="791"/>
      <c r="D368" s="792"/>
      <c r="E368" s="249"/>
      <c r="F368" s="1"/>
      <c r="G368" s="7"/>
      <c r="H368" s="353"/>
      <c r="I368" s="375"/>
      <c r="J368" s="376"/>
      <c r="K368" s="323"/>
      <c r="M368" s="389"/>
    </row>
    <row r="369" spans="2:13" x14ac:dyDescent="0.3">
      <c r="B369" s="351" t="str">
        <f>[32]SMKK!B20</f>
        <v>C</v>
      </c>
      <c r="C369" s="791" t="str">
        <f>[32]SMKK!C20</f>
        <v>PERALATAN PELINDUNGKERJA (APK) DAN ALAT PELINDUNG DIRI DIRI (APD)</v>
      </c>
      <c r="D369" s="792"/>
      <c r="E369" s="249"/>
      <c r="F369" s="1"/>
      <c r="G369" s="7"/>
      <c r="H369" s="353"/>
      <c r="I369" s="375"/>
      <c r="J369" s="376"/>
      <c r="K369" s="323"/>
      <c r="M369" s="389"/>
    </row>
    <row r="370" spans="2:13" hidden="1" x14ac:dyDescent="0.3">
      <c r="B370" s="351"/>
      <c r="C370" s="791" t="str">
        <f>SMKK!C25</f>
        <v>a.</v>
      </c>
      <c r="D370" s="792" t="str">
        <f>SMKK!D25</f>
        <v>APK Antara Lain:</v>
      </c>
      <c r="E370" s="249"/>
      <c r="F370" s="1"/>
      <c r="G370" s="955"/>
      <c r="H370" s="956"/>
      <c r="I370" s="957"/>
      <c r="J370" s="958"/>
      <c r="K370" s="323"/>
      <c r="M370" s="389"/>
    </row>
    <row r="371" spans="2:13" hidden="1" x14ac:dyDescent="0.3">
      <c r="B371" s="351"/>
      <c r="C371" s="791"/>
      <c r="D371" s="792">
        <f>SMKK!D26</f>
        <v>1</v>
      </c>
      <c r="E371" s="249" t="str">
        <f>SMKK!E26</f>
        <v>Pembatas Area (Restricted Area) / Safety Line</v>
      </c>
      <c r="F371" s="1"/>
      <c r="G371" s="955"/>
      <c r="H371" s="956" t="str">
        <f>SMKK!F26</f>
        <v>Bh</v>
      </c>
      <c r="I371" s="957">
        <f>SMKK!G26</f>
        <v>0</v>
      </c>
      <c r="J371" s="376">
        <f>SMKK!H26</f>
        <v>34000</v>
      </c>
      <c r="K371" s="101">
        <f t="shared" ref="K371:K376" si="30">+J371*I371</f>
        <v>0</v>
      </c>
      <c r="M371" s="389"/>
    </row>
    <row r="372" spans="2:13" x14ac:dyDescent="0.3">
      <c r="B372" s="351"/>
      <c r="C372" s="791">
        <f>[32]SMKK!C21</f>
        <v>1</v>
      </c>
      <c r="D372" s="749" t="str">
        <f>[32]SMKK!D21</f>
        <v>Alat Pelindung Diri (APD) terdiri atas:</v>
      </c>
      <c r="E372" s="249"/>
      <c r="F372" s="1"/>
      <c r="G372" s="7"/>
      <c r="H372" s="353"/>
      <c r="I372" s="375"/>
      <c r="J372" s="376"/>
      <c r="K372" s="323"/>
      <c r="M372" s="389"/>
    </row>
    <row r="373" spans="2:13" x14ac:dyDescent="0.3">
      <c r="B373" s="351"/>
      <c r="C373" s="791"/>
      <c r="D373" s="749">
        <f>SMKK!D28</f>
        <v>1</v>
      </c>
      <c r="E373" s="249" t="str">
        <f>SMKK!E28</f>
        <v>Topi Pelindung (Safety Helmet)</v>
      </c>
      <c r="F373" s="1"/>
      <c r="G373" s="7"/>
      <c r="H373" s="353" t="str">
        <f>SMKK!F26</f>
        <v>Bh</v>
      </c>
      <c r="I373" s="375">
        <f>SMKK!G28</f>
        <v>4</v>
      </c>
      <c r="J373" s="376">
        <f>SMKK!H28</f>
        <v>25000</v>
      </c>
      <c r="K373" s="101">
        <f t="shared" si="30"/>
        <v>100000</v>
      </c>
      <c r="M373" s="389"/>
    </row>
    <row r="374" spans="2:13" x14ac:dyDescent="0.3">
      <c r="B374" s="351"/>
      <c r="C374" s="791"/>
      <c r="D374" s="749">
        <f>SMKK!D29</f>
        <v>2</v>
      </c>
      <c r="E374" s="249" t="str">
        <f>SMKK!E29</f>
        <v xml:space="preserve">Sarung Tangan (Safety Gloves) </v>
      </c>
      <c r="F374" s="1"/>
      <c r="G374" s="7"/>
      <c r="H374" s="353" t="str">
        <f>[32]SMKK!G23</f>
        <v>bh</v>
      </c>
      <c r="I374" s="375">
        <f>SMKK!G29</f>
        <v>4</v>
      </c>
      <c r="J374" s="376">
        <f>SMKK!H29</f>
        <v>10000</v>
      </c>
      <c r="K374" s="101">
        <f t="shared" si="30"/>
        <v>40000</v>
      </c>
      <c r="M374" s="389"/>
    </row>
    <row r="375" spans="2:13" x14ac:dyDescent="0.3">
      <c r="B375" s="351"/>
      <c r="C375" s="791"/>
      <c r="D375" s="749">
        <f>SMKK!D30</f>
        <v>3</v>
      </c>
      <c r="E375" s="249" t="str">
        <f>SMKK!E30</f>
        <v xml:space="preserve">Sepatu Keselamatan (Safety Shoes) </v>
      </c>
      <c r="F375" s="1"/>
      <c r="G375" s="7"/>
      <c r="H375" s="353" t="str">
        <f>[32]SMKK!G24</f>
        <v>psg</v>
      </c>
      <c r="I375" s="375">
        <f>SMKK!G30</f>
        <v>4</v>
      </c>
      <c r="J375" s="376">
        <f>SMKK!H30</f>
        <v>87500</v>
      </c>
      <c r="K375" s="101">
        <f t="shared" si="30"/>
        <v>350000</v>
      </c>
      <c r="M375" s="389"/>
    </row>
    <row r="376" spans="2:13" x14ac:dyDescent="0.3">
      <c r="B376" s="351"/>
      <c r="C376" s="791"/>
      <c r="D376" s="749">
        <f>SMKK!D31</f>
        <v>4</v>
      </c>
      <c r="E376" s="249" t="str">
        <f>SMKK!E31</f>
        <v>Rompi Keselamatan (Safety Vest)</v>
      </c>
      <c r="F376" s="1"/>
      <c r="G376" s="7"/>
      <c r="H376" s="353" t="str">
        <f>[32]SMKK!G25</f>
        <v>psg</v>
      </c>
      <c r="I376" s="375">
        <f>SMKK!G31</f>
        <v>4</v>
      </c>
      <c r="J376" s="376">
        <f>SMKK!H31</f>
        <v>10000</v>
      </c>
      <c r="K376" s="101">
        <f t="shared" si="30"/>
        <v>40000</v>
      </c>
      <c r="M376" s="389"/>
    </row>
    <row r="377" spans="2:13" x14ac:dyDescent="0.3">
      <c r="B377" s="351"/>
      <c r="C377" s="791"/>
      <c r="D377" s="749"/>
      <c r="E377" s="249"/>
      <c r="F377" s="1"/>
      <c r="G377" s="7"/>
      <c r="H377" s="353"/>
      <c r="I377" s="375"/>
      <c r="J377" s="376"/>
      <c r="K377" s="323"/>
      <c r="M377" s="389"/>
    </row>
    <row r="378" spans="2:13" hidden="1" x14ac:dyDescent="0.3">
      <c r="B378" s="351" t="str">
        <f>[32]SMKK!B28</f>
        <v>D</v>
      </c>
      <c r="C378" s="791" t="str">
        <f>[32]SMKK!C28</f>
        <v>ASURANSI DAN PERIZINAN</v>
      </c>
      <c r="D378" s="792"/>
      <c r="E378" s="249"/>
      <c r="F378" s="1"/>
      <c r="G378" s="7"/>
      <c r="H378" s="353"/>
      <c r="I378" s="375"/>
      <c r="J378" s="376"/>
      <c r="K378" s="323"/>
      <c r="M378" s="389"/>
    </row>
    <row r="379" spans="2:13" hidden="1" x14ac:dyDescent="0.3">
      <c r="B379" s="351"/>
      <c r="C379" s="791">
        <f>[32]SMKK!C29</f>
        <v>1</v>
      </c>
      <c r="D379" s="749" t="str">
        <f>[32]SMKK!D29</f>
        <v>Asuransi dan Perizinan</v>
      </c>
      <c r="E379" s="249"/>
      <c r="F379" s="1"/>
      <c r="G379" s="7"/>
      <c r="H379" s="353" t="s">
        <v>866</v>
      </c>
      <c r="I379" s="375"/>
      <c r="J379" s="376">
        <f>SMKK!H35</f>
        <v>600000</v>
      </c>
      <c r="K379" s="101">
        <f>+J379*I379</f>
        <v>0</v>
      </c>
      <c r="M379" s="389"/>
    </row>
    <row r="380" spans="2:13" hidden="1" x14ac:dyDescent="0.3">
      <c r="B380" s="351"/>
      <c r="C380" s="791"/>
      <c r="D380" s="792"/>
      <c r="E380" s="249"/>
      <c r="F380" s="1"/>
      <c r="G380" s="7"/>
      <c r="H380" s="353"/>
      <c r="I380" s="375"/>
      <c r="J380" s="376"/>
      <c r="K380" s="323"/>
      <c r="M380" s="389"/>
    </row>
    <row r="381" spans="2:13" x14ac:dyDescent="0.3">
      <c r="B381" s="351" t="str">
        <f>[32]SMKK!B31</f>
        <v>F</v>
      </c>
      <c r="C381" s="791" t="str">
        <f>[32]SMKK!C31</f>
        <v>FASILITAS SARANA KESEHATAN</v>
      </c>
      <c r="D381" s="792"/>
      <c r="E381" s="249"/>
      <c r="F381" s="1"/>
      <c r="G381" s="7"/>
      <c r="H381" s="353"/>
      <c r="I381" s="375"/>
      <c r="J381" s="376"/>
      <c r="K381" s="323"/>
      <c r="M381" s="389"/>
    </row>
    <row r="382" spans="2:13" x14ac:dyDescent="0.3">
      <c r="B382" s="351"/>
      <c r="C382" s="791">
        <f>[32]SMKK!C32</f>
        <v>1</v>
      </c>
      <c r="D382" s="749" t="str">
        <f>SMKK!D42</f>
        <v xml:space="preserve">Peralatan P3K Umum (Kotak P3K, Obat Luka, Perban,dll) </v>
      </c>
      <c r="E382" s="249"/>
      <c r="F382" s="1"/>
      <c r="G382" s="7"/>
      <c r="H382" s="353" t="str">
        <f>[32]SMKK!G32</f>
        <v>set</v>
      </c>
      <c r="I382" s="375">
        <f>SMKK!G42</f>
        <v>1</v>
      </c>
      <c r="J382" s="376">
        <v>190000</v>
      </c>
      <c r="K382" s="101">
        <f>+J382*I382</f>
        <v>190000</v>
      </c>
      <c r="M382" s="389"/>
    </row>
    <row r="383" spans="2:13" hidden="1" x14ac:dyDescent="0.3">
      <c r="B383" s="351"/>
      <c r="C383" s="791"/>
      <c r="D383" s="792"/>
      <c r="E383" s="249"/>
      <c r="F383" s="1"/>
      <c r="G383" s="7"/>
      <c r="H383" s="353"/>
      <c r="I383" s="375"/>
      <c r="J383" s="376"/>
      <c r="K383" s="323"/>
      <c r="M383" s="389"/>
    </row>
    <row r="384" spans="2:13" hidden="1" x14ac:dyDescent="0.3">
      <c r="B384" s="351" t="str">
        <f>[32]SMKK!B34</f>
        <v>G</v>
      </c>
      <c r="C384" s="791" t="str">
        <f>[32]SMKK!C34</f>
        <v>RAMBU RAMBU LALULINTAS</v>
      </c>
      <c r="D384" s="792"/>
      <c r="E384" s="249"/>
      <c r="F384" s="1"/>
      <c r="G384" s="7"/>
      <c r="H384" s="353"/>
      <c r="I384" s="375"/>
      <c r="J384" s="376"/>
      <c r="K384" s="323"/>
      <c r="M384" s="389"/>
    </row>
    <row r="385" spans="2:13" hidden="1" x14ac:dyDescent="0.3">
      <c r="B385" s="351"/>
      <c r="C385" s="791" t="str">
        <f>SMKK!C46</f>
        <v>a.</v>
      </c>
      <c r="D385" s="749" t="str">
        <f>SMKK!D46</f>
        <v>Rambu Petunjuk</v>
      </c>
      <c r="E385" s="249"/>
      <c r="F385" s="1"/>
      <c r="G385" s="7"/>
      <c r="H385" s="353" t="str">
        <f>SMKK!F46</f>
        <v>Bh</v>
      </c>
      <c r="I385" s="375">
        <f>SMKK!G46</f>
        <v>0</v>
      </c>
      <c r="J385" s="376">
        <f>SMKK!H46</f>
        <v>133200</v>
      </c>
      <c r="K385" s="101">
        <f t="shared" ref="K385" si="31">+J385*I385</f>
        <v>0</v>
      </c>
      <c r="M385" s="389"/>
    </row>
    <row r="386" spans="2:13" hidden="1" x14ac:dyDescent="0.3">
      <c r="B386" s="351"/>
      <c r="C386" s="791" t="str">
        <f>SMKK!C47</f>
        <v>b.</v>
      </c>
      <c r="D386" s="749" t="str">
        <f>SMKK!D47</f>
        <v xml:space="preserve">Rambu Larangan </v>
      </c>
      <c r="E386" s="249"/>
      <c r="F386" s="1"/>
      <c r="G386" s="7"/>
      <c r="H386" s="353" t="str">
        <f>SMKK!F47</f>
        <v>Bh</v>
      </c>
      <c r="I386" s="375">
        <f>SMKK!G47</f>
        <v>0</v>
      </c>
      <c r="J386" s="376">
        <f>SMKK!H47</f>
        <v>133200</v>
      </c>
      <c r="K386" s="101">
        <f t="shared" ref="K386:K388" si="32">+J386*I386</f>
        <v>0</v>
      </c>
      <c r="M386" s="389"/>
    </row>
    <row r="387" spans="2:13" hidden="1" x14ac:dyDescent="0.3">
      <c r="B387" s="351"/>
      <c r="C387" s="791" t="str">
        <f>SMKK!C48</f>
        <v>c.</v>
      </c>
      <c r="D387" s="749" t="str">
        <f>SMKK!D48</f>
        <v>Rambu Peringatan</v>
      </c>
      <c r="E387" s="249"/>
      <c r="F387" s="1"/>
      <c r="G387" s="7"/>
      <c r="H387" s="353" t="str">
        <f>SMKK!F48</f>
        <v>Bh</v>
      </c>
      <c r="I387" s="375">
        <f>SMKK!G48</f>
        <v>0</v>
      </c>
      <c r="J387" s="376">
        <f>SMKK!H48</f>
        <v>133200</v>
      </c>
      <c r="K387" s="101">
        <f t="shared" si="32"/>
        <v>0</v>
      </c>
      <c r="M387" s="389"/>
    </row>
    <row r="388" spans="2:13" hidden="1" x14ac:dyDescent="0.3">
      <c r="B388" s="351"/>
      <c r="C388" s="791" t="str">
        <f>SMKK!C49</f>
        <v>d.</v>
      </c>
      <c r="D388" s="749" t="str">
        <f>SMKK!D49</f>
        <v>Rambu Kewajiban</v>
      </c>
      <c r="E388" s="249"/>
      <c r="F388" s="1"/>
      <c r="G388" s="7"/>
      <c r="H388" s="353" t="str">
        <f>SMKK!F49</f>
        <v>Bh</v>
      </c>
      <c r="I388" s="375">
        <f>SMKK!G49</f>
        <v>0</v>
      </c>
      <c r="J388" s="376">
        <f>SMKK!H49</f>
        <v>133200</v>
      </c>
      <c r="K388" s="101">
        <f t="shared" si="32"/>
        <v>0</v>
      </c>
      <c r="M388" s="389"/>
    </row>
    <row r="389" spans="2:13" x14ac:dyDescent="0.3">
      <c r="B389" s="377"/>
      <c r="C389" s="771"/>
      <c r="D389" s="749"/>
      <c r="E389" s="1"/>
      <c r="F389" s="1"/>
      <c r="G389" s="7"/>
      <c r="H389" s="357"/>
      <c r="I389" s="786"/>
      <c r="J389" s="374"/>
      <c r="K389" s="323"/>
      <c r="M389" s="389"/>
    </row>
    <row r="390" spans="2:13" ht="14.4" thickBot="1" x14ac:dyDescent="0.35">
      <c r="B390" s="671"/>
      <c r="C390" s="697" t="s">
        <v>689</v>
      </c>
      <c r="D390" s="672"/>
      <c r="E390" s="672"/>
      <c r="F390" s="673"/>
      <c r="G390" s="674"/>
      <c r="H390" s="675"/>
      <c r="I390" s="676"/>
      <c r="J390" s="677"/>
      <c r="K390" s="696">
        <f>SUM(K359:K388)</f>
        <v>1000000</v>
      </c>
      <c r="L390" s="313">
        <f>K390</f>
        <v>1000000</v>
      </c>
      <c r="M390" s="389">
        <f>SUM(M389:M389)</f>
        <v>0</v>
      </c>
    </row>
    <row r="391" spans="2:13" x14ac:dyDescent="0.3">
      <c r="B391" s="701"/>
      <c r="C391" s="703" t="s">
        <v>1040</v>
      </c>
      <c r="D391" s="703"/>
      <c r="E391" s="704"/>
      <c r="F391" s="704"/>
      <c r="G391" s="704"/>
      <c r="H391" s="704"/>
      <c r="I391" s="705"/>
      <c r="J391" s="706" t="s">
        <v>520</v>
      </c>
      <c r="K391" s="707">
        <f>K390+K291+K253+K205+K125+K120+K90</f>
        <v>90088468.519739285</v>
      </c>
      <c r="L391" s="744">
        <f>L390+L205+L125+L120+L90</f>
        <v>85018198.074989289</v>
      </c>
    </row>
    <row r="392" spans="2:13" x14ac:dyDescent="0.3">
      <c r="B392" s="328"/>
      <c r="C392" s="708" t="s">
        <v>869</v>
      </c>
      <c r="D392" s="708"/>
      <c r="E392" s="409"/>
      <c r="F392" s="409"/>
      <c r="G392" s="409"/>
      <c r="H392" s="409"/>
      <c r="I392" s="709"/>
      <c r="J392" s="710" t="s">
        <v>520</v>
      </c>
      <c r="K392" s="711">
        <f>+K391*0.11</f>
        <v>9909731.537171321</v>
      </c>
      <c r="L392" s="744"/>
    </row>
    <row r="393" spans="2:13" x14ac:dyDescent="0.3">
      <c r="B393" s="328"/>
      <c r="C393" s="708" t="s">
        <v>522</v>
      </c>
      <c r="D393" s="708"/>
      <c r="E393" s="409"/>
      <c r="F393" s="409"/>
      <c r="G393" s="409"/>
      <c r="H393" s="409"/>
      <c r="I393" s="709"/>
      <c r="J393" s="710" t="s">
        <v>520</v>
      </c>
      <c r="K393" s="711">
        <f>SUM(K391:K392)</f>
        <v>99998200.056910604</v>
      </c>
      <c r="L393" s="744"/>
    </row>
    <row r="394" spans="2:13" ht="14.4" thickBot="1" x14ac:dyDescent="0.35">
      <c r="B394" s="702"/>
      <c r="C394" s="712" t="s">
        <v>622</v>
      </c>
      <c r="D394" s="712"/>
      <c r="E394" s="713"/>
      <c r="F394" s="713"/>
      <c r="G394" s="713"/>
      <c r="H394" s="713"/>
      <c r="I394" s="714"/>
      <c r="J394" s="715" t="s">
        <v>520</v>
      </c>
      <c r="K394" s="716">
        <f>INT(K393/100)*100</f>
        <v>99998200</v>
      </c>
      <c r="L394" s="744"/>
    </row>
  </sheetData>
  <mergeCells count="22">
    <mergeCell ref="B3:K3"/>
    <mergeCell ref="B4:K4"/>
    <mergeCell ref="B5:K5"/>
    <mergeCell ref="B16:K16"/>
    <mergeCell ref="B218:B220"/>
    <mergeCell ref="C218:G220"/>
    <mergeCell ref="H218:H220"/>
    <mergeCell ref="I218:I220"/>
    <mergeCell ref="B60:G60"/>
    <mergeCell ref="B61:G61"/>
    <mergeCell ref="B75:B77"/>
    <mergeCell ref="C75:G77"/>
    <mergeCell ref="H75:H77"/>
    <mergeCell ref="I75:I77"/>
    <mergeCell ref="C132:G133"/>
    <mergeCell ref="C147:G149"/>
    <mergeCell ref="D299:F299"/>
    <mergeCell ref="B18:B20"/>
    <mergeCell ref="J18:K20"/>
    <mergeCell ref="C38:G39"/>
    <mergeCell ref="C18:G20"/>
    <mergeCell ref="D106:G107"/>
  </mergeCells>
  <phoneticPr fontId="16" type="noConversion"/>
  <printOptions horizontalCentered="1"/>
  <pageMargins left="0.70866141732283472" right="0.70866141732283472" top="0.59055118110236227" bottom="1.1811023622047245" header="0.31496062992125984" footer="0.31496062992125984"/>
  <pageSetup paperSize="5" scale="75" orientation="portrait" r:id="rId1"/>
  <rowBreaks count="1" manualBreakCount="1">
    <brk id="62" min="1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86"/>
  <sheetViews>
    <sheetView showGridLines="0" view="pageBreakPreview" topLeftCell="A28" zoomScaleNormal="85" workbookViewId="0">
      <selection activeCell="F182" sqref="F182"/>
    </sheetView>
  </sheetViews>
  <sheetFormatPr defaultColWidth="9.375" defaultRowHeight="13.8" x14ac:dyDescent="0.3"/>
  <cols>
    <col min="1" max="1" width="9.375" style="249"/>
    <col min="2" max="2" width="7.375" style="249" customWidth="1"/>
    <col min="3" max="3" width="3" style="249" customWidth="1"/>
    <col min="4" max="4" width="18.125" style="249" customWidth="1"/>
    <col min="5" max="5" width="4" style="249" customWidth="1"/>
    <col min="6" max="6" width="79" style="249" customWidth="1"/>
    <col min="7" max="7" width="9" style="249" customWidth="1"/>
    <col min="8" max="8" width="15.375" style="249" customWidth="1"/>
    <col min="9" max="9" width="16.5" style="592" customWidth="1"/>
    <col min="10" max="10" width="15.375" style="592" customWidth="1"/>
    <col min="11" max="11" width="18.125" style="592" customWidth="1"/>
    <col min="12" max="12" width="9.375" style="592"/>
    <col min="13" max="16384" width="9.375" style="249"/>
  </cols>
  <sheetData>
    <row r="1" spans="2:11" x14ac:dyDescent="0.3">
      <c r="I1" s="274"/>
      <c r="J1" s="274"/>
      <c r="K1" s="274"/>
    </row>
    <row r="2" spans="2:11" x14ac:dyDescent="0.3">
      <c r="I2" s="274"/>
      <c r="J2" s="274"/>
      <c r="K2" s="274"/>
    </row>
    <row r="3" spans="2:11" ht="24.75" customHeight="1" x14ac:dyDescent="0.3">
      <c r="B3" s="70" t="s">
        <v>0</v>
      </c>
      <c r="C3" s="70"/>
      <c r="D3" s="71"/>
      <c r="E3" s="71"/>
      <c r="F3" s="71"/>
      <c r="I3" s="274"/>
      <c r="J3" s="274"/>
      <c r="K3" s="274"/>
    </row>
    <row r="4" spans="2:11" ht="15" customHeight="1" x14ac:dyDescent="0.3">
      <c r="B4" s="249" t="str">
        <f>RAB!B7</f>
        <v>UNIT KERJA</v>
      </c>
      <c r="E4" s="249" t="str">
        <f>RAB!F7</f>
        <v>:</v>
      </c>
      <c r="F4" s="249" t="str">
        <f>RAB!G7</f>
        <v>DINAS PERUMAHAN DAN KAWASAN PERMUKIMAN KABUPATEN CIANJUR</v>
      </c>
      <c r="I4" s="274"/>
      <c r="J4" s="274"/>
      <c r="K4" s="274"/>
    </row>
    <row r="5" spans="2:11" ht="15" customHeight="1" x14ac:dyDescent="0.3">
      <c r="B5" s="249" t="str">
        <f>RAB!B8</f>
        <v>PROGRAM</v>
      </c>
      <c r="E5" s="249" t="str">
        <f>RAB!F8</f>
        <v>:</v>
      </c>
      <c r="F5" s="249" t="str">
        <f>RAB!G8</f>
        <v>PROGRAM PENGELOLAAN DAN PENGEMBANGAN SISTEM PENYEDIAAN AIR MINUM</v>
      </c>
      <c r="I5" s="274"/>
      <c r="J5" s="274"/>
      <c r="K5" s="274"/>
    </row>
    <row r="6" spans="2:11" ht="15" customHeight="1" x14ac:dyDescent="0.3">
      <c r="B6" s="249" t="str">
        <f>RAB!B9</f>
        <v>KEGIATAN</v>
      </c>
      <c r="E6" s="249" t="str">
        <f>RAB!F9</f>
        <v>:</v>
      </c>
      <c r="F6" s="249" t="str">
        <f>RAB!G9</f>
        <v>PENGELOLAAN DAN PENGEMBANGAN SISTEM PENYEDIAAN AIR MINUM (SPAM) DI DAERAH KABUPATEN/KOTA</v>
      </c>
      <c r="I6" s="274"/>
      <c r="J6" s="274"/>
      <c r="K6" s="274"/>
    </row>
    <row r="7" spans="2:11" ht="15" customHeight="1" x14ac:dyDescent="0.3">
      <c r="B7" s="249" t="str">
        <f>RAB!B10</f>
        <v>SUB KEGIATAN</v>
      </c>
      <c r="E7" s="249" t="str">
        <f>RAB!F10</f>
        <v>:</v>
      </c>
      <c r="F7" s="249" t="str">
        <f>RAB!G10</f>
        <v>PEMBANGUNAN SPAM BUKAN JARINGAN PERPIPAAN DI KAWASAN PERDESAAN</v>
      </c>
      <c r="I7" s="274"/>
      <c r="J7" s="274"/>
      <c r="K7" s="274"/>
    </row>
    <row r="8" spans="2:11" ht="15" customHeight="1" x14ac:dyDescent="0.3">
      <c r="B8" s="249" t="str">
        <f>RAB!B11</f>
        <v>PEKERJAAN</v>
      </c>
      <c r="E8" s="249" t="str">
        <f>RAB!F11</f>
        <v>:</v>
      </c>
      <c r="F8" s="593" t="str">
        <f>RAB!G11</f>
        <v>KURANGYA AIR BERSIH PESANTREN AL MARUF RT.03 RW.01 KP.BOBOJONG DESA BOBOJONG KECAMATAN MANDE</v>
      </c>
      <c r="I8" s="274"/>
      <c r="J8" s="274"/>
      <c r="K8" s="274"/>
    </row>
    <row r="9" spans="2:11" ht="15" customHeight="1" x14ac:dyDescent="0.3">
      <c r="B9" s="249" t="str">
        <f>RAB!B12</f>
        <v>LOKASI</v>
      </c>
      <c r="E9" s="249" t="str">
        <f>RAB!F12</f>
        <v>:</v>
      </c>
      <c r="F9" s="593" t="str">
        <f>RAB!G12</f>
        <v>PESANTREN AL MARUF RT.03 RW.01 KP.BOBOJONG DESA BOBOJONG KECAMATAN MANDE</v>
      </c>
      <c r="I9" s="274"/>
      <c r="J9" s="274"/>
      <c r="K9" s="274"/>
    </row>
    <row r="10" spans="2:11" ht="15" customHeight="1" x14ac:dyDescent="0.3">
      <c r="B10" s="249" t="str">
        <f>RAB!B13</f>
        <v>SUMBER DANA</v>
      </c>
      <c r="E10" s="249" t="str">
        <f>RAB!F13</f>
        <v>:</v>
      </c>
      <c r="F10" s="593" t="str">
        <f>RAB!G13</f>
        <v>DAU</v>
      </c>
      <c r="I10" s="274"/>
      <c r="J10" s="274"/>
      <c r="K10" s="274"/>
    </row>
    <row r="11" spans="2:11" ht="15" customHeight="1" x14ac:dyDescent="0.3">
      <c r="B11" s="249" t="str">
        <f>RAB!B14</f>
        <v>TAHUN ANGGARAN</v>
      </c>
      <c r="E11" s="249" t="str">
        <f>RAB!F14</f>
        <v>:</v>
      </c>
      <c r="F11" s="593">
        <f>RAB!G14</f>
        <v>2026</v>
      </c>
      <c r="I11" s="274"/>
      <c r="J11" s="274"/>
      <c r="K11" s="274"/>
    </row>
    <row r="12" spans="2:11" ht="15" customHeight="1" thickBot="1" x14ac:dyDescent="0.35">
      <c r="H12" s="594" t="s">
        <v>8</v>
      </c>
      <c r="I12" s="274"/>
      <c r="J12" s="274"/>
      <c r="K12" s="274"/>
    </row>
    <row r="13" spans="2:11" ht="15" customHeight="1" x14ac:dyDescent="0.3">
      <c r="B13" s="1572" t="s">
        <v>9</v>
      </c>
      <c r="C13" s="1580" t="s">
        <v>10</v>
      </c>
      <c r="D13" s="1581"/>
      <c r="E13" s="1581"/>
      <c r="F13" s="1582"/>
      <c r="G13" s="1575" t="s">
        <v>11</v>
      </c>
      <c r="H13" s="1578" t="s">
        <v>12</v>
      </c>
      <c r="I13" s="274"/>
      <c r="J13" s="274"/>
      <c r="K13" s="274"/>
    </row>
    <row r="14" spans="2:11" ht="15" customHeight="1" x14ac:dyDescent="0.3">
      <c r="B14" s="1573"/>
      <c r="C14" s="1583"/>
      <c r="D14" s="1584"/>
      <c r="E14" s="1584"/>
      <c r="F14" s="1585"/>
      <c r="G14" s="1576"/>
      <c r="H14" s="1579"/>
      <c r="I14" s="274"/>
      <c r="J14" s="274"/>
      <c r="K14" s="274"/>
    </row>
    <row r="15" spans="2:11" ht="15" customHeight="1" x14ac:dyDescent="0.3">
      <c r="B15" s="1574"/>
      <c r="C15" s="1586"/>
      <c r="D15" s="1587"/>
      <c r="E15" s="1587"/>
      <c r="F15" s="1588"/>
      <c r="G15" s="1577"/>
      <c r="H15" s="595" t="s">
        <v>13</v>
      </c>
      <c r="I15" s="274"/>
      <c r="J15" s="274"/>
      <c r="K15" s="274"/>
    </row>
    <row r="16" spans="2:11" ht="15" customHeight="1" x14ac:dyDescent="0.3">
      <c r="B16" s="596"/>
      <c r="C16" s="597"/>
      <c r="D16" s="597"/>
      <c r="E16" s="597"/>
      <c r="F16" s="597"/>
      <c r="G16" s="598"/>
      <c r="H16" s="599"/>
      <c r="I16" s="274"/>
      <c r="J16" s="274"/>
      <c r="K16" s="274"/>
    </row>
    <row r="17" spans="2:11" ht="15" customHeight="1" x14ac:dyDescent="0.3">
      <c r="B17" s="600">
        <v>1</v>
      </c>
      <c r="C17" s="601" t="s">
        <v>14</v>
      </c>
      <c r="D17" s="602"/>
      <c r="E17" s="602"/>
      <c r="F17" s="602"/>
      <c r="G17" s="603" t="s">
        <v>15</v>
      </c>
      <c r="H17" s="604">
        <f>ANALISA!N375</f>
        <v>21692.45</v>
      </c>
      <c r="I17" s="274"/>
      <c r="J17" s="274"/>
      <c r="K17" s="274"/>
    </row>
    <row r="18" spans="2:11" ht="15" customHeight="1" x14ac:dyDescent="0.3">
      <c r="B18" s="600">
        <f>B17+1</f>
        <v>2</v>
      </c>
      <c r="C18" s="601" t="s">
        <v>16</v>
      </c>
      <c r="D18" s="602"/>
      <c r="E18" s="602"/>
      <c r="F18" s="602"/>
      <c r="G18" s="603" t="s">
        <v>17</v>
      </c>
      <c r="H18" s="604">
        <f>ANALISA!N382</f>
        <v>18914.625</v>
      </c>
      <c r="I18" s="274"/>
      <c r="J18" s="274"/>
      <c r="K18" s="274"/>
    </row>
    <row r="19" spans="2:11" ht="15" customHeight="1" x14ac:dyDescent="0.3">
      <c r="B19" s="600">
        <f t="shared" ref="B19:B113" si="0">B18+1</f>
        <v>3</v>
      </c>
      <c r="C19" s="601" t="s">
        <v>18</v>
      </c>
      <c r="D19" s="602"/>
      <c r="E19" s="602"/>
      <c r="F19" s="602"/>
      <c r="G19" s="603" t="s">
        <v>17</v>
      </c>
      <c r="H19" s="604">
        <f>ANALISA!N410</f>
        <v>75204.25</v>
      </c>
      <c r="I19" s="274"/>
      <c r="J19" s="274"/>
      <c r="K19" s="274"/>
    </row>
    <row r="20" spans="2:11" ht="15" customHeight="1" x14ac:dyDescent="0.3">
      <c r="B20" s="600">
        <f t="shared" si="0"/>
        <v>4</v>
      </c>
      <c r="C20" s="601" t="s">
        <v>19</v>
      </c>
      <c r="D20" s="602"/>
      <c r="E20" s="602"/>
      <c r="F20" s="602"/>
      <c r="G20" s="603" t="s">
        <v>17</v>
      </c>
      <c r="H20" s="604">
        <f>ANALISA!N417</f>
        <v>473141.05</v>
      </c>
      <c r="I20" s="274"/>
      <c r="J20" s="274"/>
      <c r="K20" s="274"/>
    </row>
    <row r="21" spans="2:11" ht="15" customHeight="1" x14ac:dyDescent="0.3">
      <c r="B21" s="600">
        <f t="shared" si="0"/>
        <v>5</v>
      </c>
      <c r="C21" s="601" t="s">
        <v>20</v>
      </c>
      <c r="D21" s="602"/>
      <c r="E21" s="602"/>
      <c r="F21" s="602"/>
      <c r="G21" s="603" t="s">
        <v>17</v>
      </c>
      <c r="H21" s="604">
        <f>ANALISA!N425</f>
        <v>201508.75</v>
      </c>
      <c r="I21" s="274"/>
      <c r="J21" s="274"/>
      <c r="K21" s="274"/>
    </row>
    <row r="22" spans="2:11" ht="15" customHeight="1" x14ac:dyDescent="0.3">
      <c r="B22" s="600">
        <f t="shared" si="0"/>
        <v>6</v>
      </c>
      <c r="C22" s="601" t="s">
        <v>21</v>
      </c>
      <c r="D22" s="602"/>
      <c r="E22" s="602"/>
      <c r="F22" s="602"/>
      <c r="G22" s="603" t="s">
        <v>17</v>
      </c>
      <c r="H22" s="604">
        <f>ANALISA!N432</f>
        <v>27939.25</v>
      </c>
      <c r="I22" s="274"/>
      <c r="J22" s="274"/>
      <c r="K22" s="274"/>
    </row>
    <row r="23" spans="2:11" ht="15" customHeight="1" x14ac:dyDescent="0.3">
      <c r="B23" s="600">
        <f t="shared" si="0"/>
        <v>7</v>
      </c>
      <c r="C23" s="601" t="s">
        <v>22</v>
      </c>
      <c r="D23" s="602"/>
      <c r="E23" s="602"/>
      <c r="F23" s="602"/>
      <c r="G23" s="603" t="s">
        <v>17</v>
      </c>
      <c r="H23" s="604">
        <f>ANALISA!N439</f>
        <v>36081.25</v>
      </c>
      <c r="I23" s="274"/>
      <c r="J23" s="274"/>
      <c r="K23" s="274"/>
    </row>
    <row r="24" spans="2:11" ht="15" customHeight="1" x14ac:dyDescent="0.3">
      <c r="B24" s="600">
        <f t="shared" si="0"/>
        <v>8</v>
      </c>
      <c r="C24" s="601" t="s">
        <v>23</v>
      </c>
      <c r="D24" s="602"/>
      <c r="E24" s="602"/>
      <c r="F24" s="602"/>
      <c r="G24" s="603" t="s">
        <v>17</v>
      </c>
      <c r="H24" s="604">
        <f>ANALISA!N449</f>
        <v>454244.25</v>
      </c>
      <c r="I24" s="274"/>
      <c r="J24" s="274"/>
      <c r="K24" s="274"/>
    </row>
    <row r="25" spans="2:11" ht="15" customHeight="1" x14ac:dyDescent="0.3">
      <c r="B25" s="600">
        <f t="shared" si="0"/>
        <v>9</v>
      </c>
      <c r="C25" s="601" t="s">
        <v>24</v>
      </c>
      <c r="D25" s="602"/>
      <c r="E25" s="602"/>
      <c r="F25" s="602"/>
      <c r="G25" s="603" t="s">
        <v>17</v>
      </c>
      <c r="H25" s="604">
        <f>ANALISA!N460</f>
        <v>820280.05</v>
      </c>
      <c r="I25" s="274"/>
      <c r="J25" s="274"/>
      <c r="K25" s="274"/>
    </row>
    <row r="26" spans="2:11" ht="15" customHeight="1" x14ac:dyDescent="0.3">
      <c r="B26" s="600">
        <f t="shared" si="0"/>
        <v>10</v>
      </c>
      <c r="C26" s="601" t="str">
        <f>ANALISA!C469</f>
        <v>Pas.  Bata Merah  ukuran (5x11x22) cm tebal  ½ bata, campuran spesi  1PC : 3PS</v>
      </c>
      <c r="D26" s="602"/>
      <c r="E26" s="602"/>
      <c r="F26" s="602"/>
      <c r="G26" s="603" t="s">
        <v>26</v>
      </c>
      <c r="H26" s="604">
        <f>ANALISA!N479</f>
        <v>158779.81</v>
      </c>
      <c r="I26" s="274"/>
      <c r="J26" s="274"/>
      <c r="K26" s="274"/>
    </row>
    <row r="27" spans="2:11" ht="15" customHeight="1" x14ac:dyDescent="0.3">
      <c r="B27" s="600">
        <f t="shared" si="0"/>
        <v>11</v>
      </c>
      <c r="C27" s="601" t="s">
        <v>25</v>
      </c>
      <c r="D27" s="602"/>
      <c r="E27" s="602"/>
      <c r="F27" s="602"/>
      <c r="G27" s="603" t="s">
        <v>26</v>
      </c>
      <c r="H27" s="604">
        <f>ANALISA!N489</f>
        <v>83800.5</v>
      </c>
      <c r="I27" s="274"/>
      <c r="J27" s="274"/>
      <c r="K27" s="274"/>
    </row>
    <row r="28" spans="2:11" ht="15" customHeight="1" x14ac:dyDescent="0.3">
      <c r="B28" s="600">
        <f t="shared" si="0"/>
        <v>12</v>
      </c>
      <c r="C28" s="1172" t="str">
        <f>ANALISA!C490</f>
        <v>Pas.Lantai Keramik  uk. 25 x 25 cm (warna / corak)</v>
      </c>
      <c r="D28" s="1173"/>
      <c r="E28" s="1173"/>
      <c r="F28" s="1173"/>
      <c r="G28" s="1174" t="s">
        <v>26</v>
      </c>
      <c r="H28" s="1175">
        <f>ANALISA!N502</f>
        <v>179348.25</v>
      </c>
      <c r="I28" s="274"/>
      <c r="J28" s="274"/>
      <c r="K28" s="274"/>
    </row>
    <row r="29" spans="2:11" ht="15" customHeight="1" x14ac:dyDescent="0.3">
      <c r="B29" s="600">
        <f t="shared" si="0"/>
        <v>13</v>
      </c>
      <c r="C29" s="1172" t="str">
        <f>ANALISA!C503</f>
        <v>Pas.Dinding Keramik  uk. 25 x 40cm (warna / corak)</v>
      </c>
      <c r="D29" s="1173"/>
      <c r="E29" s="1173"/>
      <c r="F29" s="1173"/>
      <c r="G29" s="1174" t="s">
        <v>26</v>
      </c>
      <c r="H29" s="1175">
        <f>ANALISA!N515</f>
        <v>218885.25</v>
      </c>
      <c r="I29" s="274"/>
      <c r="J29" s="274"/>
      <c r="K29" s="274"/>
    </row>
    <row r="30" spans="2:11" ht="15" customHeight="1" x14ac:dyDescent="0.3">
      <c r="B30" s="600">
        <f t="shared" si="0"/>
        <v>14</v>
      </c>
      <c r="C30" s="601" t="s">
        <v>473</v>
      </c>
      <c r="D30" s="602"/>
      <c r="E30" s="602"/>
      <c r="F30" s="602"/>
      <c r="G30" s="603" t="s">
        <v>17</v>
      </c>
      <c r="H30" s="604">
        <f>ANALISA!N528</f>
        <v>623929.13214285707</v>
      </c>
      <c r="I30" s="274"/>
      <c r="J30" s="274"/>
      <c r="K30" s="274"/>
    </row>
    <row r="31" spans="2:11" ht="15" customHeight="1" x14ac:dyDescent="0.3">
      <c r="B31" s="600">
        <f t="shared" si="0"/>
        <v>15</v>
      </c>
      <c r="C31" s="601" t="s">
        <v>474</v>
      </c>
      <c r="D31" s="602"/>
      <c r="E31" s="602"/>
      <c r="F31" s="602"/>
      <c r="G31" s="603" t="s">
        <v>17</v>
      </c>
      <c r="H31" s="604">
        <f>ANALISA!N540</f>
        <v>689697.71428571432</v>
      </c>
      <c r="I31" s="274"/>
      <c r="J31" s="274"/>
      <c r="K31" s="274"/>
    </row>
    <row r="32" spans="2:11" ht="15" customHeight="1" x14ac:dyDescent="0.3">
      <c r="B32" s="600">
        <f t="shared" si="0"/>
        <v>16</v>
      </c>
      <c r="C32" s="601" t="s">
        <v>475</v>
      </c>
      <c r="D32" s="602"/>
      <c r="E32" s="602"/>
      <c r="F32" s="602"/>
      <c r="G32" s="603" t="s">
        <v>17</v>
      </c>
      <c r="H32" s="604">
        <f>ANALISA!N552</f>
        <v>713941.35714285704</v>
      </c>
      <c r="I32" s="274"/>
      <c r="J32" s="274"/>
      <c r="K32" s="274"/>
    </row>
    <row r="33" spans="2:11" ht="15" customHeight="1" x14ac:dyDescent="0.3">
      <c r="B33" s="600">
        <f t="shared" ref="B33:B46" si="1">B32+1</f>
        <v>17</v>
      </c>
      <c r="C33" s="601" t="s">
        <v>476</v>
      </c>
      <c r="D33" s="602"/>
      <c r="E33" s="602"/>
      <c r="F33" s="602"/>
      <c r="G33" s="603" t="s">
        <v>17</v>
      </c>
      <c r="H33" s="604">
        <f>ANALISA!N564</f>
        <v>742088.42857142852</v>
      </c>
      <c r="I33" s="274"/>
      <c r="J33" s="274"/>
      <c r="K33" s="274"/>
    </row>
    <row r="34" spans="2:11" ht="15" customHeight="1" x14ac:dyDescent="0.3">
      <c r="B34" s="600">
        <f t="shared" si="1"/>
        <v>18</v>
      </c>
      <c r="C34" s="601" t="s">
        <v>478</v>
      </c>
      <c r="D34" s="602"/>
      <c r="E34" s="602"/>
      <c r="F34" s="602"/>
      <c r="G34" s="603" t="s">
        <v>17</v>
      </c>
      <c r="H34" s="604">
        <f>ANALISA!N576</f>
        <v>769851.07142857148</v>
      </c>
      <c r="I34" s="274"/>
      <c r="J34" s="274"/>
      <c r="K34" s="274"/>
    </row>
    <row r="35" spans="2:11" ht="15" customHeight="1" x14ac:dyDescent="0.3">
      <c r="B35" s="600">
        <f t="shared" si="1"/>
        <v>19</v>
      </c>
      <c r="C35" s="601" t="s">
        <v>479</v>
      </c>
      <c r="D35" s="602"/>
      <c r="E35" s="602"/>
      <c r="F35" s="602"/>
      <c r="G35" s="603" t="s">
        <v>17</v>
      </c>
      <c r="H35" s="604">
        <f>ANALISA!N588</f>
        <v>789386.28571428568</v>
      </c>
      <c r="I35" s="274"/>
      <c r="J35" s="274"/>
      <c r="K35" s="274"/>
    </row>
    <row r="36" spans="2:11" ht="15" customHeight="1" x14ac:dyDescent="0.3">
      <c r="B36" s="600">
        <f t="shared" si="1"/>
        <v>20</v>
      </c>
      <c r="C36" s="601" t="s">
        <v>480</v>
      </c>
      <c r="D36" s="602"/>
      <c r="E36" s="602"/>
      <c r="F36" s="602"/>
      <c r="G36" s="603" t="s">
        <v>17</v>
      </c>
      <c r="H36" s="604">
        <f>ANALISA!N600</f>
        <v>803978.14285714296</v>
      </c>
      <c r="I36" s="274"/>
      <c r="J36" s="274"/>
      <c r="K36" s="274"/>
    </row>
    <row r="37" spans="2:11" ht="15" customHeight="1" x14ac:dyDescent="0.3">
      <c r="B37" s="600">
        <f t="shared" si="1"/>
        <v>21</v>
      </c>
      <c r="C37" s="601" t="s">
        <v>481</v>
      </c>
      <c r="D37" s="602"/>
      <c r="E37" s="602"/>
      <c r="F37" s="602"/>
      <c r="G37" s="603" t="s">
        <v>17</v>
      </c>
      <c r="H37" s="604">
        <f>ANALISA!N612</f>
        <v>829176.28571428556</v>
      </c>
      <c r="I37" s="274"/>
      <c r="J37" s="274"/>
      <c r="K37" s="274"/>
    </row>
    <row r="38" spans="2:11" ht="15" customHeight="1" x14ac:dyDescent="0.3">
      <c r="B38" s="600">
        <f t="shared" si="1"/>
        <v>22</v>
      </c>
      <c r="C38" s="601" t="s">
        <v>482</v>
      </c>
      <c r="D38" s="602"/>
      <c r="E38" s="602"/>
      <c r="F38" s="602"/>
      <c r="G38" s="603" t="s">
        <v>17</v>
      </c>
      <c r="H38" s="604">
        <f>ANALISA!N624</f>
        <v>829176.28571428556</v>
      </c>
      <c r="I38" s="274"/>
      <c r="J38" s="274"/>
      <c r="K38" s="274"/>
    </row>
    <row r="39" spans="2:11" ht="15" customHeight="1" x14ac:dyDescent="0.3">
      <c r="B39" s="600">
        <f t="shared" si="1"/>
        <v>23</v>
      </c>
      <c r="C39" s="601" t="s">
        <v>483</v>
      </c>
      <c r="D39" s="602"/>
      <c r="E39" s="602"/>
      <c r="F39" s="602"/>
      <c r="G39" s="603" t="s">
        <v>17</v>
      </c>
      <c r="H39" s="604">
        <f>ANALISA!N636</f>
        <v>866505.28571428556</v>
      </c>
      <c r="I39" s="274"/>
      <c r="J39" s="274"/>
      <c r="K39" s="274"/>
    </row>
    <row r="40" spans="2:11" ht="15" customHeight="1" x14ac:dyDescent="0.3">
      <c r="B40" s="600">
        <f t="shared" si="1"/>
        <v>24</v>
      </c>
      <c r="C40" s="601" t="s">
        <v>484</v>
      </c>
      <c r="D40" s="602"/>
      <c r="E40" s="602"/>
      <c r="F40" s="602"/>
      <c r="G40" s="603" t="s">
        <v>17</v>
      </c>
      <c r="H40" s="604">
        <f>ANALISA!N648</f>
        <v>876791.21428571444</v>
      </c>
      <c r="I40" s="274"/>
      <c r="J40" s="274"/>
      <c r="K40" s="274"/>
    </row>
    <row r="41" spans="2:11" ht="15" customHeight="1" x14ac:dyDescent="0.3">
      <c r="B41" s="600">
        <f t="shared" si="1"/>
        <v>25</v>
      </c>
      <c r="C41" s="601" t="s">
        <v>27</v>
      </c>
      <c r="D41" s="602"/>
      <c r="E41" s="602"/>
      <c r="F41" s="602"/>
      <c r="G41" s="603" t="s">
        <v>28</v>
      </c>
      <c r="H41" s="604">
        <f>ANALISA!N660</f>
        <v>19621.875</v>
      </c>
      <c r="I41" s="274"/>
      <c r="J41" s="274"/>
      <c r="K41" s="274"/>
    </row>
    <row r="42" spans="2:11" ht="15" customHeight="1" x14ac:dyDescent="0.3">
      <c r="B42" s="600">
        <f t="shared" si="1"/>
        <v>26</v>
      </c>
      <c r="C42" s="601" t="s">
        <v>487</v>
      </c>
      <c r="D42" s="602"/>
      <c r="E42" s="602"/>
      <c r="F42" s="602"/>
      <c r="G42" s="603" t="s">
        <v>510</v>
      </c>
      <c r="H42" s="604">
        <f>ANALISA!N671</f>
        <v>33524.800000000003</v>
      </c>
      <c r="I42" s="274"/>
      <c r="J42" s="274"/>
      <c r="K42" s="274"/>
    </row>
    <row r="43" spans="2:11" ht="15" customHeight="1" x14ac:dyDescent="0.3">
      <c r="B43" s="600">
        <f t="shared" si="1"/>
        <v>27</v>
      </c>
      <c r="C43" s="601" t="s">
        <v>488</v>
      </c>
      <c r="D43" s="602"/>
      <c r="E43" s="602"/>
      <c r="F43" s="602"/>
      <c r="G43" s="603" t="s">
        <v>510</v>
      </c>
      <c r="H43" s="604">
        <f>ANALISA!N681</f>
        <v>362560.5</v>
      </c>
      <c r="I43" s="274"/>
      <c r="J43" s="274"/>
      <c r="K43" s="274"/>
    </row>
    <row r="44" spans="2:11" ht="15" customHeight="1" x14ac:dyDescent="0.3">
      <c r="B44" s="600">
        <f t="shared" si="1"/>
        <v>28</v>
      </c>
      <c r="C44" s="601" t="s">
        <v>489</v>
      </c>
      <c r="D44" s="602"/>
      <c r="E44" s="602"/>
      <c r="F44" s="602"/>
      <c r="G44" s="603" t="s">
        <v>510</v>
      </c>
      <c r="H44" s="604">
        <f>ANALISA!N694</f>
        <v>501785.25</v>
      </c>
      <c r="I44" s="274"/>
      <c r="J44" s="274"/>
      <c r="K44" s="274"/>
    </row>
    <row r="45" spans="2:11" ht="15" customHeight="1" x14ac:dyDescent="0.3">
      <c r="B45" s="600">
        <f t="shared" si="1"/>
        <v>29</v>
      </c>
      <c r="C45" s="601" t="s">
        <v>495</v>
      </c>
      <c r="D45" s="602"/>
      <c r="E45" s="602"/>
      <c r="F45" s="602"/>
      <c r="G45" s="603" t="s">
        <v>510</v>
      </c>
      <c r="H45" s="604">
        <f>ANALISA!N707</f>
        <v>507995.25</v>
      </c>
      <c r="I45" s="274"/>
      <c r="J45" s="274"/>
      <c r="K45" s="274"/>
    </row>
    <row r="46" spans="2:11" ht="15" customHeight="1" x14ac:dyDescent="0.3">
      <c r="B46" s="600">
        <f t="shared" si="1"/>
        <v>30</v>
      </c>
      <c r="C46" s="601" t="s">
        <v>496</v>
      </c>
      <c r="D46" s="602"/>
      <c r="E46" s="602"/>
      <c r="F46" s="602"/>
      <c r="G46" s="603" t="s">
        <v>26</v>
      </c>
      <c r="H46" s="604">
        <f>ANALISA!N720</f>
        <v>616785.25</v>
      </c>
      <c r="I46" s="274"/>
      <c r="J46" s="274"/>
      <c r="K46" s="274"/>
    </row>
    <row r="47" spans="2:11" ht="15" customHeight="1" x14ac:dyDescent="0.3">
      <c r="B47" s="600">
        <f t="shared" si="0"/>
        <v>31</v>
      </c>
      <c r="C47" s="601" t="s">
        <v>29</v>
      </c>
      <c r="D47" s="602"/>
      <c r="E47" s="602"/>
      <c r="F47" s="602"/>
      <c r="G47" s="603" t="s">
        <v>26</v>
      </c>
      <c r="H47" s="604">
        <f>ANALISA!N735</f>
        <v>150057.75</v>
      </c>
      <c r="I47" s="274"/>
      <c r="J47" s="274"/>
      <c r="K47" s="274"/>
    </row>
    <row r="48" spans="2:11" ht="15" customHeight="1" x14ac:dyDescent="0.3">
      <c r="B48" s="600">
        <f t="shared" si="0"/>
        <v>32</v>
      </c>
      <c r="C48" s="601" t="s">
        <v>603</v>
      </c>
      <c r="D48" s="602"/>
      <c r="E48" s="602"/>
      <c r="F48" s="602"/>
      <c r="G48" s="603" t="s">
        <v>17</v>
      </c>
      <c r="H48" s="604">
        <f>ANALISA!N755</f>
        <v>3098316.0357142859</v>
      </c>
      <c r="I48" s="274"/>
      <c r="J48" s="274"/>
      <c r="K48" s="274"/>
    </row>
    <row r="49" spans="2:11" ht="15" customHeight="1" x14ac:dyDescent="0.3">
      <c r="B49" s="600">
        <f t="shared" si="0"/>
        <v>33</v>
      </c>
      <c r="C49" s="601" t="s">
        <v>604</v>
      </c>
      <c r="D49" s="602"/>
      <c r="E49" s="602"/>
      <c r="F49" s="602"/>
      <c r="G49" s="603" t="s">
        <v>17</v>
      </c>
      <c r="H49" s="604">
        <f>ANALISA!N769</f>
        <v>5076270.7544642854</v>
      </c>
      <c r="I49" s="274"/>
      <c r="J49" s="274"/>
      <c r="K49" s="274"/>
    </row>
    <row r="50" spans="2:11" ht="15" customHeight="1" x14ac:dyDescent="0.3">
      <c r="B50" s="600">
        <f t="shared" si="0"/>
        <v>34</v>
      </c>
      <c r="C50" s="601" t="s">
        <v>605</v>
      </c>
      <c r="D50" s="602"/>
      <c r="E50" s="602"/>
      <c r="F50" s="602"/>
      <c r="G50" s="603" t="s">
        <v>17</v>
      </c>
      <c r="H50" s="604">
        <f>ANALISA!N783</f>
        <v>3755768.1607142859</v>
      </c>
      <c r="I50" s="274"/>
      <c r="J50" s="274"/>
      <c r="K50" s="274"/>
    </row>
    <row r="51" spans="2:11" ht="15" customHeight="1" x14ac:dyDescent="0.3">
      <c r="B51" s="600">
        <f t="shared" si="0"/>
        <v>35</v>
      </c>
      <c r="C51" s="601" t="s">
        <v>30</v>
      </c>
      <c r="D51" s="602"/>
      <c r="E51" s="602"/>
      <c r="F51" s="602"/>
      <c r="G51" s="603" t="s">
        <v>17</v>
      </c>
      <c r="H51" s="604">
        <f>ANALISA!N796</f>
        <v>1828998.976785714</v>
      </c>
      <c r="I51" s="274"/>
      <c r="J51" s="274"/>
      <c r="K51" s="274"/>
    </row>
    <row r="52" spans="2:11" ht="15" customHeight="1" x14ac:dyDescent="0.3">
      <c r="B52" s="1122">
        <f t="shared" si="0"/>
        <v>36</v>
      </c>
      <c r="C52" s="1123" t="s">
        <v>908</v>
      </c>
      <c r="D52" s="1124"/>
      <c r="E52" s="1124"/>
      <c r="F52" s="1125"/>
      <c r="G52" s="1126" t="s">
        <v>15</v>
      </c>
      <c r="H52" s="1496">
        <f>ANALISA!N32</f>
        <v>812074.24512500013</v>
      </c>
      <c r="I52" s="274"/>
      <c r="J52" s="274"/>
      <c r="K52" s="274"/>
    </row>
    <row r="53" spans="2:11" ht="15" customHeight="1" x14ac:dyDescent="0.3">
      <c r="B53" s="1128">
        <f t="shared" si="0"/>
        <v>37</v>
      </c>
      <c r="C53" s="1129" t="s">
        <v>909</v>
      </c>
      <c r="D53" s="1124"/>
      <c r="E53" s="1124"/>
      <c r="F53" s="1125"/>
      <c r="G53" s="1126" t="s">
        <v>15</v>
      </c>
      <c r="H53" s="1127">
        <f>ANALISA!N45</f>
        <v>649659.39610000001</v>
      </c>
      <c r="I53" s="274"/>
      <c r="J53" s="274"/>
      <c r="K53" s="274"/>
    </row>
    <row r="54" spans="2:11" ht="15" customHeight="1" x14ac:dyDescent="0.3">
      <c r="B54" s="1128">
        <f t="shared" si="0"/>
        <v>38</v>
      </c>
      <c r="C54" s="1129" t="s">
        <v>31</v>
      </c>
      <c r="D54" s="1124"/>
      <c r="E54" s="1124"/>
      <c r="F54" s="1125"/>
      <c r="G54" s="1126" t="s">
        <v>15</v>
      </c>
      <c r="H54" s="1127">
        <f>ANALISA!N61</f>
        <v>474385.53112499998</v>
      </c>
      <c r="I54" s="274"/>
      <c r="J54" s="274"/>
      <c r="K54" s="274"/>
    </row>
    <row r="55" spans="2:11" ht="15" customHeight="1" x14ac:dyDescent="0.3">
      <c r="B55" s="1128">
        <f t="shared" si="0"/>
        <v>39</v>
      </c>
      <c r="C55" s="1129" t="s">
        <v>32</v>
      </c>
      <c r="D55" s="1124"/>
      <c r="E55" s="1124"/>
      <c r="F55" s="1125"/>
      <c r="G55" s="1126" t="s">
        <v>15</v>
      </c>
      <c r="H55" s="1127">
        <f>ANALISA!N78</f>
        <v>498823.50981249998</v>
      </c>
      <c r="I55" s="274"/>
      <c r="J55" s="274"/>
      <c r="K55" s="274"/>
    </row>
    <row r="56" spans="2:11" ht="15" customHeight="1" x14ac:dyDescent="0.3">
      <c r="B56" s="1128">
        <f t="shared" si="0"/>
        <v>40</v>
      </c>
      <c r="C56" s="1129" t="str">
        <f>ANALISA!C348</f>
        <v xml:space="preserve">Pengadaan dan Pemasangan Pompa submersible air bersih 1 Hp dia.4" 3 phase </v>
      </c>
      <c r="D56" s="1477"/>
      <c r="E56" s="1477"/>
      <c r="F56" s="1478"/>
      <c r="G56" s="1126" t="s">
        <v>38</v>
      </c>
      <c r="H56" s="1127">
        <f>ANALISA!N359</f>
        <v>26389270.196250003</v>
      </c>
      <c r="I56" s="274"/>
      <c r="J56" s="274"/>
      <c r="K56" s="274"/>
    </row>
    <row r="57" spans="2:11" ht="15" customHeight="1" x14ac:dyDescent="0.3">
      <c r="B57" s="1106">
        <f>B56+1</f>
        <v>41</v>
      </c>
      <c r="C57" s="1107" t="s">
        <v>910</v>
      </c>
      <c r="D57" s="1108"/>
      <c r="E57" s="1108"/>
      <c r="F57" s="1109"/>
      <c r="G57" s="1110" t="s">
        <v>15</v>
      </c>
      <c r="H57" s="1495">
        <f>ANALISA!N94</f>
        <v>756414.24512500013</v>
      </c>
      <c r="I57" s="274"/>
      <c r="J57" s="274"/>
      <c r="K57" s="274"/>
    </row>
    <row r="58" spans="2:11" ht="15" customHeight="1" x14ac:dyDescent="0.3">
      <c r="B58" s="1112">
        <f t="shared" si="0"/>
        <v>42</v>
      </c>
      <c r="C58" s="1113" t="s">
        <v>911</v>
      </c>
      <c r="D58" s="1108"/>
      <c r="E58" s="1108"/>
      <c r="F58" s="1109"/>
      <c r="G58" s="1110" t="s">
        <v>15</v>
      </c>
      <c r="H58" s="1111">
        <f>ANALISA!N107</f>
        <v>605131.39610000001</v>
      </c>
      <c r="I58" s="274"/>
      <c r="J58" s="274"/>
      <c r="K58" s="274"/>
    </row>
    <row r="59" spans="2:11" ht="15" customHeight="1" x14ac:dyDescent="0.3">
      <c r="B59" s="1112">
        <f t="shared" si="0"/>
        <v>43</v>
      </c>
      <c r="C59" s="1113" t="s">
        <v>31</v>
      </c>
      <c r="D59" s="1108"/>
      <c r="E59" s="1108"/>
      <c r="F59" s="1109"/>
      <c r="G59" s="1110" t="s">
        <v>15</v>
      </c>
      <c r="H59" s="1111">
        <f>ANALISA!N123</f>
        <v>457445.53112499998</v>
      </c>
      <c r="I59" s="274"/>
      <c r="J59" s="274"/>
      <c r="K59" s="274"/>
    </row>
    <row r="60" spans="2:11" ht="15" customHeight="1" x14ac:dyDescent="0.3">
      <c r="B60" s="1112">
        <f t="shared" si="0"/>
        <v>44</v>
      </c>
      <c r="C60" s="1113" t="s">
        <v>32</v>
      </c>
      <c r="D60" s="1108"/>
      <c r="E60" s="1108"/>
      <c r="F60" s="1109"/>
      <c r="G60" s="1110" t="s">
        <v>15</v>
      </c>
      <c r="H60" s="1111">
        <f>ANALISA!N140</f>
        <v>481113.50981249998</v>
      </c>
      <c r="I60" s="274"/>
      <c r="J60" s="274"/>
      <c r="K60" s="274"/>
    </row>
    <row r="61" spans="2:11" ht="15" customHeight="1" x14ac:dyDescent="0.3">
      <c r="B61" s="1112">
        <f t="shared" si="0"/>
        <v>45</v>
      </c>
      <c r="C61" s="1113" t="str">
        <f>ANALISA!C322</f>
        <v>Pengadaan dan Pemasangan Pompa submersible air bersih 1 Hp dia.3" 1 phase berikut Box Panel dan Kabel</v>
      </c>
      <c r="D61" s="1482"/>
      <c r="E61" s="1482"/>
      <c r="F61" s="1483"/>
      <c r="G61" s="1110" t="s">
        <v>38</v>
      </c>
      <c r="H61" s="1111">
        <f>ANALISA!N346</f>
        <v>6485070.1962499991</v>
      </c>
      <c r="I61" s="274"/>
      <c r="J61" s="274"/>
      <c r="K61" s="274"/>
    </row>
    <row r="62" spans="2:11" ht="15" customHeight="1" x14ac:dyDescent="0.3">
      <c r="B62" s="1114">
        <f>B61+1</f>
        <v>46</v>
      </c>
      <c r="C62" s="1115" t="s">
        <v>912</v>
      </c>
      <c r="D62" s="1116"/>
      <c r="E62" s="1116"/>
      <c r="F62" s="1117"/>
      <c r="G62" s="1118" t="s">
        <v>15</v>
      </c>
      <c r="H62" s="1494">
        <f>ANALISA!N153</f>
        <v>691955</v>
      </c>
      <c r="I62" s="274"/>
      <c r="J62" s="274"/>
      <c r="K62" s="274"/>
    </row>
    <row r="63" spans="2:11" ht="15" customHeight="1" x14ac:dyDescent="0.3">
      <c r="B63" s="1120">
        <f t="shared" si="0"/>
        <v>47</v>
      </c>
      <c r="C63" s="1121" t="s">
        <v>913</v>
      </c>
      <c r="D63" s="1116"/>
      <c r="E63" s="1116"/>
      <c r="F63" s="1117"/>
      <c r="G63" s="1118" t="s">
        <v>15</v>
      </c>
      <c r="H63" s="1119">
        <f>ANALISA!N166</f>
        <v>553564</v>
      </c>
      <c r="I63" s="274"/>
      <c r="J63" s="274"/>
      <c r="K63" s="274"/>
    </row>
    <row r="64" spans="2:11" ht="15" customHeight="1" x14ac:dyDescent="0.3">
      <c r="B64" s="1120">
        <f t="shared" si="0"/>
        <v>48</v>
      </c>
      <c r="C64" s="1121" t="s">
        <v>914</v>
      </c>
      <c r="D64" s="1116"/>
      <c r="E64" s="1116"/>
      <c r="F64" s="1117"/>
      <c r="G64" s="1118" t="s">
        <v>15</v>
      </c>
      <c r="H64" s="1119">
        <f>ANALISA!N182</f>
        <v>326727.5</v>
      </c>
      <c r="I64" s="274"/>
      <c r="J64" s="274"/>
      <c r="K64" s="274"/>
    </row>
    <row r="65" spans="2:11" ht="15" customHeight="1" x14ac:dyDescent="0.3">
      <c r="B65" s="1120">
        <f t="shared" si="0"/>
        <v>49</v>
      </c>
      <c r="C65" s="1121" t="s">
        <v>915</v>
      </c>
      <c r="D65" s="1116"/>
      <c r="E65" s="1116"/>
      <c r="F65" s="1117"/>
      <c r="G65" s="1118" t="s">
        <v>15</v>
      </c>
      <c r="H65" s="1119">
        <f>ANALISA!N199</f>
        <v>344453.75</v>
      </c>
      <c r="I65" s="274"/>
      <c r="J65" s="274"/>
      <c r="K65" s="274"/>
    </row>
    <row r="66" spans="2:11" ht="15" customHeight="1" x14ac:dyDescent="0.3">
      <c r="B66" s="1120">
        <f t="shared" si="0"/>
        <v>50</v>
      </c>
      <c r="C66" s="1121" t="str">
        <f>ANALISA!C322</f>
        <v>Pengadaan dan Pemasangan Pompa submersible air bersih 1 Hp dia.3" 1 phase berikut Box Panel dan Kabel</v>
      </c>
      <c r="D66" s="1484"/>
      <c r="E66" s="1484"/>
      <c r="F66" s="1485"/>
      <c r="G66" s="1118" t="s">
        <v>38</v>
      </c>
      <c r="H66" s="1119">
        <f>ANALISA!N333</f>
        <v>6074875</v>
      </c>
      <c r="I66" s="274"/>
      <c r="J66" s="274"/>
      <c r="K66" s="274"/>
    </row>
    <row r="67" spans="2:11" ht="15" customHeight="1" x14ac:dyDescent="0.3">
      <c r="B67" s="1486">
        <f t="shared" si="0"/>
        <v>51</v>
      </c>
      <c r="C67" s="1487" t="s">
        <v>1030</v>
      </c>
      <c r="D67" s="1488"/>
      <c r="E67" s="1488"/>
      <c r="F67" s="1489"/>
      <c r="G67" s="1490" t="s">
        <v>15</v>
      </c>
      <c r="H67" s="1493">
        <f>ANALISA!N212</f>
        <v>626230.57854166662</v>
      </c>
      <c r="I67" s="274"/>
      <c r="J67" s="274"/>
      <c r="K67" s="274"/>
    </row>
    <row r="68" spans="2:11" ht="15" customHeight="1" x14ac:dyDescent="0.3">
      <c r="B68" s="1486">
        <f t="shared" si="0"/>
        <v>52</v>
      </c>
      <c r="C68" s="1492" t="s">
        <v>1031</v>
      </c>
      <c r="D68" s="1488"/>
      <c r="E68" s="1488"/>
      <c r="F68" s="1489"/>
      <c r="G68" s="1490" t="s">
        <v>15</v>
      </c>
      <c r="H68" s="1491">
        <f>ANALISA!N225</f>
        <v>500984.46283333329</v>
      </c>
      <c r="I68" s="274"/>
      <c r="J68" s="274"/>
      <c r="K68" s="274"/>
    </row>
    <row r="69" spans="2:11" ht="15" customHeight="1" x14ac:dyDescent="0.3">
      <c r="B69" s="1486">
        <f t="shared" si="0"/>
        <v>53</v>
      </c>
      <c r="C69" s="1492" t="s">
        <v>1032</v>
      </c>
      <c r="D69" s="1488"/>
      <c r="E69" s="1488"/>
      <c r="F69" s="1489"/>
      <c r="G69" s="1490" t="s">
        <v>15</v>
      </c>
      <c r="H69" s="1491">
        <f>ANALISA!N241</f>
        <v>258185.94862499999</v>
      </c>
      <c r="I69" s="274"/>
      <c r="J69" s="274"/>
      <c r="K69" s="274"/>
    </row>
    <row r="70" spans="2:11" ht="15" customHeight="1" x14ac:dyDescent="0.3">
      <c r="B70" s="1486">
        <f t="shared" si="0"/>
        <v>54</v>
      </c>
      <c r="C70" s="1492" t="s">
        <v>1033</v>
      </c>
      <c r="D70" s="1488"/>
      <c r="E70" s="1488"/>
      <c r="F70" s="1489"/>
      <c r="G70" s="1490" t="s">
        <v>15</v>
      </c>
      <c r="H70" s="1491">
        <f>ANALISA!N258</f>
        <v>272796.67356249999</v>
      </c>
      <c r="I70" s="274"/>
      <c r="J70" s="274"/>
      <c r="K70" s="274"/>
    </row>
    <row r="71" spans="2:11" ht="15" customHeight="1" x14ac:dyDescent="0.3">
      <c r="B71" s="1486">
        <f t="shared" si="0"/>
        <v>55</v>
      </c>
      <c r="C71" s="1492" t="s">
        <v>1028</v>
      </c>
      <c r="D71" s="1488"/>
      <c r="E71" s="1488"/>
      <c r="F71" s="1489"/>
      <c r="G71" s="1490" t="s">
        <v>38</v>
      </c>
      <c r="H71" s="1491">
        <f>ANALISA!N320</f>
        <v>4594527.8927083332</v>
      </c>
      <c r="I71" s="274"/>
      <c r="J71" s="274"/>
      <c r="K71" s="274"/>
    </row>
    <row r="72" spans="2:11" ht="15" customHeight="1" x14ac:dyDescent="0.3">
      <c r="B72" s="600">
        <f>B71+1</f>
        <v>56</v>
      </c>
      <c r="C72" s="605" t="s">
        <v>33</v>
      </c>
      <c r="D72" s="602"/>
      <c r="E72" s="602"/>
      <c r="F72" s="606"/>
      <c r="G72" s="549" t="s">
        <v>34</v>
      </c>
      <c r="H72" s="550">
        <f>ANALISA!N279</f>
        <v>535874.65687499999</v>
      </c>
      <c r="I72" s="274"/>
      <c r="J72" s="274"/>
      <c r="K72" s="274"/>
    </row>
    <row r="73" spans="2:11" ht="15" customHeight="1" x14ac:dyDescent="0.3">
      <c r="B73" s="600">
        <f t="shared" si="0"/>
        <v>57</v>
      </c>
      <c r="C73" s="605" t="s">
        <v>35</v>
      </c>
      <c r="D73" s="602"/>
      <c r="E73" s="602"/>
      <c r="F73" s="606"/>
      <c r="G73" s="549" t="s">
        <v>34</v>
      </c>
      <c r="H73" s="550">
        <f>ANALISA!N293</f>
        <v>3067625</v>
      </c>
      <c r="I73" s="274"/>
      <c r="J73" s="274"/>
      <c r="K73" s="274"/>
    </row>
    <row r="74" spans="2:11" ht="15" customHeight="1" x14ac:dyDescent="0.3">
      <c r="B74" s="600">
        <f t="shared" si="0"/>
        <v>58</v>
      </c>
      <c r="C74" s="605" t="s">
        <v>36</v>
      </c>
      <c r="D74" s="602"/>
      <c r="E74" s="602"/>
      <c r="F74" s="606"/>
      <c r="G74" s="549" t="s">
        <v>37</v>
      </c>
      <c r="H74" s="550">
        <f>ANALISA!N308</f>
        <v>803999.02083333337</v>
      </c>
      <c r="I74" s="274"/>
      <c r="J74" s="274"/>
      <c r="K74" s="274"/>
    </row>
    <row r="75" spans="2:11" ht="15" customHeight="1" x14ac:dyDescent="0.3">
      <c r="B75" s="600">
        <f t="shared" si="0"/>
        <v>59</v>
      </c>
      <c r="C75" s="605" t="str">
        <f>ANALISA!C309</f>
        <v>Pengadaan dan Pemasangan Pompa submersible air bersih 1/2 Hp dia.2,5" 1 phase berikut Box Panel dan Kabel</v>
      </c>
      <c r="D75" s="602"/>
      <c r="E75" s="602"/>
      <c r="F75" s="606"/>
      <c r="G75" s="549" t="s">
        <v>38</v>
      </c>
      <c r="H75" s="607">
        <f>ANALISA!N320</f>
        <v>4594527.8927083332</v>
      </c>
      <c r="I75" s="274"/>
      <c r="J75" s="274"/>
      <c r="K75" s="274"/>
    </row>
    <row r="76" spans="2:11" ht="15" customHeight="1" x14ac:dyDescent="0.3">
      <c r="B76" s="600">
        <f t="shared" si="0"/>
        <v>60</v>
      </c>
      <c r="C76" s="608" t="str">
        <f>'UPAH BAHAN'!C80</f>
        <v xml:space="preserve">Mesin pompa air 125 Watt </v>
      </c>
      <c r="D76" s="602"/>
      <c r="E76" s="602"/>
      <c r="F76" s="609"/>
      <c r="G76" s="551" t="str">
        <f>'UPAH BAHAN'!G80</f>
        <v>unit</v>
      </c>
      <c r="H76" s="604">
        <f>'UPAH BAHAN'!H80*1.1</f>
        <v>583000</v>
      </c>
      <c r="I76" s="274"/>
      <c r="J76" s="274"/>
      <c r="K76" s="274"/>
    </row>
    <row r="77" spans="2:11" ht="15" customHeight="1" x14ac:dyDescent="0.3">
      <c r="B77" s="600">
        <f t="shared" si="0"/>
        <v>61</v>
      </c>
      <c r="C77" s="608" t="str">
        <f>'UPAH BAHAN'!C81</f>
        <v xml:space="preserve">Mesin poma air Jet pump 250 Watt </v>
      </c>
      <c r="D77" s="602"/>
      <c r="E77" s="602"/>
      <c r="F77" s="609"/>
      <c r="G77" s="551" t="str">
        <f>'UPAH BAHAN'!G81</f>
        <v>unit</v>
      </c>
      <c r="H77" s="604">
        <f>'UPAH BAHAN'!H81*1.1</f>
        <v>2420000</v>
      </c>
      <c r="I77" s="274"/>
      <c r="J77" s="274"/>
      <c r="K77" s="274"/>
    </row>
    <row r="78" spans="2:11" ht="15" customHeight="1" x14ac:dyDescent="0.3">
      <c r="B78" s="600">
        <f t="shared" si="0"/>
        <v>62</v>
      </c>
      <c r="C78" s="608" t="str">
        <f>'UPAH BAHAN'!C82</f>
        <v xml:space="preserve">Mesin poma air Jet pump 500 Watt </v>
      </c>
      <c r="D78" s="602"/>
      <c r="E78" s="602"/>
      <c r="F78" s="609"/>
      <c r="G78" s="551" t="str">
        <f>'UPAH BAHAN'!G82</f>
        <v>unit</v>
      </c>
      <c r="H78" s="604">
        <f>'UPAH BAHAN'!H82*1.1</f>
        <v>3822500.0000000005</v>
      </c>
      <c r="I78" s="274"/>
      <c r="J78" s="274"/>
      <c r="K78" s="274"/>
    </row>
    <row r="79" spans="2:11" ht="15" customHeight="1" x14ac:dyDescent="0.3">
      <c r="B79" s="600">
        <f t="shared" si="0"/>
        <v>63</v>
      </c>
      <c r="C79" s="608" t="str">
        <f>'UPAH BAHAN'!C83</f>
        <v>Pompa submersible air bersih 1/2 Hp dia.2,5" 1 phase berikut Box Panel dan Kabel</v>
      </c>
      <c r="D79" s="602"/>
      <c r="E79" s="602"/>
      <c r="F79" s="609"/>
      <c r="G79" s="551" t="str">
        <f>'UPAH BAHAN'!G83</f>
        <v>unit</v>
      </c>
      <c r="H79" s="604">
        <f>'UPAH BAHAN'!H83*1.1</f>
        <v>2420000</v>
      </c>
      <c r="I79" s="274"/>
      <c r="J79" s="274"/>
      <c r="K79" s="274"/>
    </row>
    <row r="80" spans="2:11" ht="15" customHeight="1" x14ac:dyDescent="0.3">
      <c r="B80" s="600">
        <f t="shared" si="0"/>
        <v>64</v>
      </c>
      <c r="C80" s="608" t="str">
        <f>'UPAH BAHAN'!C84</f>
        <v>Pompa submersible air bersih 1 Hp dia.3" 1 Phase berikut Box Panel dan Kabel</v>
      </c>
      <c r="D80" s="602"/>
      <c r="E80" s="602"/>
      <c r="F80" s="609"/>
      <c r="G80" s="551" t="str">
        <f>'UPAH BAHAN'!G84</f>
        <v>unit</v>
      </c>
      <c r="H80" s="604">
        <f>'UPAH BAHAN'!H84*1.1</f>
        <v>3465000.0000000005</v>
      </c>
      <c r="I80" s="274"/>
      <c r="J80" s="274"/>
      <c r="K80" s="274"/>
    </row>
    <row r="81" spans="2:11" ht="15" customHeight="1" x14ac:dyDescent="0.3">
      <c r="B81" s="600">
        <f t="shared" si="0"/>
        <v>65</v>
      </c>
      <c r="C81" s="601" t="s">
        <v>39</v>
      </c>
      <c r="D81" s="602"/>
      <c r="E81" s="602"/>
      <c r="F81" s="602"/>
      <c r="G81" s="603" t="str">
        <f>'UPAH BAHAN'!G85</f>
        <v>unit</v>
      </c>
      <c r="H81" s="604">
        <f>'UPAH BAHAN'!H85*1.1</f>
        <v>22165000</v>
      </c>
      <c r="I81" s="274"/>
      <c r="J81" s="274"/>
      <c r="K81" s="274"/>
    </row>
    <row r="82" spans="2:11" ht="15" customHeight="1" x14ac:dyDescent="0.3">
      <c r="B82" s="600">
        <f t="shared" si="0"/>
        <v>66</v>
      </c>
      <c r="C82" s="601" t="s">
        <v>40</v>
      </c>
      <c r="D82" s="602"/>
      <c r="E82" s="602"/>
      <c r="F82" s="602"/>
      <c r="G82" s="603" t="str">
        <f>'UPAH BAHAN'!G86</f>
        <v>unit</v>
      </c>
      <c r="H82" s="604">
        <f>'UPAH BAHAN'!H86*1.1</f>
        <v>25613500.000000004</v>
      </c>
      <c r="I82" s="274"/>
      <c r="J82" s="274"/>
      <c r="K82" s="274"/>
    </row>
    <row r="83" spans="2:11" ht="15" customHeight="1" x14ac:dyDescent="0.3">
      <c r="B83" s="600">
        <f t="shared" si="0"/>
        <v>67</v>
      </c>
      <c r="C83" s="601" t="s">
        <v>41</v>
      </c>
      <c r="D83" s="602"/>
      <c r="E83" s="602"/>
      <c r="F83" s="602"/>
      <c r="G83" s="603" t="str">
        <f>'UPAH BAHAN'!G87</f>
        <v>unit</v>
      </c>
      <c r="H83" s="604">
        <f>'UPAH BAHAN'!H87*1.1</f>
        <v>36685000</v>
      </c>
      <c r="I83" s="274"/>
      <c r="J83" s="274"/>
      <c r="K83" s="274"/>
    </row>
    <row r="84" spans="2:11" ht="15" customHeight="1" x14ac:dyDescent="0.3">
      <c r="B84" s="600">
        <f t="shared" si="0"/>
        <v>68</v>
      </c>
      <c r="C84" s="601" t="s">
        <v>42</v>
      </c>
      <c r="D84" s="602"/>
      <c r="E84" s="602"/>
      <c r="F84" s="602"/>
      <c r="G84" s="603" t="str">
        <f>'UPAH BAHAN'!G88</f>
        <v>unit</v>
      </c>
      <c r="H84" s="604">
        <f>'UPAH BAHAN'!H88*1.15</f>
        <v>45471000</v>
      </c>
      <c r="I84" s="274"/>
      <c r="J84" s="274"/>
      <c r="K84" s="274"/>
    </row>
    <row r="85" spans="2:11" ht="15" customHeight="1" x14ac:dyDescent="0.3">
      <c r="B85" s="600">
        <f t="shared" si="0"/>
        <v>69</v>
      </c>
      <c r="C85" s="601" t="s">
        <v>43</v>
      </c>
      <c r="D85" s="602"/>
      <c r="E85" s="602"/>
      <c r="F85" s="602"/>
      <c r="G85" s="603" t="str">
        <f>'UPAH BAHAN'!G89</f>
        <v>unit</v>
      </c>
      <c r="H85" s="604">
        <f>'UPAH BAHAN'!H89*1.1</f>
        <v>64405000.000000007</v>
      </c>
      <c r="I85" s="274"/>
      <c r="J85" s="274"/>
      <c r="K85" s="274"/>
    </row>
    <row r="86" spans="2:11" ht="15" customHeight="1" x14ac:dyDescent="0.3">
      <c r="B86" s="600">
        <f t="shared" si="0"/>
        <v>70</v>
      </c>
      <c r="C86" s="601" t="s">
        <v>44</v>
      </c>
      <c r="D86" s="602"/>
      <c r="E86" s="602"/>
      <c r="F86" s="602"/>
      <c r="G86" s="603" t="str">
        <f>'UPAH BAHAN'!G90</f>
        <v>unit</v>
      </c>
      <c r="H86" s="604">
        <f>'UPAH BAHAN'!H90*1.1</f>
        <v>79354000</v>
      </c>
      <c r="I86" s="274"/>
      <c r="J86" s="274"/>
      <c r="K86" s="274"/>
    </row>
    <row r="87" spans="2:11" ht="15" customHeight="1" x14ac:dyDescent="0.3">
      <c r="B87" s="600">
        <f t="shared" si="0"/>
        <v>71</v>
      </c>
      <c r="C87" s="601" t="str">
        <f>'UPAH BAHAN'!C91</f>
        <v>Tutup cassing (well head) dia. 6"</v>
      </c>
      <c r="D87" s="602"/>
      <c r="E87" s="602"/>
      <c r="F87" s="602"/>
      <c r="G87" s="603" t="str">
        <f>'UPAH BAHAN'!G91</f>
        <v>unit</v>
      </c>
      <c r="H87" s="604">
        <f>'UPAH BAHAN'!H91*1.15</f>
        <v>575000</v>
      </c>
      <c r="I87" s="274"/>
      <c r="J87" s="274"/>
      <c r="K87" s="274"/>
    </row>
    <row r="88" spans="2:11" ht="15" customHeight="1" x14ac:dyDescent="0.3">
      <c r="B88" s="600">
        <f t="shared" si="0"/>
        <v>72</v>
      </c>
      <c r="C88" s="601" t="str">
        <f>'UPAH BAHAN'!C92</f>
        <v>Panel pompa Sumur Dalam out door dan water level control 1-3 Hp</v>
      </c>
      <c r="D88" s="602"/>
      <c r="E88" s="602"/>
      <c r="F88" s="602"/>
      <c r="G88" s="603" t="str">
        <f>'UPAH BAHAN'!G92</f>
        <v>unit</v>
      </c>
      <c r="H88" s="604">
        <f>'UPAH BAHAN'!H92*1.15</f>
        <v>3449999.9999999995</v>
      </c>
      <c r="I88" s="274"/>
      <c r="J88" s="274"/>
      <c r="K88" s="274"/>
    </row>
    <row r="89" spans="2:11" ht="15" customHeight="1" x14ac:dyDescent="0.3">
      <c r="B89" s="600">
        <f t="shared" si="0"/>
        <v>73</v>
      </c>
      <c r="C89" s="601" t="str">
        <f>'UPAH BAHAN'!C93</f>
        <v>Panel pompa Sumur Dalam out door dan water level control 4-7,5 Hp</v>
      </c>
      <c r="D89" s="602"/>
      <c r="E89" s="602"/>
      <c r="F89" s="602"/>
      <c r="G89" s="603" t="str">
        <f>'UPAH BAHAN'!G93</f>
        <v>unit</v>
      </c>
      <c r="H89" s="604">
        <f>'UPAH BAHAN'!H93*1.15</f>
        <v>4024999.9999999995</v>
      </c>
      <c r="I89" s="274"/>
      <c r="J89" s="274"/>
      <c r="K89" s="274"/>
    </row>
    <row r="90" spans="2:11" ht="15" customHeight="1" x14ac:dyDescent="0.3">
      <c r="B90" s="600">
        <f t="shared" si="0"/>
        <v>74</v>
      </c>
      <c r="C90" s="601" t="str">
        <f>'UPAH BAHAN'!C94</f>
        <v>Kabel untuk pompa submersible jenis NYYHY 3 x 2,5 mm2</v>
      </c>
      <c r="D90" s="602"/>
      <c r="E90" s="602"/>
      <c r="F90" s="602"/>
      <c r="G90" s="603" t="str">
        <f>'UPAH BAHAN'!G94</f>
        <v>m'</v>
      </c>
      <c r="H90" s="604">
        <f>'UPAH BAHAN'!H94*1.15</f>
        <v>77625</v>
      </c>
      <c r="I90" s="274"/>
      <c r="J90" s="274"/>
      <c r="K90" s="274"/>
    </row>
    <row r="91" spans="2:11" ht="15" customHeight="1" x14ac:dyDescent="0.3">
      <c r="B91" s="600">
        <f t="shared" si="0"/>
        <v>75</v>
      </c>
      <c r="C91" s="601" t="str">
        <f>'UPAH BAHAN'!C95</f>
        <v>Kabel untuk water level control jenis NYYHY  2 x 0,75 mm2</v>
      </c>
      <c r="D91" s="602"/>
      <c r="E91" s="602"/>
      <c r="F91" s="602"/>
      <c r="G91" s="603" t="str">
        <f>'UPAH BAHAN'!G95</f>
        <v>m'</v>
      </c>
      <c r="H91" s="604">
        <f>'UPAH BAHAN'!H95*1.15</f>
        <v>28749.999999999996</v>
      </c>
      <c r="I91" s="274"/>
      <c r="J91" s="274"/>
      <c r="K91" s="274"/>
    </row>
    <row r="92" spans="2:11" ht="15" customHeight="1" x14ac:dyDescent="0.3">
      <c r="B92" s="600">
        <f t="shared" si="0"/>
        <v>76</v>
      </c>
      <c r="C92" s="601" t="str">
        <f>'UPAH BAHAN'!C96</f>
        <v>Pembuatan (pabrikasi) tangki hidropore kapasitas 1 m³  dari plat besi</v>
      </c>
      <c r="D92" s="602"/>
      <c r="E92" s="602"/>
      <c r="F92" s="602"/>
      <c r="G92" s="603" t="str">
        <f>'UPAH BAHAN'!G96</f>
        <v>buah</v>
      </c>
      <c r="H92" s="604">
        <f>'UPAH BAHAN'!H96*1.15</f>
        <v>13224999.999999998</v>
      </c>
      <c r="I92" s="274"/>
      <c r="J92" s="274"/>
      <c r="K92" s="274"/>
    </row>
    <row r="93" spans="2:11" ht="15" customHeight="1" x14ac:dyDescent="0.3">
      <c r="B93" s="600">
        <f t="shared" si="0"/>
        <v>77</v>
      </c>
      <c r="C93" s="601" t="str">
        <f>'UPAH BAHAN'!C97</f>
        <v>Centralizer</v>
      </c>
      <c r="D93" s="602"/>
      <c r="E93" s="602"/>
      <c r="F93" s="602"/>
      <c r="G93" s="603" t="str">
        <f>'UPAH BAHAN'!G97</f>
        <v>bh</v>
      </c>
      <c r="H93" s="604">
        <f>'UPAH BAHAN'!H97*1.15</f>
        <v>63249.999999999993</v>
      </c>
      <c r="I93" s="274"/>
      <c r="J93" s="274"/>
      <c r="K93" s="274"/>
    </row>
    <row r="94" spans="2:11" ht="15" customHeight="1" x14ac:dyDescent="0.3">
      <c r="B94" s="600">
        <f t="shared" si="0"/>
        <v>78</v>
      </c>
      <c r="C94" s="601" t="str">
        <f>'UPAH BAHAN'!C98</f>
        <v>Gravel Pack (Kerikil Jagung)</v>
      </c>
      <c r="D94" s="602"/>
      <c r="E94" s="602"/>
      <c r="F94" s="602"/>
      <c r="G94" s="603" t="str">
        <f>'UPAH BAHAN'!G98</f>
        <v>m3</v>
      </c>
      <c r="H94" s="604">
        <f>'UPAH BAHAN'!H98*1.15</f>
        <v>166750</v>
      </c>
      <c r="I94" s="274"/>
      <c r="J94" s="274"/>
      <c r="K94" s="274"/>
    </row>
    <row r="95" spans="2:11" ht="15" customHeight="1" x14ac:dyDescent="0.3">
      <c r="B95" s="600">
        <f t="shared" si="0"/>
        <v>79</v>
      </c>
      <c r="C95" s="601" t="str">
        <f>'UPAH BAHAN'!C99</f>
        <v>Accelerator Semen Grouting</v>
      </c>
      <c r="D95" s="602"/>
      <c r="E95" s="602"/>
      <c r="F95" s="602"/>
      <c r="G95" s="603" t="str">
        <f>'UPAH BAHAN'!G99</f>
        <v>Liter</v>
      </c>
      <c r="H95" s="604">
        <f>'UPAH BAHAN'!H99*1.15</f>
        <v>37375</v>
      </c>
      <c r="I95" s="274"/>
      <c r="J95" s="274"/>
      <c r="K95" s="274"/>
    </row>
    <row r="96" spans="2:11" ht="15" customHeight="1" x14ac:dyDescent="0.3">
      <c r="B96" s="600">
        <f t="shared" si="0"/>
        <v>80</v>
      </c>
      <c r="C96" s="601" t="str">
        <f>'UPAH BAHAN'!C100</f>
        <v xml:space="preserve">Pipa Fibre Glass dia. 1/2" pengukur tinggi air </v>
      </c>
      <c r="D96" s="602"/>
      <c r="E96" s="602"/>
      <c r="F96" s="602"/>
      <c r="G96" s="603" t="str">
        <f>'UPAH BAHAN'!G100</f>
        <v>unit</v>
      </c>
      <c r="H96" s="604">
        <f>'UPAH BAHAN'!H100*1.15</f>
        <v>517499.99999999994</v>
      </c>
      <c r="I96" s="274"/>
      <c r="J96" s="274"/>
      <c r="K96" s="274"/>
    </row>
    <row r="97" spans="2:11" ht="15" customHeight="1" x14ac:dyDescent="0.3">
      <c r="B97" s="600">
        <f t="shared" si="0"/>
        <v>81</v>
      </c>
      <c r="C97" s="601" t="str">
        <f>'UPAH BAHAN'!C101</f>
        <v>Manometer skala  0 - 10 kg/cm²</v>
      </c>
      <c r="D97" s="602"/>
      <c r="E97" s="602"/>
      <c r="F97" s="602"/>
      <c r="G97" s="603" t="str">
        <f>'UPAH BAHAN'!G101</f>
        <v>buah</v>
      </c>
      <c r="H97" s="604">
        <f>'UPAH BAHAN'!H101*1.15</f>
        <v>402499.99999999994</v>
      </c>
      <c r="I97" s="274"/>
      <c r="J97" s="274"/>
      <c r="K97" s="274"/>
    </row>
    <row r="98" spans="2:11" ht="15" customHeight="1" x14ac:dyDescent="0.3">
      <c r="B98" s="600">
        <f t="shared" si="0"/>
        <v>82</v>
      </c>
      <c r="C98" s="601" t="str">
        <f>'UPAH BAHAN'!C102</f>
        <v>Pipa GI dia. 2" dengan cabang ( tee ) dia. 1/2"</v>
      </c>
      <c r="D98" s="602"/>
      <c r="E98" s="602"/>
      <c r="F98" s="602"/>
      <c r="G98" s="603" t="str">
        <f>'UPAH BAHAN'!G102</f>
        <v>buah</v>
      </c>
      <c r="H98" s="604">
        <f>'UPAH BAHAN'!H102*1.15</f>
        <v>155250</v>
      </c>
      <c r="I98" s="274"/>
      <c r="J98" s="274"/>
      <c r="K98" s="274"/>
    </row>
    <row r="99" spans="2:11" ht="15" customHeight="1" x14ac:dyDescent="0.3">
      <c r="B99" s="600">
        <f t="shared" si="0"/>
        <v>83</v>
      </c>
      <c r="C99" s="601" t="str">
        <f>'UPAH BAHAN'!C103</f>
        <v>Knee GI dia. 3"</v>
      </c>
      <c r="D99" s="602"/>
      <c r="E99" s="602"/>
      <c r="F99" s="602"/>
      <c r="G99" s="603" t="str">
        <f>'UPAH BAHAN'!G103</f>
        <v>buah</v>
      </c>
      <c r="H99" s="604">
        <f>'UPAH BAHAN'!H103*1.15</f>
        <v>112699.99999999999</v>
      </c>
      <c r="I99" s="274"/>
      <c r="J99" s="274"/>
      <c r="K99" s="274"/>
    </row>
    <row r="100" spans="2:11" ht="15" customHeight="1" x14ac:dyDescent="0.3">
      <c r="B100" s="600">
        <f t="shared" si="0"/>
        <v>84</v>
      </c>
      <c r="C100" s="601" t="str">
        <f>'UPAH BAHAN'!C104</f>
        <v>Pressure switch (tombol tekanan) lengkap dgn kabel</v>
      </c>
      <c r="D100" s="602"/>
      <c r="E100" s="602"/>
      <c r="F100" s="602"/>
      <c r="G100" s="603" t="str">
        <f>'UPAH BAHAN'!G104</f>
        <v>buah</v>
      </c>
      <c r="H100" s="604">
        <f>'UPAH BAHAN'!H104*1.15</f>
        <v>1207500</v>
      </c>
      <c r="I100" s="274"/>
      <c r="J100" s="274"/>
      <c r="K100" s="274"/>
    </row>
    <row r="101" spans="2:11" ht="15" customHeight="1" x14ac:dyDescent="0.3">
      <c r="B101" s="600">
        <f t="shared" si="0"/>
        <v>85</v>
      </c>
      <c r="C101" s="601" t="s">
        <v>45</v>
      </c>
      <c r="D101" s="602"/>
      <c r="E101" s="602"/>
      <c r="F101" s="602"/>
      <c r="G101" s="603" t="s">
        <v>28</v>
      </c>
      <c r="H101" s="604">
        <f>ANALISA!N806</f>
        <v>20713.000000000004</v>
      </c>
      <c r="I101" s="274"/>
      <c r="J101" s="274"/>
      <c r="K101" s="274"/>
    </row>
    <row r="102" spans="2:11" ht="15" customHeight="1" x14ac:dyDescent="0.3">
      <c r="B102" s="600">
        <f t="shared" si="0"/>
        <v>86</v>
      </c>
      <c r="C102" s="601" t="s">
        <v>46</v>
      </c>
      <c r="D102" s="602"/>
      <c r="E102" s="602"/>
      <c r="F102" s="602"/>
      <c r="G102" s="603" t="s">
        <v>28</v>
      </c>
      <c r="H102" s="604">
        <f>ANALISA!N815</f>
        <v>20713.000000000004</v>
      </c>
      <c r="I102" s="274"/>
      <c r="J102" s="274"/>
      <c r="K102" s="274"/>
    </row>
    <row r="103" spans="2:11" ht="15" customHeight="1" x14ac:dyDescent="0.3">
      <c r="B103" s="600">
        <f t="shared" si="0"/>
        <v>87</v>
      </c>
      <c r="C103" s="601" t="s">
        <v>47</v>
      </c>
      <c r="D103" s="602"/>
      <c r="E103" s="602"/>
      <c r="F103" s="602"/>
      <c r="G103" s="603" t="s">
        <v>15</v>
      </c>
      <c r="H103" s="604">
        <f>ANALISA!N831</f>
        <v>110371.71</v>
      </c>
      <c r="I103" s="274"/>
      <c r="J103" s="274"/>
      <c r="K103" s="274"/>
    </row>
    <row r="104" spans="2:11" ht="15" customHeight="1" x14ac:dyDescent="0.3">
      <c r="B104" s="600">
        <f t="shared" si="0"/>
        <v>88</v>
      </c>
      <c r="C104" s="601" t="s">
        <v>48</v>
      </c>
      <c r="D104" s="602"/>
      <c r="E104" s="602"/>
      <c r="F104" s="602"/>
      <c r="G104" s="603" t="s">
        <v>26</v>
      </c>
      <c r="H104" s="604">
        <f>ANALISA!N845</f>
        <v>69874</v>
      </c>
      <c r="I104" s="274"/>
      <c r="J104" s="274"/>
      <c r="K104" s="274"/>
    </row>
    <row r="105" spans="2:11" ht="15" customHeight="1" x14ac:dyDescent="0.3">
      <c r="B105" s="600">
        <f>B104+1</f>
        <v>89</v>
      </c>
      <c r="C105" s="601" t="s">
        <v>50</v>
      </c>
      <c r="D105" s="602"/>
      <c r="E105" s="602"/>
      <c r="F105" s="602"/>
      <c r="G105" s="603" t="s">
        <v>38</v>
      </c>
      <c r="H105" s="604">
        <f>ANALISA!N861</f>
        <v>967461.65</v>
      </c>
      <c r="I105" s="274"/>
      <c r="J105" s="274"/>
      <c r="K105" s="274"/>
    </row>
    <row r="106" spans="2:11" ht="15" customHeight="1" x14ac:dyDescent="0.3">
      <c r="B106" s="600">
        <f t="shared" si="0"/>
        <v>90</v>
      </c>
      <c r="C106" s="601" t="s">
        <v>51</v>
      </c>
      <c r="D106" s="602"/>
      <c r="E106" s="602"/>
      <c r="F106" s="602"/>
      <c r="G106" s="603" t="s">
        <v>38</v>
      </c>
      <c r="H106" s="604">
        <f>ANALISA!N875</f>
        <v>386448.875</v>
      </c>
      <c r="I106" s="274"/>
      <c r="J106" s="274"/>
      <c r="K106" s="274"/>
    </row>
    <row r="107" spans="2:11" ht="15" customHeight="1" x14ac:dyDescent="0.3">
      <c r="B107" s="600">
        <f t="shared" si="0"/>
        <v>91</v>
      </c>
      <c r="C107" s="601" t="s">
        <v>52</v>
      </c>
      <c r="D107" s="602"/>
      <c r="E107" s="602"/>
      <c r="F107" s="602"/>
      <c r="G107" s="603" t="s">
        <v>53</v>
      </c>
      <c r="H107" s="604">
        <f>ANALISA!N885</f>
        <v>285775</v>
      </c>
      <c r="I107" s="274"/>
      <c r="J107" s="274"/>
      <c r="K107" s="274"/>
    </row>
    <row r="108" spans="2:11" ht="15" customHeight="1" x14ac:dyDescent="0.3">
      <c r="B108" s="600">
        <f t="shared" si="0"/>
        <v>92</v>
      </c>
      <c r="C108" s="601" t="s">
        <v>54</v>
      </c>
      <c r="D108" s="602"/>
      <c r="E108" s="602"/>
      <c r="F108" s="602"/>
      <c r="G108" s="603" t="s">
        <v>53</v>
      </c>
      <c r="H108" s="604">
        <v>150000</v>
      </c>
      <c r="I108" s="274"/>
      <c r="J108" s="274"/>
      <c r="K108" s="274"/>
    </row>
    <row r="109" spans="2:11" ht="15" customHeight="1" x14ac:dyDescent="0.3">
      <c r="B109" s="600">
        <f t="shared" si="0"/>
        <v>93</v>
      </c>
      <c r="C109" s="601" t="s">
        <v>55</v>
      </c>
      <c r="D109" s="602"/>
      <c r="E109" s="602"/>
      <c r="F109" s="602"/>
      <c r="G109" s="603" t="s">
        <v>38</v>
      </c>
      <c r="H109" s="604">
        <f>ANALISA!N893</f>
        <v>158664.0625</v>
      </c>
      <c r="I109" s="274"/>
      <c r="J109" s="274"/>
      <c r="K109" s="274"/>
    </row>
    <row r="110" spans="2:11" ht="15" customHeight="1" x14ac:dyDescent="0.3">
      <c r="B110" s="600">
        <f t="shared" si="0"/>
        <v>94</v>
      </c>
      <c r="C110" s="793" t="s">
        <v>497</v>
      </c>
      <c r="D110" s="602"/>
      <c r="E110" s="602"/>
      <c r="F110" s="602"/>
      <c r="G110" s="603" t="s">
        <v>15</v>
      </c>
      <c r="H110" s="604">
        <f>ANALISA!N909</f>
        <v>23474.426749999999</v>
      </c>
      <c r="I110" s="274"/>
      <c r="J110" s="274"/>
      <c r="K110" s="274"/>
    </row>
    <row r="111" spans="2:11" ht="15" customHeight="1" x14ac:dyDescent="0.3">
      <c r="B111" s="600">
        <f t="shared" si="0"/>
        <v>95</v>
      </c>
      <c r="C111" s="601" t="s">
        <v>56</v>
      </c>
      <c r="D111" s="602"/>
      <c r="E111" s="602"/>
      <c r="F111" s="602"/>
      <c r="G111" s="603" t="s">
        <v>38</v>
      </c>
      <c r="H111" s="604">
        <f>ANALISA!N926</f>
        <v>967426.21151785715</v>
      </c>
      <c r="I111" s="274"/>
      <c r="J111" s="274"/>
      <c r="K111" s="274"/>
    </row>
    <row r="112" spans="2:11" ht="15" customHeight="1" x14ac:dyDescent="0.3">
      <c r="B112" s="600">
        <f t="shared" si="0"/>
        <v>96</v>
      </c>
      <c r="C112" s="601" t="s">
        <v>57</v>
      </c>
      <c r="D112" s="602"/>
      <c r="E112" s="602"/>
      <c r="F112" s="602"/>
      <c r="G112" s="603" t="s">
        <v>53</v>
      </c>
      <c r="H112" s="604">
        <f>ANALISA!N937</f>
        <v>418282.13999999996</v>
      </c>
      <c r="I112" s="274"/>
      <c r="J112" s="274"/>
      <c r="K112" s="274"/>
    </row>
    <row r="113" spans="2:11" ht="15" customHeight="1" x14ac:dyDescent="0.3">
      <c r="B113" s="600">
        <f t="shared" si="0"/>
        <v>97</v>
      </c>
      <c r="C113" s="601" t="s">
        <v>58</v>
      </c>
      <c r="D113" s="602"/>
      <c r="E113" s="602"/>
      <c r="F113" s="602"/>
      <c r="G113" s="603" t="s">
        <v>53</v>
      </c>
      <c r="H113" s="604">
        <f>ANALISA!N949</f>
        <v>769032.14</v>
      </c>
      <c r="I113" s="274"/>
      <c r="J113" s="274"/>
      <c r="K113" s="274"/>
    </row>
    <row r="114" spans="2:11" ht="15" customHeight="1" x14ac:dyDescent="0.3">
      <c r="B114" s="600">
        <f t="shared" ref="B114:B146" si="2">B113+1</f>
        <v>98</v>
      </c>
      <c r="C114" s="601" t="s">
        <v>59</v>
      </c>
      <c r="D114" s="602"/>
      <c r="E114" s="602"/>
      <c r="F114" s="602"/>
      <c r="G114" s="603" t="s">
        <v>53</v>
      </c>
      <c r="H114" s="604">
        <f>ANALISA!N961</f>
        <v>432868.16499999998</v>
      </c>
      <c r="I114" s="274"/>
      <c r="J114" s="274"/>
      <c r="K114" s="274"/>
    </row>
    <row r="115" spans="2:11" ht="15" customHeight="1" x14ac:dyDescent="0.3">
      <c r="B115" s="600">
        <f t="shared" si="2"/>
        <v>99</v>
      </c>
      <c r="C115" s="601" t="s">
        <v>60</v>
      </c>
      <c r="D115" s="602"/>
      <c r="E115" s="602"/>
      <c r="F115" s="602"/>
      <c r="G115" s="603" t="s">
        <v>53</v>
      </c>
      <c r="H115" s="604">
        <f>ANALISA!N978</f>
        <v>270047.14</v>
      </c>
      <c r="I115" s="274"/>
      <c r="J115" s="274"/>
      <c r="K115" s="274"/>
    </row>
    <row r="116" spans="2:11" ht="15" customHeight="1" x14ac:dyDescent="0.3">
      <c r="B116" s="600">
        <f t="shared" si="2"/>
        <v>100</v>
      </c>
      <c r="C116" s="601" t="s">
        <v>61</v>
      </c>
      <c r="D116" s="602"/>
      <c r="E116" s="602"/>
      <c r="F116" s="602"/>
      <c r="G116" s="603" t="s">
        <v>53</v>
      </c>
      <c r="H116" s="604">
        <f>ANALISA!N990</f>
        <v>620797.14</v>
      </c>
      <c r="I116" s="274"/>
      <c r="J116" s="274"/>
      <c r="K116" s="274"/>
    </row>
    <row r="117" spans="2:11" ht="15" customHeight="1" x14ac:dyDescent="0.3">
      <c r="B117" s="600">
        <f t="shared" si="2"/>
        <v>101</v>
      </c>
      <c r="C117" s="601" t="s">
        <v>62</v>
      </c>
      <c r="D117" s="602"/>
      <c r="E117" s="602"/>
      <c r="F117" s="602"/>
      <c r="G117" s="603" t="s">
        <v>53</v>
      </c>
      <c r="H117" s="604">
        <f>ANALISA!N1002</f>
        <v>369809.63999999996</v>
      </c>
      <c r="I117" s="274"/>
      <c r="J117" s="274"/>
      <c r="K117" s="274"/>
    </row>
    <row r="118" spans="2:11" ht="15" customHeight="1" x14ac:dyDescent="0.3">
      <c r="B118" s="600">
        <f t="shared" si="2"/>
        <v>102</v>
      </c>
      <c r="C118" s="601" t="s">
        <v>63</v>
      </c>
      <c r="D118" s="602"/>
      <c r="E118" s="602"/>
      <c r="F118" s="602"/>
      <c r="G118" s="603" t="s">
        <v>53</v>
      </c>
      <c r="H118" s="604">
        <f>ANALISA!N1012</f>
        <v>211684.64</v>
      </c>
      <c r="I118" s="274"/>
      <c r="J118" s="274"/>
      <c r="K118" s="274"/>
    </row>
    <row r="119" spans="2:11" ht="15" customHeight="1" x14ac:dyDescent="0.3">
      <c r="B119" s="600">
        <f t="shared" si="2"/>
        <v>103</v>
      </c>
      <c r="C119" s="601" t="s">
        <v>64</v>
      </c>
      <c r="D119" s="602"/>
      <c r="E119" s="602"/>
      <c r="F119" s="602"/>
      <c r="G119" s="603" t="s">
        <v>53</v>
      </c>
      <c r="H119" s="604">
        <f>ANALISA!N1024</f>
        <v>562434.64</v>
      </c>
      <c r="I119" s="274"/>
      <c r="J119" s="274"/>
      <c r="K119" s="274"/>
    </row>
    <row r="120" spans="2:11" ht="15" customHeight="1" x14ac:dyDescent="0.3">
      <c r="B120" s="600">
        <f t="shared" si="2"/>
        <v>104</v>
      </c>
      <c r="C120" s="601" t="s">
        <v>65</v>
      </c>
      <c r="D120" s="602"/>
      <c r="E120" s="602"/>
      <c r="F120" s="602"/>
      <c r="G120" s="603" t="s">
        <v>53</v>
      </c>
      <c r="H120" s="604">
        <f>ANALISA!N1036</f>
        <v>352559.63999999996</v>
      </c>
      <c r="I120" s="274"/>
      <c r="J120" s="274"/>
      <c r="K120" s="274"/>
    </row>
    <row r="121" spans="2:11" ht="15" customHeight="1" x14ac:dyDescent="0.3">
      <c r="B121" s="600">
        <f t="shared" si="2"/>
        <v>105</v>
      </c>
      <c r="C121" s="601" t="s">
        <v>66</v>
      </c>
      <c r="D121" s="602"/>
      <c r="E121" s="602"/>
      <c r="F121" s="602"/>
      <c r="G121" s="603" t="s">
        <v>53</v>
      </c>
      <c r="H121" s="604">
        <f>ANALISA!N1055</f>
        <v>273899.64</v>
      </c>
      <c r="I121" s="274"/>
      <c r="J121" s="274"/>
      <c r="K121" s="274"/>
    </row>
    <row r="122" spans="2:11" ht="15" hidden="1" customHeight="1" x14ac:dyDescent="0.3">
      <c r="B122" s="600">
        <f t="shared" si="2"/>
        <v>106</v>
      </c>
      <c r="C122" s="601" t="s">
        <v>499</v>
      </c>
      <c r="D122" s="602"/>
      <c r="E122" s="602"/>
      <c r="F122" s="602"/>
      <c r="G122" s="603" t="s">
        <v>15</v>
      </c>
      <c r="H122" s="604">
        <f>'UPAH BAHAN'!H120*1.1</f>
        <v>7425.0000000000009</v>
      </c>
      <c r="I122" s="274"/>
      <c r="J122" s="274"/>
      <c r="K122" s="274"/>
    </row>
    <row r="123" spans="2:11" ht="15" hidden="1" customHeight="1" x14ac:dyDescent="0.3">
      <c r="B123" s="600">
        <f t="shared" si="2"/>
        <v>107</v>
      </c>
      <c r="C123" s="601" t="s">
        <v>503</v>
      </c>
      <c r="D123" s="602"/>
      <c r="E123" s="602"/>
      <c r="F123" s="602"/>
      <c r="G123" s="603" t="s">
        <v>15</v>
      </c>
      <c r="H123" s="604">
        <f>'UPAH BAHAN'!H121*1.1</f>
        <v>9350</v>
      </c>
      <c r="I123" s="274"/>
      <c r="J123" s="274"/>
      <c r="K123" s="274"/>
    </row>
    <row r="124" spans="2:11" ht="15" hidden="1" customHeight="1" x14ac:dyDescent="0.3">
      <c r="B124" s="600">
        <f t="shared" si="2"/>
        <v>108</v>
      </c>
      <c r="C124" s="601" t="s">
        <v>504</v>
      </c>
      <c r="D124" s="602"/>
      <c r="E124" s="602"/>
      <c r="F124" s="602"/>
      <c r="G124" s="603" t="s">
        <v>15</v>
      </c>
      <c r="H124" s="604">
        <f>'UPAH BAHAN'!H122*1.1</f>
        <v>10450</v>
      </c>
      <c r="I124" s="274"/>
      <c r="J124" s="274"/>
      <c r="K124" s="274"/>
    </row>
    <row r="125" spans="2:11" ht="15" hidden="1" customHeight="1" x14ac:dyDescent="0.3">
      <c r="B125" s="600">
        <f t="shared" si="2"/>
        <v>109</v>
      </c>
      <c r="C125" s="601" t="s">
        <v>505</v>
      </c>
      <c r="D125" s="602"/>
      <c r="E125" s="602"/>
      <c r="F125" s="602"/>
      <c r="G125" s="603" t="s">
        <v>15</v>
      </c>
      <c r="H125" s="604">
        <f>'UPAH BAHAN'!H123*1.1</f>
        <v>25300.000000000004</v>
      </c>
      <c r="I125" s="274"/>
      <c r="J125" s="274"/>
      <c r="K125" s="274"/>
    </row>
    <row r="126" spans="2:11" ht="15" hidden="1" customHeight="1" x14ac:dyDescent="0.3">
      <c r="B126" s="600">
        <f t="shared" si="2"/>
        <v>110</v>
      </c>
      <c r="C126" s="601" t="s">
        <v>506</v>
      </c>
      <c r="D126" s="602"/>
      <c r="E126" s="602"/>
      <c r="F126" s="602"/>
      <c r="G126" s="603" t="s">
        <v>15</v>
      </c>
      <c r="H126" s="604">
        <f>'UPAH BAHAN'!H124*1.1</f>
        <v>29700.000000000004</v>
      </c>
      <c r="I126" s="274"/>
      <c r="J126" s="274"/>
      <c r="K126" s="274"/>
    </row>
    <row r="127" spans="2:11" ht="15" hidden="1" customHeight="1" x14ac:dyDescent="0.3">
      <c r="B127" s="600">
        <f t="shared" si="2"/>
        <v>111</v>
      </c>
      <c r="C127" s="601" t="s">
        <v>507</v>
      </c>
      <c r="D127" s="602"/>
      <c r="E127" s="602"/>
      <c r="F127" s="602"/>
      <c r="G127" s="603" t="s">
        <v>15</v>
      </c>
      <c r="H127" s="604">
        <f>'UPAH BAHAN'!H125*1.1</f>
        <v>48180.000000000007</v>
      </c>
      <c r="I127" s="274"/>
      <c r="J127" s="274"/>
      <c r="K127" s="274"/>
    </row>
    <row r="128" spans="2:11" ht="15" hidden="1" customHeight="1" x14ac:dyDescent="0.3">
      <c r="B128" s="600">
        <f t="shared" si="2"/>
        <v>112</v>
      </c>
      <c r="C128" s="601" t="s">
        <v>508</v>
      </c>
      <c r="D128" s="602"/>
      <c r="E128" s="602"/>
      <c r="F128" s="602"/>
      <c r="G128" s="603" t="s">
        <v>15</v>
      </c>
      <c r="H128" s="604">
        <f>'UPAH BAHAN'!H126*1.1</f>
        <v>57750.000000000007</v>
      </c>
      <c r="I128" s="274"/>
      <c r="J128" s="274"/>
      <c r="K128" s="274"/>
    </row>
    <row r="129" spans="2:11" ht="15" hidden="1" customHeight="1" x14ac:dyDescent="0.3">
      <c r="B129" s="600">
        <f t="shared" si="2"/>
        <v>113</v>
      </c>
      <c r="C129" s="601" t="s">
        <v>509</v>
      </c>
      <c r="D129" s="602"/>
      <c r="E129" s="602"/>
      <c r="F129" s="602"/>
      <c r="G129" s="603" t="s">
        <v>15</v>
      </c>
      <c r="H129" s="604">
        <f>'UPAH BAHAN'!H127*1.1</f>
        <v>92400.000000000015</v>
      </c>
      <c r="I129" s="274"/>
      <c r="J129" s="274"/>
      <c r="K129" s="274"/>
    </row>
    <row r="130" spans="2:11" ht="15" hidden="1" customHeight="1" x14ac:dyDescent="0.3">
      <c r="B130" s="600">
        <f t="shared" si="2"/>
        <v>114</v>
      </c>
      <c r="C130" s="601" t="s">
        <v>509</v>
      </c>
      <c r="D130" s="602"/>
      <c r="E130" s="602"/>
      <c r="F130" s="602"/>
      <c r="G130" s="603" t="s">
        <v>15</v>
      </c>
      <c r="H130" s="604">
        <f>'UPAH BAHAN'!H128*1.1</f>
        <v>203500.00000000003</v>
      </c>
      <c r="I130" s="274"/>
      <c r="J130" s="274"/>
      <c r="K130" s="274"/>
    </row>
    <row r="131" spans="2:11" ht="15" customHeight="1" x14ac:dyDescent="0.3">
      <c r="B131" s="600">
        <f>B121+1</f>
        <v>106</v>
      </c>
      <c r="C131" s="601" t="s">
        <v>67</v>
      </c>
      <c r="D131" s="602"/>
      <c r="E131" s="602"/>
      <c r="F131" s="602"/>
      <c r="G131" s="603" t="s">
        <v>15</v>
      </c>
      <c r="H131" s="604">
        <f>ANALISA!N1065</f>
        <v>15076.5</v>
      </c>
      <c r="I131" s="274"/>
      <c r="J131" s="274"/>
      <c r="K131" s="274"/>
    </row>
    <row r="132" spans="2:11" ht="15" customHeight="1" x14ac:dyDescent="0.3">
      <c r="B132" s="600">
        <f t="shared" si="2"/>
        <v>107</v>
      </c>
      <c r="C132" s="601" t="s">
        <v>68</v>
      </c>
      <c r="D132" s="602"/>
      <c r="E132" s="602"/>
      <c r="F132" s="602"/>
      <c r="G132" s="603" t="s">
        <v>15</v>
      </c>
      <c r="H132" s="604">
        <f>ANALISA!N1143</f>
        <v>29524</v>
      </c>
      <c r="I132" s="274"/>
      <c r="J132" s="274"/>
      <c r="K132" s="274"/>
    </row>
    <row r="133" spans="2:11" ht="15" customHeight="1" x14ac:dyDescent="0.3">
      <c r="B133" s="600">
        <f t="shared" si="2"/>
        <v>108</v>
      </c>
      <c r="C133" s="601" t="s">
        <v>69</v>
      </c>
      <c r="D133" s="602"/>
      <c r="E133" s="602"/>
      <c r="F133" s="602"/>
      <c r="G133" s="603" t="s">
        <v>15</v>
      </c>
      <c r="H133" s="604">
        <f>ANALISA!N1151</f>
        <v>22324.5</v>
      </c>
      <c r="I133" s="274"/>
      <c r="J133" s="274"/>
      <c r="K133" s="274"/>
    </row>
    <row r="134" spans="2:11" ht="15" customHeight="1" x14ac:dyDescent="0.3">
      <c r="B134" s="600">
        <f t="shared" si="2"/>
        <v>109</v>
      </c>
      <c r="C134" s="601" t="s">
        <v>70</v>
      </c>
      <c r="D134" s="602"/>
      <c r="E134" s="602"/>
      <c r="F134" s="602"/>
      <c r="G134" s="603" t="s">
        <v>15</v>
      </c>
      <c r="H134" s="604">
        <f>ANALISA!N1159</f>
        <v>15125</v>
      </c>
      <c r="I134" s="274"/>
      <c r="J134" s="274"/>
      <c r="K134" s="274"/>
    </row>
    <row r="135" spans="2:11" ht="15" customHeight="1" x14ac:dyDescent="0.3">
      <c r="B135" s="600">
        <f t="shared" si="2"/>
        <v>110</v>
      </c>
      <c r="C135" s="601" t="s">
        <v>71</v>
      </c>
      <c r="D135" s="602"/>
      <c r="E135" s="602"/>
      <c r="F135" s="602"/>
      <c r="G135" s="603" t="s">
        <v>15</v>
      </c>
      <c r="H135" s="604">
        <f>ANALISA!N1167</f>
        <v>10518.75</v>
      </c>
      <c r="I135" s="274"/>
      <c r="J135" s="274"/>
      <c r="K135" s="274"/>
    </row>
    <row r="136" spans="2:11" ht="15" customHeight="1" x14ac:dyDescent="0.3">
      <c r="B136" s="600">
        <f t="shared" si="2"/>
        <v>111</v>
      </c>
      <c r="C136" s="601" t="s">
        <v>72</v>
      </c>
      <c r="D136" s="602"/>
      <c r="E136" s="602"/>
      <c r="F136" s="602"/>
      <c r="G136" s="603" t="s">
        <v>15</v>
      </c>
      <c r="H136" s="604">
        <f>ANALISA!N1175</f>
        <v>7969.5</v>
      </c>
      <c r="I136" s="274"/>
      <c r="J136" s="274"/>
      <c r="K136" s="274"/>
    </row>
    <row r="137" spans="2:11" ht="15" customHeight="1" x14ac:dyDescent="0.3">
      <c r="B137" s="600">
        <f t="shared" si="2"/>
        <v>112</v>
      </c>
      <c r="C137" s="601" t="s">
        <v>73</v>
      </c>
      <c r="D137" s="602"/>
      <c r="E137" s="602"/>
      <c r="F137" s="602"/>
      <c r="G137" s="603" t="s">
        <v>15</v>
      </c>
      <c r="H137" s="604">
        <f>ANALISA!N1184</f>
        <v>327242.68900000001</v>
      </c>
      <c r="I137" s="274"/>
      <c r="J137" s="274"/>
      <c r="K137" s="274"/>
    </row>
    <row r="138" spans="2:11" ht="15" customHeight="1" x14ac:dyDescent="0.3">
      <c r="B138" s="600">
        <f t="shared" si="2"/>
        <v>113</v>
      </c>
      <c r="C138" s="601" t="s">
        <v>74</v>
      </c>
      <c r="D138" s="602"/>
      <c r="E138" s="602"/>
      <c r="F138" s="602"/>
      <c r="G138" s="603" t="s">
        <v>15</v>
      </c>
      <c r="H138" s="604">
        <f>ANALISA!N1192</f>
        <v>383532.31400000001</v>
      </c>
      <c r="I138" s="274"/>
      <c r="J138" s="274"/>
      <c r="K138" s="274"/>
    </row>
    <row r="139" spans="2:11" ht="15" customHeight="1" x14ac:dyDescent="0.3">
      <c r="B139" s="600">
        <f t="shared" si="2"/>
        <v>114</v>
      </c>
      <c r="C139" s="601" t="s">
        <v>75</v>
      </c>
      <c r="D139" s="602"/>
      <c r="E139" s="602"/>
      <c r="F139" s="602"/>
      <c r="G139" s="603" t="s">
        <v>15</v>
      </c>
      <c r="H139" s="604">
        <f>ANALISA!N1207</f>
        <v>45267.588000000003</v>
      </c>
      <c r="I139" s="274"/>
      <c r="J139" s="274"/>
      <c r="K139" s="274"/>
    </row>
    <row r="140" spans="2:11" ht="15" customHeight="1" x14ac:dyDescent="0.3">
      <c r="B140" s="600">
        <f t="shared" si="2"/>
        <v>115</v>
      </c>
      <c r="C140" s="601" t="s">
        <v>76</v>
      </c>
      <c r="D140" s="602"/>
      <c r="E140" s="602"/>
      <c r="F140" s="602"/>
      <c r="G140" s="603" t="s">
        <v>15</v>
      </c>
      <c r="H140" s="604">
        <f>ANALISA!N1215</f>
        <v>58777.098000000005</v>
      </c>
      <c r="I140" s="274"/>
      <c r="J140" s="274"/>
      <c r="K140" s="274"/>
    </row>
    <row r="141" spans="2:11" ht="15" customHeight="1" x14ac:dyDescent="0.3">
      <c r="B141" s="600">
        <f t="shared" si="2"/>
        <v>116</v>
      </c>
      <c r="C141" s="601" t="s">
        <v>77</v>
      </c>
      <c r="D141" s="602"/>
      <c r="E141" s="602"/>
      <c r="F141" s="602"/>
      <c r="G141" s="603" t="s">
        <v>15</v>
      </c>
      <c r="H141" s="604">
        <f>ANALISA!N1223</f>
        <v>33635.554199999999</v>
      </c>
      <c r="I141" s="274"/>
      <c r="J141" s="274"/>
      <c r="K141" s="274"/>
    </row>
    <row r="142" spans="2:11" ht="15" customHeight="1" x14ac:dyDescent="0.3">
      <c r="B142" s="600">
        <f t="shared" si="2"/>
        <v>117</v>
      </c>
      <c r="C142" s="601" t="s">
        <v>78</v>
      </c>
      <c r="D142" s="602"/>
      <c r="E142" s="602"/>
      <c r="F142" s="602"/>
      <c r="G142" s="603" t="s">
        <v>15</v>
      </c>
      <c r="H142" s="604">
        <f>ANALISA!N1231</f>
        <v>45794.113199999993</v>
      </c>
      <c r="I142" s="274"/>
      <c r="J142" s="274"/>
      <c r="K142" s="274"/>
    </row>
    <row r="143" spans="2:11" ht="15" customHeight="1" x14ac:dyDescent="0.3">
      <c r="B143" s="600">
        <f t="shared" si="2"/>
        <v>118</v>
      </c>
      <c r="C143" s="601" t="s">
        <v>79</v>
      </c>
      <c r="D143" s="602"/>
      <c r="E143" s="602"/>
      <c r="F143" s="602"/>
      <c r="G143" s="603" t="s">
        <v>15</v>
      </c>
      <c r="H143" s="604">
        <f>ANALISA!N1239</f>
        <v>25822.795749999997</v>
      </c>
      <c r="I143" s="274"/>
      <c r="J143" s="274"/>
      <c r="K143" s="274"/>
    </row>
    <row r="144" spans="2:11" ht="15" customHeight="1" x14ac:dyDescent="0.3">
      <c r="B144" s="600">
        <f t="shared" si="2"/>
        <v>119</v>
      </c>
      <c r="C144" s="601" t="s">
        <v>80</v>
      </c>
      <c r="D144" s="602"/>
      <c r="E144" s="602"/>
      <c r="F144" s="602"/>
      <c r="G144" s="603" t="s">
        <v>15</v>
      </c>
      <c r="H144" s="604">
        <f>ANALISA!N1247</f>
        <v>37643.616999999998</v>
      </c>
      <c r="I144" s="274"/>
      <c r="J144" s="274"/>
      <c r="K144" s="274"/>
    </row>
    <row r="145" spans="2:11" ht="15" customHeight="1" x14ac:dyDescent="0.3">
      <c r="B145" s="600">
        <f t="shared" si="2"/>
        <v>120</v>
      </c>
      <c r="C145" s="601" t="s">
        <v>1039</v>
      </c>
      <c r="D145" s="602"/>
      <c r="E145" s="602"/>
      <c r="F145" s="602"/>
      <c r="G145" s="603" t="s">
        <v>15</v>
      </c>
      <c r="H145" s="604">
        <f>ANALISA!N1255</f>
        <v>21007.170749999997</v>
      </c>
      <c r="I145" s="274"/>
      <c r="J145" s="274"/>
      <c r="K145" s="274"/>
    </row>
    <row r="146" spans="2:11" ht="15" customHeight="1" x14ac:dyDescent="0.3">
      <c r="B146" s="600">
        <f t="shared" si="2"/>
        <v>121</v>
      </c>
      <c r="C146" s="601" t="s">
        <v>81</v>
      </c>
      <c r="D146" s="602"/>
      <c r="E146" s="602"/>
      <c r="F146" s="602"/>
      <c r="G146" s="603" t="s">
        <v>15</v>
      </c>
      <c r="H146" s="604">
        <f>ANALISA!N1264</f>
        <v>32827.991999999998</v>
      </c>
      <c r="I146" s="274"/>
      <c r="J146" s="274"/>
      <c r="K146" s="274"/>
    </row>
    <row r="147" spans="2:11" ht="15" customHeight="1" x14ac:dyDescent="0.3">
      <c r="B147" s="600">
        <f>B146+1</f>
        <v>122</v>
      </c>
      <c r="C147" s="601" t="s">
        <v>82</v>
      </c>
      <c r="D147" s="602"/>
      <c r="E147" s="602"/>
      <c r="F147" s="602"/>
      <c r="G147" s="603" t="s">
        <v>15</v>
      </c>
      <c r="H147" s="604">
        <f>ANALISA!N1272</f>
        <v>18342.045749999997</v>
      </c>
      <c r="I147" s="274"/>
      <c r="J147" s="274"/>
      <c r="K147" s="274"/>
    </row>
    <row r="148" spans="2:11" ht="15" customHeight="1" x14ac:dyDescent="0.3">
      <c r="B148" s="600">
        <f>B147+1</f>
        <v>123</v>
      </c>
      <c r="C148" s="601" t="s">
        <v>83</v>
      </c>
      <c r="D148" s="602"/>
      <c r="E148" s="602"/>
      <c r="F148" s="602"/>
      <c r="G148" s="603" t="s">
        <v>15</v>
      </c>
      <c r="H148" s="604">
        <f>ANALISA!N1280</f>
        <v>30162.866999999998</v>
      </c>
      <c r="I148" s="274"/>
      <c r="J148" s="274"/>
      <c r="K148" s="274"/>
    </row>
    <row r="149" spans="2:11" ht="15" customHeight="1" x14ac:dyDescent="0.3">
      <c r="B149" s="600">
        <f>B148+1</f>
        <v>124</v>
      </c>
      <c r="C149" s="794" t="s">
        <v>569</v>
      </c>
      <c r="D149" s="602"/>
      <c r="E149" s="602"/>
      <c r="F149" s="795"/>
      <c r="G149" s="796"/>
      <c r="H149" s="604"/>
      <c r="I149" s="274"/>
      <c r="J149" s="274"/>
      <c r="K149" s="274"/>
    </row>
    <row r="150" spans="2:11" ht="15" customHeight="1" x14ac:dyDescent="0.3">
      <c r="B150" s="797"/>
      <c r="C150" s="798" t="s">
        <v>704</v>
      </c>
      <c r="D150" s="799" t="s">
        <v>705</v>
      </c>
      <c r="E150" s="602"/>
      <c r="F150" s="795"/>
      <c r="G150" s="796" t="s">
        <v>38</v>
      </c>
      <c r="H150" s="604">
        <f>'UPAH BAHAN'!H106*1.1</f>
        <v>1045000.0000000001</v>
      </c>
      <c r="I150" s="274"/>
      <c r="J150" s="274"/>
      <c r="K150" s="274"/>
    </row>
    <row r="151" spans="2:11" ht="15" customHeight="1" x14ac:dyDescent="0.3">
      <c r="B151" s="797"/>
      <c r="C151" s="800" t="s">
        <v>704</v>
      </c>
      <c r="D151" s="799" t="s">
        <v>706</v>
      </c>
      <c r="E151" s="602"/>
      <c r="F151" s="795"/>
      <c r="G151" s="796" t="s">
        <v>38</v>
      </c>
      <c r="H151" s="604">
        <f>'UPAH BAHAN'!H107*1.1</f>
        <v>1650000.0000000002</v>
      </c>
      <c r="I151" s="274"/>
      <c r="J151" s="274"/>
      <c r="K151" s="274"/>
    </row>
    <row r="152" spans="2:11" ht="15" customHeight="1" x14ac:dyDescent="0.3">
      <c r="B152" s="797"/>
      <c r="C152" s="800" t="s">
        <v>704</v>
      </c>
      <c r="D152" s="799" t="s">
        <v>707</v>
      </c>
      <c r="E152" s="602"/>
      <c r="F152" s="795"/>
      <c r="G152" s="796" t="s">
        <v>38</v>
      </c>
      <c r="H152" s="604">
        <f>'UPAH BAHAN'!H108*1.1</f>
        <v>2750000</v>
      </c>
      <c r="I152" s="274"/>
      <c r="J152" s="274"/>
      <c r="K152" s="274"/>
    </row>
    <row r="153" spans="2:11" ht="15" customHeight="1" x14ac:dyDescent="0.3">
      <c r="B153" s="797"/>
      <c r="C153" s="800" t="s">
        <v>704</v>
      </c>
      <c r="D153" s="799" t="s">
        <v>941</v>
      </c>
      <c r="E153" s="602"/>
      <c r="F153" s="795"/>
      <c r="G153" s="796" t="s">
        <v>38</v>
      </c>
      <c r="H153" s="604">
        <f>'UPAH BAHAN'!H109*1.1</f>
        <v>4070000.0000000005</v>
      </c>
      <c r="I153" s="274"/>
      <c r="J153" s="274"/>
      <c r="K153" s="274"/>
    </row>
    <row r="154" spans="2:11" ht="15" customHeight="1" x14ac:dyDescent="0.3">
      <c r="B154" s="797"/>
      <c r="C154" s="800" t="s">
        <v>704</v>
      </c>
      <c r="D154" s="799" t="s">
        <v>700</v>
      </c>
      <c r="E154" s="602"/>
      <c r="F154" s="795"/>
      <c r="G154" s="796" t="s">
        <v>53</v>
      </c>
      <c r="H154" s="604">
        <f>'UPAH BAHAN'!H110*1.1</f>
        <v>190575.00000000003</v>
      </c>
      <c r="I154" s="274"/>
      <c r="J154" s="274"/>
      <c r="K154" s="274"/>
    </row>
    <row r="155" spans="2:11" ht="15" customHeight="1" x14ac:dyDescent="0.3">
      <c r="B155" s="797"/>
      <c r="C155" s="800" t="s">
        <v>704</v>
      </c>
      <c r="D155" s="799" t="s">
        <v>701</v>
      </c>
      <c r="E155" s="602"/>
      <c r="F155" s="795"/>
      <c r="G155" s="796" t="s">
        <v>38</v>
      </c>
      <c r="H155" s="604">
        <f>ANALISA!N1290</f>
        <v>5222419.5001999997</v>
      </c>
      <c r="I155" s="274"/>
      <c r="J155" s="274"/>
      <c r="K155" s="274"/>
    </row>
    <row r="156" spans="2:11" ht="15" customHeight="1" x14ac:dyDescent="0.3">
      <c r="B156" s="797"/>
      <c r="C156" s="800" t="s">
        <v>704</v>
      </c>
      <c r="D156" s="799" t="s">
        <v>702</v>
      </c>
      <c r="E156" s="602"/>
      <c r="F156" s="795"/>
      <c r="G156" s="796" t="s">
        <v>38</v>
      </c>
      <c r="H156" s="801">
        <f>ANALISA!N1300</f>
        <v>6020473.1270249989</v>
      </c>
      <c r="I156" s="274"/>
      <c r="J156" s="274"/>
      <c r="K156" s="274"/>
    </row>
    <row r="157" spans="2:11" ht="15" customHeight="1" x14ac:dyDescent="0.3">
      <c r="B157" s="797"/>
      <c r="C157" s="800" t="s">
        <v>704</v>
      </c>
      <c r="D157" s="799" t="s">
        <v>703</v>
      </c>
      <c r="E157" s="602"/>
      <c r="F157" s="795"/>
      <c r="G157" s="603" t="s">
        <v>38</v>
      </c>
      <c r="H157" s="801">
        <f>ANALISA!N1309</f>
        <v>7391867.4067749996</v>
      </c>
      <c r="I157" s="274"/>
      <c r="J157" s="274"/>
      <c r="K157" s="274"/>
    </row>
    <row r="158" spans="2:11" ht="15" customHeight="1" x14ac:dyDescent="0.3">
      <c r="B158" s="1162"/>
      <c r="C158" s="800" t="s">
        <v>704</v>
      </c>
      <c r="D158" s="799" t="s">
        <v>937</v>
      </c>
      <c r="E158" s="602"/>
      <c r="F158" s="795"/>
      <c r="G158" s="603" t="s">
        <v>38</v>
      </c>
      <c r="H158" s="801">
        <f>ANALISA!N1318</f>
        <v>8771867.4067749996</v>
      </c>
      <c r="I158" s="274"/>
      <c r="J158" s="274"/>
      <c r="K158" s="274"/>
    </row>
    <row r="159" spans="2:11" x14ac:dyDescent="0.3">
      <c r="B159" s="802">
        <f>B149+1</f>
        <v>125</v>
      </c>
      <c r="C159" s="803" t="s">
        <v>84</v>
      </c>
      <c r="D159" s="601"/>
      <c r="E159" s="799"/>
      <c r="F159" s="799"/>
      <c r="G159" s="804"/>
      <c r="H159" s="805"/>
      <c r="I159" s="514"/>
    </row>
    <row r="160" spans="2:11" x14ac:dyDescent="0.3">
      <c r="B160" s="806"/>
      <c r="C160" s="807" t="s">
        <v>704</v>
      </c>
      <c r="D160" s="808" t="s">
        <v>863</v>
      </c>
      <c r="E160" s="799"/>
      <c r="F160" s="799"/>
      <c r="G160" s="804" t="s">
        <v>15</v>
      </c>
      <c r="H160" s="809">
        <f>'UPAH BAHAN'!H112*1.1</f>
        <v>290071.10000000003</v>
      </c>
      <c r="I160" s="514"/>
    </row>
    <row r="161" spans="2:9" x14ac:dyDescent="0.3">
      <c r="B161" s="806"/>
      <c r="C161" s="807" t="s">
        <v>704</v>
      </c>
      <c r="D161" s="808" t="s">
        <v>864</v>
      </c>
      <c r="E161" s="799"/>
      <c r="F161" s="799"/>
      <c r="G161" s="804" t="s">
        <v>15</v>
      </c>
      <c r="H161" s="809">
        <f>'UPAH BAHAN'!H113*1.1</f>
        <v>144962.40000000002</v>
      </c>
      <c r="I161" s="514"/>
    </row>
    <row r="162" spans="2:9" x14ac:dyDescent="0.3">
      <c r="B162" s="806"/>
      <c r="C162" s="807" t="s">
        <v>704</v>
      </c>
      <c r="D162" s="808" t="s">
        <v>865</v>
      </c>
      <c r="E162" s="799"/>
      <c r="F162" s="799"/>
      <c r="G162" s="804" t="s">
        <v>15</v>
      </c>
      <c r="H162" s="809">
        <f>'UPAH BAHAN'!H114*1.1</f>
        <v>102829.1</v>
      </c>
      <c r="I162" s="514"/>
    </row>
    <row r="163" spans="2:9" x14ac:dyDescent="0.3">
      <c r="B163" s="806"/>
      <c r="C163" s="807" t="s">
        <v>704</v>
      </c>
      <c r="D163" s="808" t="s">
        <v>539</v>
      </c>
      <c r="E163" s="799"/>
      <c r="F163" s="799"/>
      <c r="G163" s="804" t="s">
        <v>15</v>
      </c>
      <c r="H163" s="809">
        <f>'UPAH BAHAN'!H115*1.1</f>
        <v>100650.00000000001</v>
      </c>
    </row>
    <row r="164" spans="2:9" x14ac:dyDescent="0.3">
      <c r="B164" s="806"/>
      <c r="C164" s="807" t="s">
        <v>704</v>
      </c>
      <c r="D164" s="808" t="s">
        <v>540</v>
      </c>
      <c r="E164" s="799"/>
      <c r="F164" s="799"/>
      <c r="G164" s="804" t="s">
        <v>15</v>
      </c>
      <c r="H164" s="809">
        <f>'UPAH BAHAN'!H116*1.1</f>
        <v>48290.000000000007</v>
      </c>
    </row>
    <row r="165" spans="2:9" x14ac:dyDescent="0.3">
      <c r="B165" s="806"/>
      <c r="C165" s="807" t="s">
        <v>704</v>
      </c>
      <c r="D165" s="808" t="s">
        <v>541</v>
      </c>
      <c r="E165" s="799"/>
      <c r="F165" s="799"/>
      <c r="G165" s="804" t="s">
        <v>15</v>
      </c>
      <c r="H165" s="809">
        <f>'UPAH BAHAN'!H117*1.1</f>
        <v>32010.000000000004</v>
      </c>
    </row>
    <row r="166" spans="2:9" x14ac:dyDescent="0.3">
      <c r="B166" s="806"/>
      <c r="C166" s="807" t="s">
        <v>704</v>
      </c>
      <c r="D166" s="808" t="s">
        <v>542</v>
      </c>
      <c r="E166" s="799"/>
      <c r="F166" s="799"/>
      <c r="G166" s="804" t="s">
        <v>15</v>
      </c>
      <c r="H166" s="809">
        <f>'UPAH BAHAN'!H118*1.1</f>
        <v>23760.000000000004</v>
      </c>
    </row>
    <row r="167" spans="2:9" x14ac:dyDescent="0.3">
      <c r="B167" s="806"/>
      <c r="C167" s="807" t="s">
        <v>704</v>
      </c>
      <c r="D167" s="808" t="s">
        <v>708</v>
      </c>
      <c r="E167" s="799"/>
      <c r="F167" s="799"/>
      <c r="G167" s="804" t="s">
        <v>15</v>
      </c>
      <c r="H167" s="809">
        <f>'UPAH BAHAN'!H119*1.1</f>
        <v>10670</v>
      </c>
    </row>
    <row r="168" spans="2:9" x14ac:dyDescent="0.3">
      <c r="B168" s="806"/>
      <c r="C168" s="807" t="s">
        <v>704</v>
      </c>
      <c r="D168" s="808" t="s">
        <v>709</v>
      </c>
      <c r="E168" s="799"/>
      <c r="F168" s="799"/>
      <c r="G168" s="804" t="s">
        <v>15</v>
      </c>
      <c r="H168" s="809">
        <f>'UPAH BAHAN'!H120*1.1</f>
        <v>7425.0000000000009</v>
      </c>
    </row>
    <row r="169" spans="2:9" x14ac:dyDescent="0.3">
      <c r="B169" s="806"/>
      <c r="C169" s="807" t="s">
        <v>704</v>
      </c>
      <c r="D169" s="808" t="s">
        <v>710</v>
      </c>
      <c r="E169" s="799"/>
      <c r="F169" s="799"/>
      <c r="G169" s="804" t="s">
        <v>15</v>
      </c>
      <c r="H169" s="809">
        <f>'UPAH BAHAN'!H121*1.1</f>
        <v>9350</v>
      </c>
    </row>
    <row r="170" spans="2:9" x14ac:dyDescent="0.3">
      <c r="B170" s="806"/>
      <c r="C170" s="807" t="s">
        <v>704</v>
      </c>
      <c r="D170" s="808" t="s">
        <v>711</v>
      </c>
      <c r="E170" s="799"/>
      <c r="F170" s="799"/>
      <c r="G170" s="804" t="s">
        <v>15</v>
      </c>
      <c r="H170" s="809">
        <f>'UPAH BAHAN'!H122*1.1</f>
        <v>10450</v>
      </c>
    </row>
    <row r="171" spans="2:9" x14ac:dyDescent="0.3">
      <c r="B171" s="806"/>
      <c r="C171" s="807" t="s">
        <v>704</v>
      </c>
      <c r="D171" s="808" t="s">
        <v>712</v>
      </c>
      <c r="E171" s="799"/>
      <c r="F171" s="799"/>
      <c r="G171" s="804" t="s">
        <v>15</v>
      </c>
      <c r="H171" s="809">
        <f>'UPAH BAHAN'!H123*1.1</f>
        <v>25300.000000000004</v>
      </c>
    </row>
    <row r="172" spans="2:9" x14ac:dyDescent="0.3">
      <c r="B172" s="806"/>
      <c r="C172" s="807" t="s">
        <v>704</v>
      </c>
      <c r="D172" s="808" t="s">
        <v>713</v>
      </c>
      <c r="E172" s="799"/>
      <c r="F172" s="799"/>
      <c r="G172" s="804" t="s">
        <v>15</v>
      </c>
      <c r="H172" s="809">
        <f>'UPAH BAHAN'!H124*1.1</f>
        <v>29700.000000000004</v>
      </c>
    </row>
    <row r="173" spans="2:9" x14ac:dyDescent="0.3">
      <c r="B173" s="806"/>
      <c r="C173" s="807" t="s">
        <v>704</v>
      </c>
      <c r="D173" s="808" t="s">
        <v>714</v>
      </c>
      <c r="E173" s="799"/>
      <c r="F173" s="799"/>
      <c r="G173" s="804" t="s">
        <v>15</v>
      </c>
      <c r="H173" s="809">
        <f>'UPAH BAHAN'!H125*1.1</f>
        <v>48180.000000000007</v>
      </c>
    </row>
    <row r="174" spans="2:9" x14ac:dyDescent="0.3">
      <c r="B174" s="806"/>
      <c r="C174" s="807" t="s">
        <v>704</v>
      </c>
      <c r="D174" s="808" t="s">
        <v>715</v>
      </c>
      <c r="E174" s="799"/>
      <c r="F174" s="799"/>
      <c r="G174" s="804" t="s">
        <v>15</v>
      </c>
      <c r="H174" s="809">
        <f>'UPAH BAHAN'!H126*1.1</f>
        <v>57750.000000000007</v>
      </c>
    </row>
    <row r="175" spans="2:9" x14ac:dyDescent="0.3">
      <c r="B175" s="806"/>
      <c r="C175" s="807" t="s">
        <v>704</v>
      </c>
      <c r="D175" s="808" t="s">
        <v>716</v>
      </c>
      <c r="E175" s="799"/>
      <c r="F175" s="799"/>
      <c r="G175" s="804" t="s">
        <v>15</v>
      </c>
      <c r="H175" s="809">
        <f>'UPAH BAHAN'!H127*1.1</f>
        <v>92400.000000000015</v>
      </c>
    </row>
    <row r="176" spans="2:9" x14ac:dyDescent="0.3">
      <c r="B176" s="806"/>
      <c r="C176" s="807" t="s">
        <v>704</v>
      </c>
      <c r="D176" s="808" t="s">
        <v>717</v>
      </c>
      <c r="E176" s="799"/>
      <c r="F176" s="799"/>
      <c r="G176" s="804" t="s">
        <v>15</v>
      </c>
      <c r="H176" s="809">
        <f>'UPAH BAHAN'!H128*1.1</f>
        <v>203500.00000000003</v>
      </c>
    </row>
    <row r="177" spans="2:8" x14ac:dyDescent="0.3">
      <c r="B177" s="802">
        <f>B159+1</f>
        <v>126</v>
      </c>
      <c r="C177" s="810" t="s">
        <v>85</v>
      </c>
      <c r="D177" s="602"/>
      <c r="E177" s="799"/>
      <c r="F177" s="799"/>
      <c r="G177" s="804"/>
      <c r="H177" s="805"/>
    </row>
    <row r="178" spans="2:8" x14ac:dyDescent="0.3">
      <c r="B178" s="806"/>
      <c r="C178" s="807" t="s">
        <v>704</v>
      </c>
      <c r="D178" s="808" t="str">
        <f>'UPAH BAHAN'!D130</f>
        <v>Dia. 3" x 2" (RRJ)</v>
      </c>
      <c r="E178" s="799"/>
      <c r="F178" s="799"/>
      <c r="G178" s="804" t="s">
        <v>86</v>
      </c>
      <c r="H178" s="809">
        <f>'UPAH BAHAN'!H130*1.15</f>
        <v>119622.99999999999</v>
      </c>
    </row>
    <row r="179" spans="2:8" x14ac:dyDescent="0.3">
      <c r="B179" s="806"/>
      <c r="C179" s="807" t="s">
        <v>704</v>
      </c>
      <c r="D179" s="808" t="str">
        <f>'UPAH BAHAN'!D131</f>
        <v>Dia. 2" x 1,5" (SCJ)</v>
      </c>
      <c r="E179" s="799"/>
      <c r="F179" s="811"/>
      <c r="G179" s="804" t="s">
        <v>86</v>
      </c>
      <c r="H179" s="809">
        <f>'UPAH BAHAN'!H131*1.15</f>
        <v>54429.499999999993</v>
      </c>
    </row>
    <row r="180" spans="2:8" x14ac:dyDescent="0.3">
      <c r="B180" s="806"/>
      <c r="C180" s="807" t="s">
        <v>704</v>
      </c>
      <c r="D180" s="808" t="str">
        <f>'UPAH BAHAN'!D132</f>
        <v>Dia. 2" x 1" (SCJ)</v>
      </c>
      <c r="E180" s="799"/>
      <c r="F180" s="811"/>
      <c r="G180" s="804" t="s">
        <v>86</v>
      </c>
      <c r="H180" s="809">
        <f>'UPAH BAHAN'!H132*1.15</f>
        <v>38157</v>
      </c>
    </row>
    <row r="181" spans="2:8" x14ac:dyDescent="0.3">
      <c r="B181" s="806"/>
      <c r="C181" s="807" t="s">
        <v>704</v>
      </c>
      <c r="D181" s="808" t="str">
        <f>'UPAH BAHAN'!D133</f>
        <v>Dia. 1,5" x 1" (SCJ)</v>
      </c>
      <c r="E181" s="799"/>
      <c r="F181" s="811"/>
      <c r="G181" s="804" t="s">
        <v>86</v>
      </c>
      <c r="H181" s="809">
        <f>'UPAH BAHAN'!H133*1.15</f>
        <v>20700</v>
      </c>
    </row>
    <row r="182" spans="2:8" x14ac:dyDescent="0.3">
      <c r="B182" s="806"/>
      <c r="C182" s="807" t="s">
        <v>704</v>
      </c>
      <c r="D182" s="808" t="str">
        <f>'UPAH BAHAN'!D134</f>
        <v>Dia. 1,5" x 1" AW</v>
      </c>
      <c r="E182" s="799"/>
      <c r="F182" s="811"/>
      <c r="G182" s="804" t="s">
        <v>86</v>
      </c>
      <c r="H182" s="809">
        <f>'UPAH BAHAN'!H134*1.15</f>
        <v>9487.5</v>
      </c>
    </row>
    <row r="183" spans="2:8" x14ac:dyDescent="0.3">
      <c r="B183" s="806"/>
      <c r="C183" s="807" t="s">
        <v>704</v>
      </c>
      <c r="D183" s="808" t="str">
        <f>'UPAH BAHAN'!D135</f>
        <v>Dia. 1" x 1/2"  AW</v>
      </c>
      <c r="E183" s="799"/>
      <c r="F183" s="811"/>
      <c r="G183" s="804" t="s">
        <v>86</v>
      </c>
      <c r="H183" s="809">
        <f>'UPAH BAHAN'!H135*1.15</f>
        <v>5175</v>
      </c>
    </row>
    <row r="184" spans="2:8" x14ac:dyDescent="0.3">
      <c r="B184" s="806">
        <f>B177+1</f>
        <v>127</v>
      </c>
      <c r="C184" s="601" t="s">
        <v>87</v>
      </c>
      <c r="D184" s="602"/>
      <c r="E184" s="799"/>
      <c r="F184" s="811"/>
      <c r="G184" s="804"/>
      <c r="H184" s="809"/>
    </row>
    <row r="185" spans="2:8" x14ac:dyDescent="0.3">
      <c r="B185" s="806"/>
      <c r="C185" s="807" t="s">
        <v>704</v>
      </c>
      <c r="D185" s="808" t="str">
        <f>'UPAH BAHAN'!D137</f>
        <v>Dia. 2" x 2"  (RRJ)</v>
      </c>
      <c r="E185" s="799"/>
      <c r="F185" s="811"/>
      <c r="G185" s="804" t="s">
        <v>86</v>
      </c>
      <c r="H185" s="809">
        <f>'UPAH BAHAN'!H137*1.15</f>
        <v>184885.5</v>
      </c>
    </row>
    <row r="186" spans="2:8" x14ac:dyDescent="0.3">
      <c r="B186" s="806"/>
      <c r="C186" s="807" t="s">
        <v>704</v>
      </c>
      <c r="D186" s="808" t="str">
        <f>'UPAH BAHAN'!D138</f>
        <v>Dia. 2" x 1,5"  (SCJ)</v>
      </c>
      <c r="E186" s="799"/>
      <c r="F186" s="811"/>
      <c r="G186" s="804" t="s">
        <v>86</v>
      </c>
      <c r="H186" s="809">
        <f>'UPAH BAHAN'!H138*1.15</f>
        <v>130536.49999999999</v>
      </c>
    </row>
    <row r="187" spans="2:8" x14ac:dyDescent="0.3">
      <c r="B187" s="806"/>
      <c r="C187" s="807" t="s">
        <v>704</v>
      </c>
      <c r="D187" s="808" t="str">
        <f>'UPAH BAHAN'!D139</f>
        <v>Dia. 2" x 1"  (SCJ)</v>
      </c>
      <c r="E187" s="799"/>
      <c r="F187" s="811"/>
      <c r="G187" s="804" t="s">
        <v>86</v>
      </c>
      <c r="H187" s="809">
        <f>'UPAH BAHAN'!H139*1.15</f>
        <v>163139</v>
      </c>
    </row>
    <row r="188" spans="2:8" x14ac:dyDescent="0.3">
      <c r="B188" s="806"/>
      <c r="C188" s="807" t="s">
        <v>704</v>
      </c>
      <c r="D188" s="808" t="str">
        <f>'UPAH BAHAN'!D140</f>
        <v>Dia. 1,5" x 1,5"  (SCJ)</v>
      </c>
      <c r="E188" s="799"/>
      <c r="F188" s="811"/>
      <c r="G188" s="804" t="s">
        <v>86</v>
      </c>
      <c r="H188" s="809">
        <f>'UPAH BAHAN'!H140*1.15</f>
        <v>33660.5</v>
      </c>
    </row>
    <row r="189" spans="2:8" x14ac:dyDescent="0.3">
      <c r="B189" s="806"/>
      <c r="C189" s="807" t="s">
        <v>704</v>
      </c>
      <c r="D189" s="808" t="str">
        <f>'UPAH BAHAN'!D141</f>
        <v>Dia. 1,5" x 1"  (SCJ)</v>
      </c>
      <c r="E189" s="799"/>
      <c r="F189" s="811"/>
      <c r="G189" s="804" t="s">
        <v>86</v>
      </c>
      <c r="H189" s="809">
        <f>'UPAH BAHAN'!H141*1.15</f>
        <v>31808.999999999996</v>
      </c>
    </row>
    <row r="190" spans="2:8" x14ac:dyDescent="0.3">
      <c r="B190" s="806"/>
      <c r="C190" s="807" t="s">
        <v>704</v>
      </c>
      <c r="D190" s="808" t="str">
        <f>'UPAH BAHAN'!D142</f>
        <v>Dia. 1" x 1"  (SCJ)</v>
      </c>
      <c r="E190" s="799"/>
      <c r="F190" s="811"/>
      <c r="G190" s="804" t="s">
        <v>86</v>
      </c>
      <c r="H190" s="809">
        <f>'UPAH BAHAN'!H142*1.15</f>
        <v>17721.5</v>
      </c>
    </row>
    <row r="191" spans="2:8" x14ac:dyDescent="0.3">
      <c r="B191" s="806"/>
      <c r="C191" s="807" t="s">
        <v>704</v>
      </c>
      <c r="D191" s="808" t="str">
        <f>'UPAH BAHAN'!D143</f>
        <v>Dia. 1,5" x 1"  (AW)</v>
      </c>
      <c r="E191" s="799"/>
      <c r="F191" s="799"/>
      <c r="G191" s="804" t="s">
        <v>86</v>
      </c>
      <c r="H191" s="809">
        <f>'UPAH BAHAN'!H143*1.15</f>
        <v>16675</v>
      </c>
    </row>
    <row r="192" spans="2:8" x14ac:dyDescent="0.3">
      <c r="B192" s="806"/>
      <c r="C192" s="807" t="s">
        <v>704</v>
      </c>
      <c r="D192" s="808" t="str">
        <f>'UPAH BAHAN'!D144</f>
        <v>Dia. 1" x 1"  (AW)</v>
      </c>
      <c r="E192" s="799"/>
      <c r="F192" s="799"/>
      <c r="G192" s="804" t="s">
        <v>86</v>
      </c>
      <c r="H192" s="809">
        <f>'UPAH BAHAN'!H144*1.15</f>
        <v>7934.9999999999991</v>
      </c>
    </row>
    <row r="193" spans="2:8" x14ac:dyDescent="0.3">
      <c r="B193" s="806"/>
      <c r="C193" s="807" t="s">
        <v>704</v>
      </c>
      <c r="D193" s="808" t="str">
        <f>'UPAH BAHAN'!D145</f>
        <v>Dia. 1" x 1/2"  (AW)</v>
      </c>
      <c r="E193" s="799"/>
      <c r="F193" s="799"/>
      <c r="G193" s="804" t="s">
        <v>86</v>
      </c>
      <c r="H193" s="809">
        <f>'UPAH BAHAN'!H145*1.15</f>
        <v>7244.9999999999991</v>
      </c>
    </row>
    <row r="194" spans="2:8" x14ac:dyDescent="0.3">
      <c r="B194" s="806">
        <f>B184+1</f>
        <v>128</v>
      </c>
      <c r="C194" s="601" t="s">
        <v>88</v>
      </c>
      <c r="D194" s="602"/>
      <c r="E194" s="799"/>
      <c r="F194" s="799"/>
      <c r="G194" s="804"/>
      <c r="H194" s="809"/>
    </row>
    <row r="195" spans="2:8" x14ac:dyDescent="0.3">
      <c r="B195" s="806"/>
      <c r="C195" s="807" t="s">
        <v>704</v>
      </c>
      <c r="D195" s="808" t="s">
        <v>728</v>
      </c>
      <c r="E195" s="799"/>
      <c r="F195" s="799"/>
      <c r="G195" s="804" t="s">
        <v>86</v>
      </c>
      <c r="H195" s="809">
        <f>'UPAH BAHAN'!H147*1.15</f>
        <v>119622.99999999999</v>
      </c>
    </row>
    <row r="196" spans="2:8" x14ac:dyDescent="0.3">
      <c r="B196" s="806"/>
      <c r="C196" s="807" t="s">
        <v>704</v>
      </c>
      <c r="D196" s="808" t="s">
        <v>729</v>
      </c>
      <c r="E196" s="799"/>
      <c r="F196" s="811"/>
      <c r="G196" s="804" t="s">
        <v>86</v>
      </c>
      <c r="H196" s="809">
        <f>'UPAH BAHAN'!H148*1.15</f>
        <v>87020.5</v>
      </c>
    </row>
    <row r="197" spans="2:8" x14ac:dyDescent="0.3">
      <c r="B197" s="806"/>
      <c r="C197" s="807" t="s">
        <v>704</v>
      </c>
      <c r="D197" s="808" t="s">
        <v>730</v>
      </c>
      <c r="E197" s="799"/>
      <c r="F197" s="811"/>
      <c r="G197" s="804" t="s">
        <v>86</v>
      </c>
      <c r="H197" s="809">
        <f>'UPAH BAHAN'!H149*1.15</f>
        <v>32671.499999999996</v>
      </c>
    </row>
    <row r="198" spans="2:8" x14ac:dyDescent="0.3">
      <c r="B198" s="806"/>
      <c r="C198" s="807" t="s">
        <v>704</v>
      </c>
      <c r="D198" s="808" t="s">
        <v>731</v>
      </c>
      <c r="E198" s="799"/>
      <c r="F198" s="811"/>
      <c r="G198" s="804" t="s">
        <v>86</v>
      </c>
      <c r="H198" s="809">
        <f>'UPAH BAHAN'!H150*1.15</f>
        <v>31613.499999999996</v>
      </c>
    </row>
    <row r="199" spans="2:8" x14ac:dyDescent="0.3">
      <c r="B199" s="806"/>
      <c r="C199" s="807" t="s">
        <v>704</v>
      </c>
      <c r="D199" s="808" t="s">
        <v>732</v>
      </c>
      <c r="E199" s="799"/>
      <c r="F199" s="811"/>
      <c r="G199" s="804" t="s">
        <v>86</v>
      </c>
      <c r="H199" s="809">
        <f>'UPAH BAHAN'!H151*1.15</f>
        <v>21758</v>
      </c>
    </row>
    <row r="200" spans="2:8" x14ac:dyDescent="0.3">
      <c r="B200" s="806"/>
      <c r="C200" s="807" t="s">
        <v>704</v>
      </c>
      <c r="D200" s="808" t="s">
        <v>733</v>
      </c>
      <c r="E200" s="799"/>
      <c r="F200" s="811"/>
      <c r="G200" s="804" t="s">
        <v>86</v>
      </c>
      <c r="H200" s="809">
        <f>'UPAH BAHAN'!H152*1.15</f>
        <v>20700</v>
      </c>
    </row>
    <row r="201" spans="2:8" x14ac:dyDescent="0.3">
      <c r="B201" s="806"/>
      <c r="C201" s="807" t="s">
        <v>704</v>
      </c>
      <c r="D201" s="808" t="s">
        <v>734</v>
      </c>
      <c r="E201" s="799"/>
      <c r="F201" s="811"/>
      <c r="G201" s="804" t="s">
        <v>86</v>
      </c>
      <c r="H201" s="809">
        <f>'UPAH BAHAN'!H153*1.15</f>
        <v>10913.5</v>
      </c>
    </row>
    <row r="202" spans="2:8" x14ac:dyDescent="0.3">
      <c r="B202" s="806">
        <f>B194+1</f>
        <v>129</v>
      </c>
      <c r="C202" s="601" t="s">
        <v>88</v>
      </c>
      <c r="D202" s="602"/>
      <c r="E202" s="799"/>
      <c r="F202" s="811"/>
      <c r="G202" s="804"/>
      <c r="H202" s="809"/>
    </row>
    <row r="203" spans="2:8" x14ac:dyDescent="0.3">
      <c r="B203" s="806"/>
      <c r="C203" s="807" t="s">
        <v>704</v>
      </c>
      <c r="D203" s="808" t="str">
        <f>'UPAH BAHAN'!D155</f>
        <v>Dia. 4" x 900 (AW)</v>
      </c>
      <c r="E203" s="799"/>
      <c r="F203" s="811"/>
      <c r="G203" s="804" t="s">
        <v>86</v>
      </c>
      <c r="H203" s="809">
        <f>'UPAH BAHAN'!H155*1.15</f>
        <v>66700</v>
      </c>
    </row>
    <row r="204" spans="2:8" x14ac:dyDescent="0.3">
      <c r="B204" s="806"/>
      <c r="C204" s="807" t="s">
        <v>704</v>
      </c>
      <c r="D204" s="808" t="str">
        <f>'UPAH BAHAN'!D156</f>
        <v>Dia. 3" x 900 (AW)</v>
      </c>
      <c r="E204" s="799"/>
      <c r="F204" s="811"/>
      <c r="G204" s="804" t="s">
        <v>86</v>
      </c>
      <c r="H204" s="809">
        <f>'UPAH BAHAN'!H156*1.15</f>
        <v>35880</v>
      </c>
    </row>
    <row r="205" spans="2:8" x14ac:dyDescent="0.3">
      <c r="B205" s="806"/>
      <c r="C205" s="807" t="s">
        <v>704</v>
      </c>
      <c r="D205" s="808" t="str">
        <f>'UPAH BAHAN'!D157</f>
        <v>Dia. 2" x 900 (AW)</v>
      </c>
      <c r="E205" s="799"/>
      <c r="F205" s="811"/>
      <c r="G205" s="804" t="s">
        <v>86</v>
      </c>
      <c r="H205" s="809">
        <f>'UPAH BAHAN'!H157*1.15</f>
        <v>13569.999999999998</v>
      </c>
    </row>
    <row r="206" spans="2:8" x14ac:dyDescent="0.3">
      <c r="B206" s="806"/>
      <c r="C206" s="807" t="s">
        <v>704</v>
      </c>
      <c r="D206" s="808" t="str">
        <f>'UPAH BAHAN'!D158</f>
        <v>Dia. 1,5" x 900 (AW)</v>
      </c>
      <c r="E206" s="799"/>
      <c r="F206" s="811"/>
      <c r="G206" s="804" t="s">
        <v>86</v>
      </c>
      <c r="H206" s="809">
        <f>'UPAH BAHAN'!H158*1.15</f>
        <v>9200</v>
      </c>
    </row>
    <row r="207" spans="2:8" x14ac:dyDescent="0.3">
      <c r="B207" s="806"/>
      <c r="C207" s="807" t="s">
        <v>704</v>
      </c>
      <c r="D207" s="808" t="str">
        <f>'UPAH BAHAN'!D159</f>
        <v>Dia. 1" x 900 (AW)</v>
      </c>
      <c r="E207" s="799"/>
      <c r="F207" s="811"/>
      <c r="G207" s="804" t="s">
        <v>86</v>
      </c>
      <c r="H207" s="809">
        <f>'UPAH BAHAN'!H159*1.15</f>
        <v>5405</v>
      </c>
    </row>
    <row r="208" spans="2:8" x14ac:dyDescent="0.3">
      <c r="B208" s="806"/>
      <c r="C208" s="807" t="s">
        <v>704</v>
      </c>
      <c r="D208" s="808" t="str">
        <f>'UPAH BAHAN'!D160</f>
        <v>Dia. 1/2" x 900 (AW)</v>
      </c>
      <c r="E208" s="799"/>
      <c r="F208" s="811"/>
      <c r="G208" s="804" t="s">
        <v>86</v>
      </c>
      <c r="H208" s="809">
        <f>'UPAH BAHAN'!H160*1.15</f>
        <v>2875</v>
      </c>
    </row>
    <row r="209" spans="2:8" x14ac:dyDescent="0.3">
      <c r="B209" s="806">
        <f>B202+1</f>
        <v>130</v>
      </c>
      <c r="C209" s="793" t="str">
        <f>'UPAH BAHAN'!C161</f>
        <v xml:space="preserve">Bend GI dia. 3" x 45° </v>
      </c>
      <c r="D209" s="602"/>
      <c r="E209" s="799"/>
      <c r="F209" s="811"/>
      <c r="G209" s="804" t="s">
        <v>86</v>
      </c>
      <c r="H209" s="809">
        <f>'UPAH BAHAN'!H161*1.15</f>
        <v>281750</v>
      </c>
    </row>
    <row r="210" spans="2:8" x14ac:dyDescent="0.3">
      <c r="B210" s="806">
        <f>B209+1</f>
        <v>131</v>
      </c>
      <c r="C210" s="793" t="s">
        <v>89</v>
      </c>
      <c r="D210" s="602"/>
      <c r="E210" s="799"/>
      <c r="F210" s="811"/>
      <c r="G210" s="804"/>
      <c r="H210" s="809"/>
    </row>
    <row r="211" spans="2:8" x14ac:dyDescent="0.3">
      <c r="B211" s="806"/>
      <c r="C211" s="807" t="s">
        <v>704</v>
      </c>
      <c r="D211" s="808" t="s">
        <v>735</v>
      </c>
      <c r="E211" s="799"/>
      <c r="F211" s="811"/>
      <c r="G211" s="804" t="s">
        <v>86</v>
      </c>
      <c r="H211" s="809">
        <f>'UPAH BAHAN'!H163*1.15</f>
        <v>3794999.9999999995</v>
      </c>
    </row>
    <row r="212" spans="2:8" x14ac:dyDescent="0.3">
      <c r="B212" s="806"/>
      <c r="C212" s="807" t="s">
        <v>704</v>
      </c>
      <c r="D212" s="808" t="s">
        <v>736</v>
      </c>
      <c r="E212" s="799"/>
      <c r="F212" s="811"/>
      <c r="G212" s="804" t="s">
        <v>86</v>
      </c>
      <c r="H212" s="809">
        <f>'UPAH BAHAN'!H164*1.15</f>
        <v>2737000</v>
      </c>
    </row>
    <row r="213" spans="2:8" x14ac:dyDescent="0.3">
      <c r="B213" s="1034">
        <f>B210+1</f>
        <v>132</v>
      </c>
      <c r="C213" s="1035" t="s">
        <v>90</v>
      </c>
      <c r="D213" s="1036"/>
      <c r="E213" s="1037"/>
      <c r="F213" s="1038"/>
      <c r="G213" s="1039" t="s">
        <v>86</v>
      </c>
      <c r="H213" s="1040">
        <f>'UPAH BAHAN'!H165*1.15</f>
        <v>3449999.9999999995</v>
      </c>
    </row>
    <row r="214" spans="2:8" x14ac:dyDescent="0.3">
      <c r="B214" s="1041">
        <f>B213+1</f>
        <v>133</v>
      </c>
      <c r="C214" s="1011" t="s">
        <v>92</v>
      </c>
      <c r="D214" s="1042"/>
      <c r="E214" s="1043"/>
      <c r="F214" s="1044"/>
      <c r="G214" s="1045"/>
      <c r="H214" s="1046"/>
    </row>
    <row r="215" spans="2:8" x14ac:dyDescent="0.3">
      <c r="B215" s="1047"/>
      <c r="C215" s="1048" t="s">
        <v>704</v>
      </c>
      <c r="D215" s="1049" t="s">
        <v>735</v>
      </c>
      <c r="E215" s="1050"/>
      <c r="F215" s="1051"/>
      <c r="G215" s="1052" t="s">
        <v>86</v>
      </c>
      <c r="H215" s="1053">
        <f>'UPAH BAHAN'!H167*1.15</f>
        <v>761230.99999999988</v>
      </c>
    </row>
    <row r="216" spans="2:8" x14ac:dyDescent="0.3">
      <c r="B216" s="806"/>
      <c r="C216" s="807" t="s">
        <v>704</v>
      </c>
      <c r="D216" s="808" t="s">
        <v>736</v>
      </c>
      <c r="E216" s="799"/>
      <c r="F216" s="811"/>
      <c r="G216" s="804" t="s">
        <v>86</v>
      </c>
      <c r="H216" s="809">
        <f>'UPAH BAHAN'!H168*1.15</f>
        <v>489393.99999999994</v>
      </c>
    </row>
    <row r="217" spans="2:8" x14ac:dyDescent="0.3">
      <c r="B217" s="806">
        <f>B214+1</f>
        <v>134</v>
      </c>
      <c r="C217" s="601" t="s">
        <v>93</v>
      </c>
      <c r="D217" s="602"/>
      <c r="E217" s="799"/>
      <c r="F217" s="811"/>
      <c r="G217" s="804"/>
      <c r="H217" s="809"/>
    </row>
    <row r="218" spans="2:8" x14ac:dyDescent="0.3">
      <c r="B218" s="806"/>
      <c r="C218" s="807" t="s">
        <v>704</v>
      </c>
      <c r="D218" s="808" t="s">
        <v>735</v>
      </c>
      <c r="E218" s="799"/>
      <c r="F218" s="811"/>
      <c r="G218" s="804" t="s">
        <v>86</v>
      </c>
      <c r="H218" s="809">
        <f>'UPAH BAHAN'!H170*1.15</f>
        <v>1954999.9999999998</v>
      </c>
    </row>
    <row r="219" spans="2:8" x14ac:dyDescent="0.3">
      <c r="B219" s="806"/>
      <c r="C219" s="807" t="s">
        <v>704</v>
      </c>
      <c r="D219" s="808" t="s">
        <v>736</v>
      </c>
      <c r="E219" s="799"/>
      <c r="F219" s="811"/>
      <c r="G219" s="804" t="s">
        <v>86</v>
      </c>
      <c r="H219" s="809">
        <f>'UPAH BAHAN'!H171*1.15</f>
        <v>718750</v>
      </c>
    </row>
    <row r="220" spans="2:8" x14ac:dyDescent="0.3">
      <c r="B220" s="806"/>
      <c r="C220" s="807" t="s">
        <v>704</v>
      </c>
      <c r="D220" s="808" t="s">
        <v>737</v>
      </c>
      <c r="E220" s="799"/>
      <c r="F220" s="811"/>
      <c r="G220" s="804" t="s">
        <v>86</v>
      </c>
      <c r="H220" s="809">
        <f>'UPAH BAHAN'!H172*1.15</f>
        <v>419749.99999999994</v>
      </c>
    </row>
    <row r="221" spans="2:8" x14ac:dyDescent="0.3">
      <c r="B221" s="806"/>
      <c r="C221" s="807" t="s">
        <v>704</v>
      </c>
      <c r="D221" s="808" t="s">
        <v>738</v>
      </c>
      <c r="E221" s="799"/>
      <c r="F221" s="811"/>
      <c r="G221" s="804" t="s">
        <v>86</v>
      </c>
      <c r="H221" s="809">
        <f>'UPAH BAHAN'!H173*1.15</f>
        <v>206999.99999999997</v>
      </c>
    </row>
    <row r="222" spans="2:8" x14ac:dyDescent="0.3">
      <c r="B222" s="806"/>
      <c r="C222" s="807" t="s">
        <v>704</v>
      </c>
      <c r="D222" s="808" t="s">
        <v>739</v>
      </c>
      <c r="E222" s="799"/>
      <c r="F222" s="811"/>
      <c r="G222" s="804" t="s">
        <v>86</v>
      </c>
      <c r="H222" s="809">
        <f>'UPAH BAHAN'!H174*1.15</f>
        <v>101199.99999999999</v>
      </c>
    </row>
    <row r="223" spans="2:8" x14ac:dyDescent="0.3">
      <c r="B223" s="806"/>
      <c r="C223" s="807" t="s">
        <v>704</v>
      </c>
      <c r="D223" s="808" t="s">
        <v>740</v>
      </c>
      <c r="E223" s="799"/>
      <c r="F223" s="811"/>
      <c r="G223" s="804" t="s">
        <v>86</v>
      </c>
      <c r="H223" s="809">
        <f>'UPAH BAHAN'!H175*1.15</f>
        <v>64169.999999999993</v>
      </c>
    </row>
    <row r="224" spans="2:8" x14ac:dyDescent="0.3">
      <c r="B224" s="806">
        <f>B217+1</f>
        <v>135</v>
      </c>
      <c r="C224" s="601" t="s">
        <v>94</v>
      </c>
      <c r="D224" s="602"/>
      <c r="E224" s="799"/>
      <c r="F224" s="811"/>
      <c r="G224" s="804"/>
      <c r="H224" s="809"/>
    </row>
    <row r="225" spans="2:8" x14ac:dyDescent="0.3">
      <c r="B225" s="806"/>
      <c r="C225" s="807" t="s">
        <v>704</v>
      </c>
      <c r="D225" s="808" t="str">
        <f>'UPAH BAHAN'!D177</f>
        <v>Dia. 3" (SCJ)</v>
      </c>
      <c r="E225" s="799"/>
      <c r="F225" s="811"/>
      <c r="G225" s="804" t="s">
        <v>86</v>
      </c>
      <c r="H225" s="809">
        <f>'UPAH BAHAN'!H177*1.15</f>
        <v>85732.5</v>
      </c>
    </row>
    <row r="226" spans="2:8" x14ac:dyDescent="0.3">
      <c r="B226" s="806"/>
      <c r="C226" s="807" t="s">
        <v>704</v>
      </c>
      <c r="D226" s="808" t="str">
        <f>'UPAH BAHAN'!D178</f>
        <v>Dia. 2" (SCJ)</v>
      </c>
      <c r="E226" s="799"/>
      <c r="F226" s="811"/>
      <c r="G226" s="804" t="s">
        <v>86</v>
      </c>
      <c r="H226" s="809">
        <f>'UPAH BAHAN'!H178*1.15</f>
        <v>80500</v>
      </c>
    </row>
    <row r="227" spans="2:8" x14ac:dyDescent="0.3">
      <c r="B227" s="806"/>
      <c r="C227" s="807" t="s">
        <v>704</v>
      </c>
      <c r="D227" s="808" t="str">
        <f>'UPAH BAHAN'!D179</f>
        <v>Dia. 1,5"  (SCJ)</v>
      </c>
      <c r="E227" s="799"/>
      <c r="F227" s="811"/>
      <c r="G227" s="804" t="s">
        <v>86</v>
      </c>
      <c r="H227" s="809">
        <f>'UPAH BAHAN'!H179*1.15</f>
        <v>36627.5</v>
      </c>
    </row>
    <row r="228" spans="2:8" x14ac:dyDescent="0.3">
      <c r="B228" s="806"/>
      <c r="C228" s="807" t="s">
        <v>704</v>
      </c>
      <c r="D228" s="808" t="str">
        <f>'UPAH BAHAN'!D180</f>
        <v>Dia. 1"  (SCJ)</v>
      </c>
      <c r="E228" s="799"/>
      <c r="F228" s="811"/>
      <c r="G228" s="804" t="s">
        <v>86</v>
      </c>
      <c r="H228" s="809">
        <f>'UPAH BAHAN'!H180*1.15</f>
        <v>24034.999999999996</v>
      </c>
    </row>
    <row r="229" spans="2:8" x14ac:dyDescent="0.3">
      <c r="B229" s="806"/>
      <c r="C229" s="807" t="s">
        <v>704</v>
      </c>
      <c r="D229" s="808" t="str">
        <f>'UPAH BAHAN'!D181</f>
        <v>Dia. 1"  (SDD) AW</v>
      </c>
      <c r="E229" s="799"/>
      <c r="F229" s="811"/>
      <c r="G229" s="804" t="s">
        <v>86</v>
      </c>
      <c r="H229" s="809">
        <f>'UPAH BAHAN'!H181*1.15</f>
        <v>4830</v>
      </c>
    </row>
    <row r="230" spans="2:8" x14ac:dyDescent="0.3">
      <c r="B230" s="806"/>
      <c r="C230" s="807" t="s">
        <v>704</v>
      </c>
      <c r="D230" s="808" t="str">
        <f>'UPAH BAHAN'!D182</f>
        <v>Dia. 3/4"  (SDD) AW</v>
      </c>
      <c r="E230" s="799"/>
      <c r="F230" s="811"/>
      <c r="G230" s="804" t="s">
        <v>86</v>
      </c>
      <c r="H230" s="809">
        <f>'UPAH BAHAN'!H182*1.15</f>
        <v>4600</v>
      </c>
    </row>
    <row r="231" spans="2:8" x14ac:dyDescent="0.3">
      <c r="B231" s="806"/>
      <c r="C231" s="807" t="s">
        <v>704</v>
      </c>
      <c r="D231" s="808" t="str">
        <f>'UPAH BAHAN'!D183</f>
        <v>Dia. 1/2"  (SDD) AW</v>
      </c>
      <c r="E231" s="799"/>
      <c r="F231" s="811"/>
      <c r="G231" s="804" t="s">
        <v>86</v>
      </c>
      <c r="H231" s="809">
        <f>'UPAH BAHAN'!H183*1.15</f>
        <v>3449.9999999999995</v>
      </c>
    </row>
    <row r="232" spans="2:8" x14ac:dyDescent="0.3">
      <c r="B232" s="806"/>
      <c r="C232" s="807" t="s">
        <v>704</v>
      </c>
      <c r="D232" s="808" t="str">
        <f>'UPAH BAHAN'!D184</f>
        <v>Dia. 1,5"  (SDL) AW</v>
      </c>
      <c r="E232" s="799"/>
      <c r="F232" s="811"/>
      <c r="G232" s="804" t="s">
        <v>86</v>
      </c>
      <c r="H232" s="809">
        <f>'UPAH BAHAN'!H184*1.15</f>
        <v>4904.75</v>
      </c>
    </row>
    <row r="233" spans="2:8" x14ac:dyDescent="0.3">
      <c r="B233" s="806"/>
      <c r="C233" s="807" t="s">
        <v>704</v>
      </c>
      <c r="D233" s="808" t="str">
        <f>'UPAH BAHAN'!D185</f>
        <v>Dia. 1"  (SDL) AW</v>
      </c>
      <c r="E233" s="799"/>
      <c r="F233" s="811"/>
      <c r="G233" s="804" t="s">
        <v>86</v>
      </c>
      <c r="H233" s="809">
        <f>'UPAH BAHAN'!H185*1.15</f>
        <v>4830</v>
      </c>
    </row>
    <row r="234" spans="2:8" x14ac:dyDescent="0.3">
      <c r="B234" s="806"/>
      <c r="C234" s="807" t="s">
        <v>704</v>
      </c>
      <c r="D234" s="808" t="str">
        <f>'UPAH BAHAN'!D186</f>
        <v>Dia. 3/4"  (SDL) AW</v>
      </c>
      <c r="E234" s="799"/>
      <c r="F234" s="811"/>
      <c r="G234" s="804" t="s">
        <v>86</v>
      </c>
      <c r="H234" s="809">
        <f>'UPAH BAHAN'!H186*1.15</f>
        <v>4600</v>
      </c>
    </row>
    <row r="235" spans="2:8" x14ac:dyDescent="0.3">
      <c r="B235" s="806"/>
      <c r="C235" s="807" t="s">
        <v>704</v>
      </c>
      <c r="D235" s="808" t="str">
        <f>'UPAH BAHAN'!D187</f>
        <v>Dia. 1/2"  (SDL) AW</v>
      </c>
      <c r="E235" s="799"/>
      <c r="F235" s="811"/>
      <c r="G235" s="804" t="s">
        <v>86</v>
      </c>
      <c r="H235" s="809">
        <f>'UPAH BAHAN'!H187*1.15</f>
        <v>3449.9999999999995</v>
      </c>
    </row>
    <row r="236" spans="2:8" x14ac:dyDescent="0.3">
      <c r="B236" s="806">
        <f>B224+1</f>
        <v>136</v>
      </c>
      <c r="C236" s="601" t="s">
        <v>95</v>
      </c>
      <c r="D236" s="602"/>
      <c r="E236" s="799"/>
      <c r="F236" s="811"/>
      <c r="G236" s="804"/>
      <c r="H236" s="809"/>
    </row>
    <row r="237" spans="2:8" x14ac:dyDescent="0.3">
      <c r="B237" s="806"/>
      <c r="C237" s="812" t="s">
        <v>704</v>
      </c>
      <c r="D237" s="808" t="s">
        <v>743</v>
      </c>
      <c r="E237" s="799"/>
      <c r="F237" s="811"/>
      <c r="G237" s="804" t="s">
        <v>86</v>
      </c>
      <c r="H237" s="809">
        <f>'UPAH BAHAN'!H189*1.15</f>
        <v>19239.5</v>
      </c>
    </row>
    <row r="238" spans="2:8" x14ac:dyDescent="0.3">
      <c r="B238" s="806"/>
      <c r="C238" s="812" t="s">
        <v>704</v>
      </c>
      <c r="D238" s="808" t="s">
        <v>744</v>
      </c>
      <c r="E238" s="799"/>
      <c r="F238" s="811"/>
      <c r="G238" s="804" t="s">
        <v>86</v>
      </c>
      <c r="H238" s="809">
        <f>'UPAH BAHAN'!H190*1.15</f>
        <v>16099.999999999998</v>
      </c>
    </row>
    <row r="239" spans="2:8" x14ac:dyDescent="0.3">
      <c r="B239" s="806"/>
      <c r="C239" s="812" t="s">
        <v>704</v>
      </c>
      <c r="D239" s="808" t="str">
        <f>'UPAH BAHAN'!D191</f>
        <v>Dia. 6" (AW)</v>
      </c>
      <c r="E239" s="799"/>
      <c r="F239" s="811"/>
      <c r="G239" s="804" t="s">
        <v>86</v>
      </c>
      <c r="H239" s="809">
        <f>'UPAH BAHAN'!H191*1.15</f>
        <v>31394.999999999996</v>
      </c>
    </row>
    <row r="240" spans="2:8" x14ac:dyDescent="0.3">
      <c r="B240" s="806"/>
      <c r="C240" s="812" t="s">
        <v>704</v>
      </c>
      <c r="D240" s="808" t="str">
        <f>'UPAH BAHAN'!D192</f>
        <v>Dia. 4" (AW)</v>
      </c>
      <c r="E240" s="799"/>
      <c r="F240" s="811"/>
      <c r="G240" s="804" t="s">
        <v>86</v>
      </c>
      <c r="H240" s="809">
        <f>'UPAH BAHAN'!H192*1.15</f>
        <v>26219.999999999996</v>
      </c>
    </row>
    <row r="241" spans="2:8" x14ac:dyDescent="0.3">
      <c r="B241" s="806"/>
      <c r="C241" s="812" t="s">
        <v>704</v>
      </c>
      <c r="D241" s="808" t="str">
        <f>'UPAH BAHAN'!D193</f>
        <v>Dia. 1" (AW)</v>
      </c>
      <c r="E241" s="799"/>
      <c r="F241" s="811"/>
      <c r="G241" s="804" t="s">
        <v>86</v>
      </c>
      <c r="H241" s="809">
        <f>'UPAH BAHAN'!H193*1.15</f>
        <v>1724.9999999999998</v>
      </c>
    </row>
    <row r="242" spans="2:8" x14ac:dyDescent="0.3">
      <c r="B242" s="806"/>
      <c r="C242" s="812" t="s">
        <v>704</v>
      </c>
      <c r="D242" s="808" t="str">
        <f>'UPAH BAHAN'!D194</f>
        <v>Dia. 1/2" (AW)</v>
      </c>
      <c r="E242" s="799"/>
      <c r="F242" s="811"/>
      <c r="G242" s="804" t="s">
        <v>86</v>
      </c>
      <c r="H242" s="809">
        <f>'UPAH BAHAN'!H194*1.15</f>
        <v>1150</v>
      </c>
    </row>
    <row r="243" spans="2:8" x14ac:dyDescent="0.3">
      <c r="B243" s="806">
        <f>B236+1</f>
        <v>137</v>
      </c>
      <c r="C243" s="601" t="s">
        <v>96</v>
      </c>
      <c r="D243" s="602"/>
      <c r="E243" s="799"/>
      <c r="F243" s="811"/>
      <c r="G243" s="804"/>
      <c r="H243" s="809"/>
    </row>
    <row r="244" spans="2:8" x14ac:dyDescent="0.3">
      <c r="B244" s="806"/>
      <c r="C244" s="812" t="s">
        <v>704</v>
      </c>
      <c r="D244" s="808" t="s">
        <v>745</v>
      </c>
      <c r="E244" s="799"/>
      <c r="F244" s="811"/>
      <c r="G244" s="804" t="s">
        <v>86</v>
      </c>
      <c r="H244" s="809">
        <f>'UPAH BAHAN'!H196*1.15</f>
        <v>69000</v>
      </c>
    </row>
    <row r="245" spans="2:8" x14ac:dyDescent="0.3">
      <c r="B245" s="806"/>
      <c r="C245" s="812" t="s">
        <v>704</v>
      </c>
      <c r="D245" s="808" t="s">
        <v>746</v>
      </c>
      <c r="E245" s="799"/>
      <c r="F245" s="811"/>
      <c r="G245" s="804" t="s">
        <v>86</v>
      </c>
      <c r="H245" s="809">
        <f>'UPAH BAHAN'!H197*1.15</f>
        <v>57499.999999999993</v>
      </c>
    </row>
    <row r="246" spans="2:8" x14ac:dyDescent="0.3">
      <c r="B246" s="806">
        <f>B243+1</f>
        <v>138</v>
      </c>
      <c r="C246" s="601" t="str">
        <f>'UPAH BAHAN'!C198</f>
        <v>Street Box</v>
      </c>
      <c r="D246" s="602"/>
      <c r="E246" s="799"/>
      <c r="F246" s="811"/>
      <c r="G246" s="804" t="s">
        <v>86</v>
      </c>
      <c r="H246" s="809">
        <f>'UPAH BAHAN'!H198*1.15</f>
        <v>143750</v>
      </c>
    </row>
    <row r="247" spans="2:8" x14ac:dyDescent="0.3">
      <c r="B247" s="806">
        <f>B246+1</f>
        <v>139</v>
      </c>
      <c r="C247" s="601" t="str">
        <f>'UPAH BAHAN'!C199</f>
        <v>Bend GI flange ganda dia. 3" x 900</v>
      </c>
      <c r="D247" s="602"/>
      <c r="E247" s="799"/>
      <c r="F247" s="811"/>
      <c r="G247" s="804" t="s">
        <v>86</v>
      </c>
      <c r="H247" s="809">
        <f>'UPAH BAHAN'!H199*1.15</f>
        <v>470349.99999999994</v>
      </c>
    </row>
    <row r="248" spans="2:8" x14ac:dyDescent="0.3">
      <c r="B248" s="806">
        <f t="shared" ref="B248:B251" si="3">B247+1</f>
        <v>140</v>
      </c>
      <c r="C248" s="601" t="str">
        <f>'UPAH BAHAN'!C200</f>
        <v>Lem PVC  ( 0,5 kg/kaleng )</v>
      </c>
      <c r="D248" s="602"/>
      <c r="E248" s="799"/>
      <c r="F248" s="811"/>
      <c r="G248" s="813" t="s">
        <v>100</v>
      </c>
      <c r="H248" s="809">
        <f>'UPAH BAHAN'!H200*1.15</f>
        <v>63249.999999999993</v>
      </c>
    </row>
    <row r="249" spans="2:8" x14ac:dyDescent="0.3">
      <c r="B249" s="806">
        <f t="shared" si="3"/>
        <v>141</v>
      </c>
      <c r="C249" s="601" t="str">
        <f>'UPAH BAHAN'!C201</f>
        <v>Lem PVC  ( tube )</v>
      </c>
      <c r="D249" s="602"/>
      <c r="E249" s="799"/>
      <c r="F249" s="811"/>
      <c r="G249" s="813" t="s">
        <v>100</v>
      </c>
      <c r="H249" s="809">
        <f>'UPAH BAHAN'!H201*1.15</f>
        <v>13799.999999999998</v>
      </c>
    </row>
    <row r="250" spans="2:8" x14ac:dyDescent="0.3">
      <c r="B250" s="806">
        <f t="shared" si="3"/>
        <v>142</v>
      </c>
      <c r="C250" s="601" t="str">
        <f>'UPAH BAHAN'!C202</f>
        <v>Pipa GI dia. 1/2"  Klass Medium</v>
      </c>
      <c r="D250" s="602"/>
      <c r="E250" s="814"/>
      <c r="F250" s="609"/>
      <c r="G250" s="815" t="s">
        <v>15</v>
      </c>
      <c r="H250" s="816">
        <f>'UPAH BAHAN'!H202*1.15</f>
        <v>54509.999999999993</v>
      </c>
    </row>
    <row r="251" spans="2:8" x14ac:dyDescent="0.3">
      <c r="B251" s="806">
        <f t="shared" si="3"/>
        <v>143</v>
      </c>
      <c r="C251" s="601" t="str">
        <f>'UPAH BAHAN'!C203</f>
        <v>Pipa GI dia. 1"  Klass Medium</v>
      </c>
      <c r="D251" s="602"/>
      <c r="E251" s="814"/>
      <c r="F251" s="609"/>
      <c r="G251" s="815" t="s">
        <v>15</v>
      </c>
      <c r="H251" s="809">
        <f>'UPAH BAHAN'!H203*1.15</f>
        <v>72450</v>
      </c>
    </row>
    <row r="252" spans="2:8" x14ac:dyDescent="0.3">
      <c r="B252" s="806">
        <f t="shared" ref="B252:B285" si="4">B251+1</f>
        <v>144</v>
      </c>
      <c r="C252" s="601" t="str">
        <f>'UPAH BAHAN'!C204</f>
        <v>Pipa GI dia. 1,5"  Klass Medium</v>
      </c>
      <c r="D252" s="602"/>
      <c r="E252" s="814"/>
      <c r="F252" s="609"/>
      <c r="G252" s="815" t="s">
        <v>15</v>
      </c>
      <c r="H252" s="809">
        <f>'UPAH BAHAN'!H204*1.15</f>
        <v>89171</v>
      </c>
    </row>
    <row r="253" spans="2:8" x14ac:dyDescent="0.3">
      <c r="B253" s="806">
        <f t="shared" si="4"/>
        <v>145</v>
      </c>
      <c r="C253" s="601" t="str">
        <f>'UPAH BAHAN'!C205</f>
        <v>Pipa GI dia. 2"  Klass Medium</v>
      </c>
      <c r="D253" s="602"/>
      <c r="E253" s="814"/>
      <c r="F253" s="609"/>
      <c r="G253" s="815" t="s">
        <v>15</v>
      </c>
      <c r="H253" s="809">
        <f>'UPAH BAHAN'!H205*1.15</f>
        <v>116954.99999999999</v>
      </c>
    </row>
    <row r="254" spans="2:8" ht="12.6" customHeight="1" x14ac:dyDescent="0.3">
      <c r="B254" s="806">
        <f t="shared" si="4"/>
        <v>146</v>
      </c>
      <c r="C254" s="601" t="str">
        <f>'UPAH BAHAN'!C206</f>
        <v>Pipa GI dia. 3"  Klass Medium</v>
      </c>
      <c r="D254" s="602"/>
      <c r="E254" s="814"/>
      <c r="F254" s="609"/>
      <c r="G254" s="815" t="s">
        <v>15</v>
      </c>
      <c r="H254" s="809">
        <f>'UPAH BAHAN'!H206*1.15</f>
        <v>211024.99999999997</v>
      </c>
    </row>
    <row r="255" spans="2:8" x14ac:dyDescent="0.3">
      <c r="B255" s="806">
        <f t="shared" si="4"/>
        <v>147</v>
      </c>
      <c r="C255" s="601" t="str">
        <f>'UPAH BAHAN'!C207</f>
        <v>Clamp sadle GI dia. 2" x 1/2"</v>
      </c>
      <c r="D255" s="602"/>
      <c r="E255" s="814"/>
      <c r="F255" s="609"/>
      <c r="G255" s="815" t="s">
        <v>86</v>
      </c>
      <c r="H255" s="809">
        <f>'UPAH BAHAN'!H207*1.15</f>
        <v>78200</v>
      </c>
    </row>
    <row r="256" spans="2:8" x14ac:dyDescent="0.3">
      <c r="B256" s="806">
        <f t="shared" si="4"/>
        <v>148</v>
      </c>
      <c r="C256" s="601" t="str">
        <f>'UPAH BAHAN'!C208</f>
        <v>Clamp sadle GI dia. 1 1/2" x 1/2"</v>
      </c>
      <c r="D256" s="602"/>
      <c r="E256" s="814"/>
      <c r="F256" s="609"/>
      <c r="G256" s="815" t="s">
        <v>86</v>
      </c>
      <c r="H256" s="809">
        <f>'UPAH BAHAN'!H208*1.15</f>
        <v>64399.999999999993</v>
      </c>
    </row>
    <row r="257" spans="2:8" x14ac:dyDescent="0.3">
      <c r="B257" s="806">
        <f t="shared" si="4"/>
        <v>149</v>
      </c>
      <c r="C257" s="601" t="str">
        <f>'UPAH BAHAN'!C209</f>
        <v xml:space="preserve">Tee PVC dia. 1" x 1/2" </v>
      </c>
      <c r="D257" s="602"/>
      <c r="E257" s="814"/>
      <c r="F257" s="609"/>
      <c r="G257" s="815" t="s">
        <v>86</v>
      </c>
      <c r="H257" s="816">
        <v>27000</v>
      </c>
    </row>
    <row r="258" spans="2:8" x14ac:dyDescent="0.3">
      <c r="B258" s="806">
        <f t="shared" si="4"/>
        <v>150</v>
      </c>
      <c r="C258" s="601" t="str">
        <f>'UPAH BAHAN'!C210</f>
        <v>Reducer PVC  dia. 1" x 1/2"</v>
      </c>
      <c r="D258" s="602"/>
      <c r="E258" s="814"/>
      <c r="F258" s="609"/>
      <c r="G258" s="815" t="s">
        <v>86</v>
      </c>
      <c r="H258" s="809">
        <f>'UPAH BAHAN'!H210*1.15</f>
        <v>9775</v>
      </c>
    </row>
    <row r="259" spans="2:8" x14ac:dyDescent="0.3">
      <c r="B259" s="806">
        <f t="shared" si="4"/>
        <v>151</v>
      </c>
      <c r="C259" s="601" t="str">
        <f>'UPAH BAHAN'!C211</f>
        <v>Valve socket PVC dia. 1/2"</v>
      </c>
      <c r="D259" s="602"/>
      <c r="E259" s="814"/>
      <c r="F259" s="609"/>
      <c r="G259" s="815" t="s">
        <v>86</v>
      </c>
      <c r="H259" s="809">
        <f>'UPAH BAHAN'!H211*1.15</f>
        <v>7474.9999999999991</v>
      </c>
    </row>
    <row r="260" spans="2:8" x14ac:dyDescent="0.3">
      <c r="B260" s="806">
        <f t="shared" si="4"/>
        <v>152</v>
      </c>
      <c r="C260" s="601" t="str">
        <f>'UPAH BAHAN'!C212</f>
        <v>Knee GI dia. 1/2"</v>
      </c>
      <c r="D260" s="602"/>
      <c r="E260" s="814"/>
      <c r="F260" s="609"/>
      <c r="G260" s="815" t="s">
        <v>86</v>
      </c>
      <c r="H260" s="816">
        <v>8100</v>
      </c>
    </row>
    <row r="261" spans="2:8" x14ac:dyDescent="0.3">
      <c r="B261" s="806">
        <f t="shared" si="4"/>
        <v>153</v>
      </c>
      <c r="C261" s="601" t="str">
        <f>'UPAH BAHAN'!C213</f>
        <v>Knee PVC dia. 1/2"</v>
      </c>
      <c r="D261" s="602"/>
      <c r="E261" s="814"/>
      <c r="F261" s="609"/>
      <c r="G261" s="815" t="s">
        <v>86</v>
      </c>
      <c r="H261" s="809">
        <f>'UPAH BAHAN'!H213*1.15</f>
        <v>6324.9999999999991</v>
      </c>
    </row>
    <row r="262" spans="2:8" x14ac:dyDescent="0.3">
      <c r="B262" s="806">
        <f t="shared" si="4"/>
        <v>154</v>
      </c>
      <c r="C262" s="601" t="str">
        <f>'UPAH BAHAN'!C214</f>
        <v>Elbow GI dia. 2" x 90°</v>
      </c>
      <c r="D262" s="602"/>
      <c r="E262" s="814"/>
      <c r="F262" s="609"/>
      <c r="G262" s="815" t="s">
        <v>86</v>
      </c>
      <c r="H262" s="809">
        <f>'UPAH BAHAN'!H214*1.15</f>
        <v>41400</v>
      </c>
    </row>
    <row r="263" spans="2:8" x14ac:dyDescent="0.3">
      <c r="B263" s="806">
        <f t="shared" si="4"/>
        <v>155</v>
      </c>
      <c r="C263" s="601" t="str">
        <f>'UPAH BAHAN'!C215</f>
        <v>Soket Drat Luar PVC dia. 1/2" (SDL)</v>
      </c>
      <c r="D263" s="602"/>
      <c r="E263" s="814"/>
      <c r="F263" s="609"/>
      <c r="G263" s="815" t="s">
        <v>86</v>
      </c>
      <c r="H263" s="809">
        <f>'UPAH BAHAN'!H215*1.15</f>
        <v>4140</v>
      </c>
    </row>
    <row r="264" spans="2:8" x14ac:dyDescent="0.3">
      <c r="B264" s="806">
        <f t="shared" si="4"/>
        <v>156</v>
      </c>
      <c r="C264" s="601" t="str">
        <f>'UPAH BAHAN'!C216</f>
        <v>Elbow GI ( F/M ) dia. 1/2"</v>
      </c>
      <c r="D264" s="602"/>
      <c r="E264" s="814"/>
      <c r="F264" s="609"/>
      <c r="G264" s="815" t="s">
        <v>86</v>
      </c>
      <c r="H264" s="809">
        <f>'UPAH BAHAN'!H216*1.15</f>
        <v>15524.999999999998</v>
      </c>
    </row>
    <row r="265" spans="2:8" x14ac:dyDescent="0.3">
      <c r="B265" s="806">
        <f t="shared" si="4"/>
        <v>157</v>
      </c>
      <c r="C265" s="601" t="str">
        <f>'UPAH BAHAN'!C217</f>
        <v>Double Nipple GI dia. 1/2"</v>
      </c>
      <c r="D265" s="602"/>
      <c r="E265" s="814"/>
      <c r="F265" s="609"/>
      <c r="G265" s="815" t="s">
        <v>86</v>
      </c>
      <c r="H265" s="816">
        <v>6700</v>
      </c>
    </row>
    <row r="266" spans="2:8" x14ac:dyDescent="0.3">
      <c r="B266" s="806">
        <f t="shared" si="4"/>
        <v>158</v>
      </c>
      <c r="C266" s="601" t="str">
        <f>'UPAH BAHAN'!C218</f>
        <v>Double Nipple GI dia. 3/4"</v>
      </c>
      <c r="D266" s="602"/>
      <c r="E266" s="814"/>
      <c r="F266" s="609"/>
      <c r="G266" s="815" t="s">
        <v>86</v>
      </c>
      <c r="H266" s="809">
        <f>'UPAH BAHAN'!H218*1.15</f>
        <v>20700</v>
      </c>
    </row>
    <row r="267" spans="2:8" x14ac:dyDescent="0.3">
      <c r="B267" s="806">
        <f t="shared" si="4"/>
        <v>159</v>
      </c>
      <c r="C267" s="601" t="str">
        <f>'UPAH BAHAN'!C219</f>
        <v>Double Nipple GI dia. 2"</v>
      </c>
      <c r="D267" s="602"/>
      <c r="E267" s="814"/>
      <c r="F267" s="609"/>
      <c r="G267" s="815" t="s">
        <v>86</v>
      </c>
      <c r="H267" s="809">
        <f>'UPAH BAHAN'!H219*1.15</f>
        <v>31394.999999999996</v>
      </c>
    </row>
    <row r="268" spans="2:8" x14ac:dyDescent="0.3">
      <c r="B268" s="806">
        <f t="shared" si="4"/>
        <v>160</v>
      </c>
      <c r="C268" s="601" t="str">
        <f>'UPAH BAHAN'!C220</f>
        <v>Chek Valve dia. 1/2"</v>
      </c>
      <c r="D268" s="602"/>
      <c r="E268" s="814"/>
      <c r="F268" s="609"/>
      <c r="G268" s="815" t="s">
        <v>86</v>
      </c>
      <c r="H268" s="816">
        <v>96000</v>
      </c>
    </row>
    <row r="269" spans="2:8" x14ac:dyDescent="0.3">
      <c r="B269" s="806">
        <f t="shared" si="4"/>
        <v>161</v>
      </c>
      <c r="C269" s="601" t="str">
        <f>'UPAH BAHAN'!C221</f>
        <v>Brass Loockable Ball Valve dia. 1/2"</v>
      </c>
      <c r="D269" s="602"/>
      <c r="E269" s="814"/>
      <c r="F269" s="609"/>
      <c r="G269" s="815" t="s">
        <v>86</v>
      </c>
      <c r="H269" s="809">
        <f>'UPAH BAHAN'!H221*1.15</f>
        <v>120884.54999999999</v>
      </c>
    </row>
    <row r="270" spans="2:8" x14ac:dyDescent="0.3">
      <c r="B270" s="806">
        <f t="shared" si="4"/>
        <v>162</v>
      </c>
      <c r="C270" s="601" t="str">
        <f>'UPAH BAHAN'!C222</f>
        <v>Brass Main Cock ( Plug Kran ) dia. 1/2"</v>
      </c>
      <c r="D270" s="602"/>
      <c r="E270" s="814"/>
      <c r="F270" s="609"/>
      <c r="G270" s="815" t="s">
        <v>86</v>
      </c>
      <c r="H270" s="816">
        <v>92000</v>
      </c>
    </row>
    <row r="271" spans="2:8" x14ac:dyDescent="0.3">
      <c r="B271" s="806">
        <f t="shared" si="4"/>
        <v>163</v>
      </c>
      <c r="C271" s="601" t="str">
        <f>'UPAH BAHAN'!C223</f>
        <v>Brass Gate Valve ( Fiet Kran ) dia. 1/2"</v>
      </c>
      <c r="D271" s="602"/>
      <c r="E271" s="814"/>
      <c r="F271" s="609"/>
      <c r="G271" s="815" t="s">
        <v>86</v>
      </c>
      <c r="H271" s="816">
        <v>197000</v>
      </c>
    </row>
    <row r="272" spans="2:8" x14ac:dyDescent="0.3">
      <c r="B272" s="806">
        <f t="shared" si="4"/>
        <v>164</v>
      </c>
      <c r="C272" s="601" t="str">
        <f>'UPAH BAHAN'!C224</f>
        <v>Water meter dengan coupling dia. 1/2"</v>
      </c>
      <c r="D272" s="602"/>
      <c r="E272" s="814"/>
      <c r="F272" s="609"/>
      <c r="G272" s="815" t="s">
        <v>86</v>
      </c>
      <c r="H272" s="809">
        <f>'UPAH BAHAN'!H224*1.4</f>
        <v>448000</v>
      </c>
    </row>
    <row r="273" spans="2:8" x14ac:dyDescent="0.3">
      <c r="B273" s="806">
        <f t="shared" si="4"/>
        <v>165</v>
      </c>
      <c r="C273" s="601" t="str">
        <f>'UPAH BAHAN'!C225</f>
        <v>Tee GI dia. 1/2" x 1/2"</v>
      </c>
      <c r="D273" s="602"/>
      <c r="E273" s="814"/>
      <c r="F273" s="609"/>
      <c r="G273" s="815" t="s">
        <v>86</v>
      </c>
      <c r="H273" s="809">
        <v>15800</v>
      </c>
    </row>
    <row r="274" spans="2:8" x14ac:dyDescent="0.3">
      <c r="B274" s="806">
        <f t="shared" si="4"/>
        <v>166</v>
      </c>
      <c r="C274" s="601" t="str">
        <f>'UPAH BAHAN'!C226</f>
        <v>Dop GI dia. 1/2"</v>
      </c>
      <c r="D274" s="602"/>
      <c r="E274" s="814"/>
      <c r="F274" s="609"/>
      <c r="G274" s="815" t="s">
        <v>86</v>
      </c>
      <c r="H274" s="809">
        <f>'UPAH BAHAN'!H226*1.15</f>
        <v>5175</v>
      </c>
    </row>
    <row r="275" spans="2:8" x14ac:dyDescent="0.3">
      <c r="B275" s="806">
        <f t="shared" si="4"/>
        <v>167</v>
      </c>
      <c r="C275" s="601" t="str">
        <f>'UPAH BAHAN'!C227</f>
        <v>House Hold Tap ( Tap Kran ) dia. 1/2"</v>
      </c>
      <c r="D275" s="602"/>
      <c r="E275" s="814"/>
      <c r="F275" s="609"/>
      <c r="G275" s="815" t="s">
        <v>86</v>
      </c>
      <c r="H275" s="809">
        <v>65000</v>
      </c>
    </row>
    <row r="276" spans="2:8" x14ac:dyDescent="0.3">
      <c r="B276" s="806">
        <f t="shared" si="4"/>
        <v>168</v>
      </c>
      <c r="C276" s="601" t="str">
        <f>'UPAH BAHAN'!C228</f>
        <v>Seal tape</v>
      </c>
      <c r="D276" s="602"/>
      <c r="E276" s="814"/>
      <c r="F276" s="609"/>
      <c r="G276" s="815" t="s">
        <v>86</v>
      </c>
      <c r="H276" s="809">
        <v>4600</v>
      </c>
    </row>
    <row r="277" spans="2:8" x14ac:dyDescent="0.3">
      <c r="B277" s="806">
        <f t="shared" si="4"/>
        <v>169</v>
      </c>
      <c r="C277" s="601" t="str">
        <f>'UPAH BAHAN'!C229</f>
        <v>Box SR</v>
      </c>
      <c r="D277" s="602"/>
      <c r="E277" s="814"/>
      <c r="F277" s="609"/>
      <c r="G277" s="815" t="s">
        <v>86</v>
      </c>
      <c r="H277" s="809">
        <v>77000</v>
      </c>
    </row>
    <row r="278" spans="2:8" x14ac:dyDescent="0.3">
      <c r="B278" s="806">
        <f t="shared" si="4"/>
        <v>170</v>
      </c>
      <c r="C278" s="601" t="str">
        <f>'UPAH BAHAN'!C230</f>
        <v xml:space="preserve">Rabat Beton Dudukan Box SR </v>
      </c>
      <c r="D278" s="602"/>
      <c r="E278" s="814"/>
      <c r="F278" s="609"/>
      <c r="G278" s="815" t="s">
        <v>86</v>
      </c>
      <c r="H278" s="809">
        <f>'UPAH BAHAN'!H230*1.15</f>
        <v>34500</v>
      </c>
    </row>
    <row r="279" spans="2:8" x14ac:dyDescent="0.3">
      <c r="B279" s="806">
        <f t="shared" si="4"/>
        <v>171</v>
      </c>
      <c r="C279" s="601" t="str">
        <f>'UPAH BAHAN'!C231</f>
        <v>Tiang sling dari pipa besi dia. 2" disi cor beton sesuai dengan gambar</v>
      </c>
      <c r="D279" s="602"/>
      <c r="E279" s="601"/>
      <c r="F279" s="609"/>
      <c r="G279" s="813" t="s">
        <v>86</v>
      </c>
      <c r="H279" s="809">
        <f>'UPAH BAHAN'!H231*1.15</f>
        <v>872274.99999999988</v>
      </c>
    </row>
    <row r="280" spans="2:8" x14ac:dyDescent="0.3">
      <c r="B280" s="806">
        <f t="shared" si="4"/>
        <v>172</v>
      </c>
      <c r="C280" s="601" t="str">
        <f>'UPAH BAHAN'!C232</f>
        <v xml:space="preserve">Kawat sling dia. 10 mm </v>
      </c>
      <c r="D280" s="602"/>
      <c r="E280" s="601"/>
      <c r="F280" s="609"/>
      <c r="G280" s="813" t="s">
        <v>15</v>
      </c>
      <c r="H280" s="809">
        <f>'UPAH BAHAN'!H232*1.15</f>
        <v>40250</v>
      </c>
    </row>
    <row r="281" spans="2:8" x14ac:dyDescent="0.3">
      <c r="B281" s="806">
        <f t="shared" si="4"/>
        <v>173</v>
      </c>
      <c r="C281" s="601" t="str">
        <f>'UPAH BAHAN'!C233</f>
        <v>Roda sling</v>
      </c>
      <c r="D281" s="602"/>
      <c r="E281" s="601"/>
      <c r="F281" s="609"/>
      <c r="G281" s="813" t="s">
        <v>86</v>
      </c>
      <c r="H281" s="809">
        <f>'UPAH BAHAN'!H233*1.15</f>
        <v>51749.999999999993</v>
      </c>
    </row>
    <row r="282" spans="2:8" x14ac:dyDescent="0.3">
      <c r="B282" s="806">
        <f t="shared" si="4"/>
        <v>174</v>
      </c>
      <c r="C282" s="601" t="str">
        <f>'UPAH BAHAN'!C234</f>
        <v>Tambang Plastik uk. 10 mm</v>
      </c>
      <c r="D282" s="602"/>
      <c r="E282" s="601"/>
      <c r="F282" s="609"/>
      <c r="G282" s="813" t="s">
        <v>86</v>
      </c>
      <c r="H282" s="809">
        <f>'UPAH BAHAN'!H234*1.15</f>
        <v>7129.9999999999991</v>
      </c>
    </row>
    <row r="283" spans="2:8" x14ac:dyDescent="0.3">
      <c r="B283" s="806">
        <f t="shared" si="4"/>
        <v>175</v>
      </c>
      <c r="C283" s="601" t="str">
        <f>'UPAH BAHAN'!C235</f>
        <v>Pengait sling</v>
      </c>
      <c r="D283" s="602"/>
      <c r="E283" s="601"/>
      <c r="F283" s="609"/>
      <c r="G283" s="813" t="s">
        <v>86</v>
      </c>
      <c r="H283" s="809">
        <f>'UPAH BAHAN'!H235*1.15</f>
        <v>60949.999999999993</v>
      </c>
    </row>
    <row r="284" spans="2:8" x14ac:dyDescent="0.3">
      <c r="B284" s="806">
        <f t="shared" si="4"/>
        <v>176</v>
      </c>
      <c r="C284" s="601" t="str">
        <f>'UPAH BAHAN'!C236</f>
        <v>Pengantung pipa</v>
      </c>
      <c r="D284" s="602"/>
      <c r="E284" s="601"/>
      <c r="F284" s="609"/>
      <c r="G284" s="813" t="s">
        <v>86</v>
      </c>
      <c r="H284" s="809">
        <f>'UPAH BAHAN'!H236*1.15</f>
        <v>80500</v>
      </c>
    </row>
    <row r="285" spans="2:8" x14ac:dyDescent="0.3">
      <c r="B285" s="806">
        <f t="shared" si="4"/>
        <v>177</v>
      </c>
      <c r="C285" s="601" t="str">
        <f>'UPAH BAHAN'!C237</f>
        <v>Prasasti</v>
      </c>
      <c r="D285" s="602"/>
      <c r="E285" s="601"/>
      <c r="F285" s="609"/>
      <c r="G285" s="813" t="s">
        <v>86</v>
      </c>
      <c r="H285" s="809">
        <f>'UPAH BAHAN'!H237*1.15</f>
        <v>402499.99999999994</v>
      </c>
    </row>
    <row r="286" spans="2:8" ht="14.4" thickBot="1" x14ac:dyDescent="0.35">
      <c r="B286" s="817"/>
      <c r="C286" s="818"/>
      <c r="D286" s="819"/>
      <c r="E286" s="819"/>
      <c r="F286" s="820"/>
      <c r="G286" s="821"/>
      <c r="H286" s="822"/>
    </row>
  </sheetData>
  <mergeCells count="4">
    <mergeCell ref="B13:B15"/>
    <mergeCell ref="G13:G15"/>
    <mergeCell ref="H13:H14"/>
    <mergeCell ref="C13:F15"/>
  </mergeCells>
  <printOptions horizontalCentered="1"/>
  <pageMargins left="0.59055118110236227" right="0.59055118110236227" top="0.39370078740157483" bottom="1.5748031496062993" header="0" footer="0"/>
  <pageSetup paperSize="5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D1404"/>
  <sheetViews>
    <sheetView defaultGridColor="0" view="pageBreakPreview" topLeftCell="A296" colorId="22" zoomScaleNormal="75" zoomScaleSheetLayoutView="100" workbookViewId="0">
      <selection activeCell="K316" sqref="K316"/>
    </sheetView>
  </sheetViews>
  <sheetFormatPr defaultColWidth="9.875" defaultRowHeight="13.8" x14ac:dyDescent="0.3"/>
  <cols>
    <col min="1" max="1" width="7.5" style="10" customWidth="1"/>
    <col min="2" max="2" width="5.5" style="10" customWidth="1"/>
    <col min="3" max="3" width="13.625" style="10" customWidth="1"/>
    <col min="4" max="4" width="4.375" style="10" customWidth="1"/>
    <col min="5" max="5" width="6" style="10" customWidth="1"/>
    <col min="6" max="6" width="4.375" style="10" customWidth="1"/>
    <col min="7" max="7" width="7.875" style="10" customWidth="1"/>
    <col min="8" max="8" width="20.875" style="10" customWidth="1"/>
    <col min="9" max="10" width="9.125" style="10" customWidth="1"/>
    <col min="11" max="11" width="15.125" style="10" customWidth="1"/>
    <col min="12" max="13" width="15" style="10" customWidth="1"/>
    <col min="14" max="14" width="20.125" style="10" customWidth="1"/>
    <col min="15" max="15" width="18.5" style="389" customWidth="1"/>
    <col min="16" max="16" width="13" style="10" customWidth="1"/>
    <col min="17" max="33" width="10.875" style="10" customWidth="1"/>
    <col min="34" max="16384" width="9.875" style="10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24"/>
    </row>
    <row r="2" spans="1:30" x14ac:dyDescent="0.3">
      <c r="A2" s="12"/>
      <c r="B2" s="12"/>
      <c r="C2" s="12"/>
      <c r="D2" s="12"/>
      <c r="E2" s="12"/>
      <c r="F2" s="12"/>
      <c r="G2" s="12"/>
      <c r="H2" s="12"/>
      <c r="I2" s="69"/>
      <c r="J2" s="69"/>
      <c r="K2" s="12"/>
      <c r="L2" s="12"/>
      <c r="M2" s="12"/>
      <c r="N2" s="13"/>
      <c r="O2" s="524"/>
    </row>
    <row r="3" spans="1:30" ht="23.25" customHeight="1" x14ac:dyDescent="0.3">
      <c r="A3" s="70" t="s">
        <v>208</v>
      </c>
      <c r="B3" s="71"/>
      <c r="C3" s="71"/>
      <c r="D3" s="71"/>
      <c r="E3" s="71"/>
      <c r="F3" s="71"/>
      <c r="G3" s="71"/>
      <c r="H3" s="12"/>
      <c r="I3" s="12"/>
      <c r="J3" s="12"/>
      <c r="K3" s="12"/>
      <c r="L3" s="12"/>
      <c r="M3" s="12"/>
      <c r="N3" s="1"/>
      <c r="O3" s="524"/>
    </row>
    <row r="4" spans="1:30" ht="14.1" customHeight="1" x14ac:dyDescent="0.3">
      <c r="A4" s="1" t="str">
        <f>HARSAT!B4</f>
        <v>UNIT KERJA</v>
      </c>
      <c r="B4" s="1"/>
      <c r="D4" s="977" t="str">
        <f>HARSAT!E4</f>
        <v>:</v>
      </c>
      <c r="E4" s="976" t="str">
        <f>HARSAT!F4</f>
        <v>DINAS PERUMAHAN DAN KAWASAN PERMUKIMAN KABUPATEN CIANJUR</v>
      </c>
      <c r="F4" s="1"/>
      <c r="G4" s="1"/>
      <c r="H4" s="1"/>
      <c r="I4" s="12"/>
      <c r="J4" s="12"/>
      <c r="K4" s="12"/>
      <c r="L4" s="12"/>
      <c r="M4" s="12"/>
      <c r="N4" s="13"/>
      <c r="O4" s="524"/>
    </row>
    <row r="5" spans="1:30" ht="14.1" customHeight="1" x14ac:dyDescent="0.3">
      <c r="A5" s="1" t="str">
        <f>HARSAT!B5</f>
        <v>PROGRAM</v>
      </c>
      <c r="B5" s="1"/>
      <c r="D5" s="977" t="str">
        <f>HARSAT!E5</f>
        <v>:</v>
      </c>
      <c r="E5" s="976" t="str">
        <f>HARSAT!F5</f>
        <v>PROGRAM PENGELOLAAN DAN PENGEMBANGAN SISTEM PENYEDIAAN AIR MINUM</v>
      </c>
      <c r="F5" s="1"/>
      <c r="G5" s="1"/>
      <c r="H5" s="3"/>
      <c r="I5" s="12"/>
      <c r="J5" s="12"/>
      <c r="K5" s="12"/>
      <c r="L5" s="12"/>
      <c r="M5" s="12"/>
      <c r="N5" s="13"/>
      <c r="O5" s="524"/>
    </row>
    <row r="6" spans="1:30" ht="14.1" customHeight="1" x14ac:dyDescent="0.3">
      <c r="A6" s="1" t="str">
        <f>HARSAT!B6</f>
        <v>KEGIATAN</v>
      </c>
      <c r="B6" s="1"/>
      <c r="D6" s="977" t="str">
        <f>HARSAT!E6</f>
        <v>:</v>
      </c>
      <c r="E6" s="976" t="str">
        <f>HARSAT!F6</f>
        <v>PENGELOLAAN DAN PENGEMBANGAN SISTEM PENYEDIAAN AIR MINUM (SPAM) DI DAERAH KABUPATEN/KOTA</v>
      </c>
      <c r="F6" s="1"/>
      <c r="G6" s="1"/>
      <c r="H6" s="3"/>
      <c r="I6" s="12"/>
      <c r="J6" s="12"/>
      <c r="K6" s="12"/>
      <c r="L6" s="12"/>
      <c r="M6" s="12"/>
      <c r="N6" s="13"/>
      <c r="O6" s="524"/>
    </row>
    <row r="7" spans="1:30" ht="14.1" customHeight="1" x14ac:dyDescent="0.3">
      <c r="A7" s="1" t="str">
        <f>HARSAT!B7</f>
        <v>SUB KEGIATAN</v>
      </c>
      <c r="B7" s="1"/>
      <c r="D7" s="977" t="str">
        <f>HARSAT!E7</f>
        <v>:</v>
      </c>
      <c r="E7" s="976" t="str">
        <f>HARSAT!F7</f>
        <v>PEMBANGUNAN SPAM BUKAN JARINGAN PERPIPAAN DI KAWASAN PERDESAAN</v>
      </c>
      <c r="F7" s="1"/>
      <c r="G7" s="1"/>
      <c r="H7" s="976"/>
      <c r="I7" s="12"/>
      <c r="J7" s="12"/>
      <c r="K7" s="12"/>
      <c r="L7" s="12"/>
      <c r="M7" s="12"/>
      <c r="N7" s="13"/>
      <c r="O7" s="524"/>
    </row>
    <row r="8" spans="1:30" ht="14.1" customHeight="1" x14ac:dyDescent="0.3">
      <c r="A8" s="1" t="str">
        <f>HARSAT!B8</f>
        <v>PEKERJAAN</v>
      </c>
      <c r="B8" s="1"/>
      <c r="D8" s="977" t="str">
        <f>HARSAT!E8</f>
        <v>:</v>
      </c>
      <c r="E8" s="976" t="str">
        <f>HARSAT!F8</f>
        <v>KURANGYA AIR BERSIH PESANTREN AL MARUF RT.03 RW.01 KP.BOBOJONG DESA BOBOJONG KECAMATAN MANDE</v>
      </c>
      <c r="F8" s="1"/>
      <c r="G8" s="1"/>
      <c r="H8" s="3"/>
      <c r="I8" s="12"/>
      <c r="J8" s="12"/>
      <c r="K8" s="12"/>
      <c r="L8" s="12"/>
      <c r="M8" s="12"/>
      <c r="N8" s="13"/>
      <c r="O8" s="524"/>
    </row>
    <row r="9" spans="1:30" ht="14.1" customHeight="1" x14ac:dyDescent="0.3">
      <c r="A9" s="1" t="str">
        <f>HARSAT!B9</f>
        <v>LOKASI</v>
      </c>
      <c r="B9" s="1"/>
      <c r="D9" s="977" t="str">
        <f>HARSAT!E9</f>
        <v>:</v>
      </c>
      <c r="E9" s="976" t="str">
        <f>HARSAT!F9</f>
        <v>PESANTREN AL MARUF RT.03 RW.01 KP.BOBOJONG DESA BOBOJONG KECAMATAN MANDE</v>
      </c>
      <c r="F9" s="1"/>
      <c r="G9" s="1"/>
      <c r="H9" s="3"/>
      <c r="I9" s="12"/>
      <c r="J9" s="12"/>
      <c r="K9" s="12"/>
      <c r="L9" s="12"/>
      <c r="M9" s="12"/>
      <c r="N9" s="13"/>
      <c r="O9" s="524"/>
    </row>
    <row r="10" spans="1:30" ht="14.1" customHeight="1" x14ac:dyDescent="0.3">
      <c r="A10" s="1" t="str">
        <f>HARSAT!B10</f>
        <v>SUMBER DANA</v>
      </c>
      <c r="B10" s="1"/>
      <c r="D10" s="977" t="str">
        <f>HARSAT!E10</f>
        <v>:</v>
      </c>
      <c r="E10" s="976" t="str">
        <f>HARSAT!F10</f>
        <v>DAU</v>
      </c>
      <c r="F10" s="1"/>
      <c r="G10" s="1"/>
      <c r="H10" s="3"/>
      <c r="I10" s="12"/>
      <c r="J10" s="12"/>
      <c r="K10" s="12"/>
      <c r="L10" s="12"/>
      <c r="M10" s="12"/>
      <c r="N10" s="13"/>
      <c r="O10" s="524"/>
    </row>
    <row r="11" spans="1:30" ht="14.1" customHeight="1" x14ac:dyDescent="0.3">
      <c r="A11" s="1" t="str">
        <f>HARSAT!B11</f>
        <v>TAHUN ANGGARAN</v>
      </c>
      <c r="B11" s="1"/>
      <c r="D11" s="977" t="str">
        <f>HARSAT!E11</f>
        <v>:</v>
      </c>
      <c r="E11" s="976">
        <f>HARSAT!F11</f>
        <v>2026</v>
      </c>
      <c r="F11" s="1"/>
      <c r="G11" s="1"/>
      <c r="H11" s="976"/>
      <c r="I11" s="12"/>
      <c r="J11" s="12"/>
      <c r="K11" s="12"/>
      <c r="L11" s="12"/>
      <c r="M11" s="12"/>
      <c r="N11" s="13"/>
      <c r="O11" s="524"/>
    </row>
    <row r="12" spans="1:30" ht="14.1" customHeight="1" thickBo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72" t="s">
        <v>209</v>
      </c>
      <c r="O12" s="525"/>
    </row>
    <row r="13" spans="1:30" ht="14.1" customHeight="1" x14ac:dyDescent="0.3">
      <c r="A13" s="1589" t="s">
        <v>9</v>
      </c>
      <c r="B13" s="1592" t="s">
        <v>10</v>
      </c>
      <c r="C13" s="1592"/>
      <c r="D13" s="1592"/>
      <c r="E13" s="1592"/>
      <c r="F13" s="1592"/>
      <c r="G13" s="1592"/>
      <c r="H13" s="1593"/>
      <c r="I13" s="1543" t="s">
        <v>210</v>
      </c>
      <c r="J13" s="1543" t="s">
        <v>211</v>
      </c>
      <c r="K13" s="73" t="s">
        <v>212</v>
      </c>
      <c r="L13" s="1598" t="s">
        <v>12</v>
      </c>
      <c r="M13" s="1599"/>
      <c r="N13" s="1600"/>
      <c r="O13" s="526"/>
      <c r="P13" s="1605" t="s">
        <v>213</v>
      </c>
      <c r="Q13" s="1601" t="s">
        <v>214</v>
      </c>
      <c r="R13" s="1603" t="s">
        <v>215</v>
      </c>
      <c r="S13" s="1603"/>
      <c r="T13" s="1603"/>
      <c r="U13" s="1603"/>
      <c r="V13" s="1604" t="s">
        <v>216</v>
      </c>
      <c r="W13" s="1604"/>
      <c r="X13" s="1604"/>
      <c r="Y13" s="1604"/>
      <c r="Z13" s="1604"/>
      <c r="AA13" s="1604"/>
      <c r="AB13" s="1604"/>
      <c r="AC13" s="1604"/>
      <c r="AD13" s="74"/>
    </row>
    <row r="14" spans="1:30" ht="14.1" customHeight="1" x14ac:dyDescent="0.3">
      <c r="A14" s="1590"/>
      <c r="B14" s="1594"/>
      <c r="C14" s="1594"/>
      <c r="D14" s="1594"/>
      <c r="E14" s="1594"/>
      <c r="F14" s="1594"/>
      <c r="G14" s="1594"/>
      <c r="H14" s="1595"/>
      <c r="I14" s="1544"/>
      <c r="J14" s="1544"/>
      <c r="K14" s="75" t="s">
        <v>11</v>
      </c>
      <c r="L14" s="75" t="s">
        <v>217</v>
      </c>
      <c r="M14" s="75" t="s">
        <v>218</v>
      </c>
      <c r="N14" s="76" t="s">
        <v>219</v>
      </c>
      <c r="O14" s="526"/>
      <c r="P14" s="1606"/>
      <c r="Q14" s="1602"/>
      <c r="R14" s="77" t="s">
        <v>128</v>
      </c>
      <c r="S14" s="78" t="s">
        <v>220</v>
      </c>
      <c r="T14" s="78" t="s">
        <v>221</v>
      </c>
      <c r="U14" s="78" t="s">
        <v>134</v>
      </c>
      <c r="V14" s="79" t="s">
        <v>222</v>
      </c>
      <c r="W14" s="78" t="s">
        <v>223</v>
      </c>
      <c r="X14" s="78" t="s">
        <v>224</v>
      </c>
      <c r="Y14" s="79" t="s">
        <v>154</v>
      </c>
      <c r="Z14" s="79" t="s">
        <v>225</v>
      </c>
      <c r="AA14" s="78" t="s">
        <v>226</v>
      </c>
      <c r="AB14" s="79" t="s">
        <v>227</v>
      </c>
      <c r="AC14" s="79"/>
      <c r="AD14" s="80"/>
    </row>
    <row r="15" spans="1:30" ht="14.1" customHeight="1" x14ac:dyDescent="0.3">
      <c r="A15" s="1591"/>
      <c r="B15" s="1596"/>
      <c r="C15" s="1596"/>
      <c r="D15" s="1596"/>
      <c r="E15" s="1596"/>
      <c r="F15" s="1596"/>
      <c r="G15" s="1596"/>
      <c r="H15" s="1597"/>
      <c r="I15" s="1545"/>
      <c r="J15" s="1545"/>
      <c r="K15" s="81" t="s">
        <v>228</v>
      </c>
      <c r="L15" s="81" t="s">
        <v>228</v>
      </c>
      <c r="M15" s="81" t="s">
        <v>228</v>
      </c>
      <c r="N15" s="82" t="s">
        <v>228</v>
      </c>
      <c r="O15" s="526"/>
      <c r="P15" s="83">
        <v>1</v>
      </c>
      <c r="Q15" s="84">
        <v>2</v>
      </c>
      <c r="R15" s="84">
        <v>3</v>
      </c>
      <c r="S15" s="84">
        <v>4</v>
      </c>
      <c r="T15" s="84">
        <v>5</v>
      </c>
      <c r="U15" s="84">
        <v>6</v>
      </c>
      <c r="V15" s="84">
        <v>7</v>
      </c>
      <c r="W15" s="84">
        <v>8</v>
      </c>
      <c r="X15" s="84">
        <v>9</v>
      </c>
      <c r="Y15" s="84">
        <v>10</v>
      </c>
      <c r="Z15" s="84">
        <v>11</v>
      </c>
      <c r="AA15" s="84">
        <v>12</v>
      </c>
      <c r="AB15" s="84">
        <v>13</v>
      </c>
      <c r="AC15" s="84">
        <v>14</v>
      </c>
      <c r="AD15" s="85">
        <v>15</v>
      </c>
    </row>
    <row r="16" spans="1:30" ht="14.1" customHeight="1" x14ac:dyDescent="0.3">
      <c r="A16" s="86"/>
      <c r="B16" s="12"/>
      <c r="C16" s="12"/>
      <c r="D16" s="12"/>
      <c r="E16" s="12"/>
      <c r="F16" s="12"/>
      <c r="G16" s="12"/>
      <c r="H16" s="75"/>
      <c r="I16" s="12"/>
      <c r="J16" s="87"/>
      <c r="K16" s="75"/>
      <c r="L16" s="75"/>
      <c r="M16" s="75"/>
      <c r="N16" s="88"/>
      <c r="O16" s="525"/>
      <c r="P16" s="89"/>
      <c r="Q16" s="90"/>
      <c r="R16" s="90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2"/>
    </row>
    <row r="17" spans="1:30" ht="14.1" customHeight="1" x14ac:dyDescent="0.3">
      <c r="A17" s="93"/>
      <c r="B17" s="94" t="s">
        <v>229</v>
      </c>
      <c r="C17" s="95"/>
      <c r="D17" s="95"/>
      <c r="E17" s="95"/>
      <c r="F17" s="95"/>
      <c r="G17" s="95"/>
      <c r="H17" s="95"/>
      <c r="I17" s="95"/>
      <c r="J17" s="96"/>
      <c r="K17" s="96"/>
      <c r="L17" s="96"/>
      <c r="M17" s="96"/>
      <c r="N17" s="97"/>
      <c r="R17" s="90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2"/>
    </row>
    <row r="18" spans="1:30" ht="14.1" customHeight="1" x14ac:dyDescent="0.3">
      <c r="A18" s="98"/>
      <c r="B18" s="1"/>
      <c r="C18" s="1"/>
      <c r="D18" s="1"/>
      <c r="E18" s="1"/>
      <c r="F18" s="1"/>
      <c r="G18" s="1"/>
      <c r="H18" s="1"/>
      <c r="I18" s="1"/>
      <c r="J18" s="99"/>
      <c r="K18" s="99"/>
      <c r="L18" s="100"/>
      <c r="M18" s="99"/>
      <c r="N18" s="101"/>
      <c r="R18" s="90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2"/>
    </row>
    <row r="19" spans="1:30" ht="14.1" customHeight="1" x14ac:dyDescent="0.3">
      <c r="A19" s="634" t="s">
        <v>902</v>
      </c>
      <c r="B19" s="316" t="s">
        <v>903</v>
      </c>
      <c r="C19" s="1"/>
      <c r="D19" s="1"/>
      <c r="E19" s="1"/>
      <c r="F19" s="1"/>
      <c r="G19" s="1"/>
      <c r="H19" s="1"/>
      <c r="I19" s="1"/>
      <c r="J19" s="1105"/>
      <c r="K19" s="1105"/>
      <c r="L19" s="100"/>
      <c r="M19" s="1105"/>
      <c r="N19" s="101"/>
      <c r="R19" s="90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2"/>
    </row>
    <row r="20" spans="1:30" ht="14.1" customHeight="1" x14ac:dyDescent="0.3">
      <c r="A20" s="1272">
        <v>1</v>
      </c>
      <c r="B20" s="1273" t="s">
        <v>901</v>
      </c>
      <c r="C20" s="1274"/>
      <c r="D20" s="1274"/>
      <c r="E20" s="1274"/>
      <c r="F20" s="1274"/>
      <c r="G20" s="1274"/>
      <c r="H20" s="1274"/>
      <c r="I20" s="1274"/>
      <c r="J20" s="1275"/>
      <c r="K20" s="1275"/>
      <c r="L20" s="1275"/>
      <c r="M20" s="1275"/>
      <c r="N20" s="1276"/>
      <c r="R20" s="90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2"/>
    </row>
    <row r="21" spans="1:30" ht="14.1" customHeight="1" x14ac:dyDescent="0.3">
      <c r="A21" s="1277"/>
      <c r="B21" s="1278"/>
      <c r="C21" s="1279" t="s">
        <v>230</v>
      </c>
      <c r="D21" s="1279"/>
      <c r="E21" s="1279"/>
      <c r="F21" s="1279"/>
      <c r="G21" s="1279"/>
      <c r="H21" s="1279"/>
      <c r="I21" s="1280" t="s">
        <v>37</v>
      </c>
      <c r="J21" s="1281">
        <v>1.1000000000000001</v>
      </c>
      <c r="K21" s="1281"/>
      <c r="L21" s="1282"/>
      <c r="M21" s="1281"/>
      <c r="N21" s="1283"/>
      <c r="R21" s="90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2"/>
    </row>
    <row r="22" spans="1:30" ht="14.1" customHeight="1" x14ac:dyDescent="0.3">
      <c r="A22" s="1277"/>
      <c r="B22" s="1284" t="s">
        <v>231</v>
      </c>
      <c r="C22" s="1279" t="s">
        <v>232</v>
      </c>
      <c r="D22" s="1279"/>
      <c r="E22" s="1279"/>
      <c r="F22" s="1279"/>
      <c r="G22" s="1279"/>
      <c r="H22" s="1279"/>
      <c r="I22" s="1285" t="s">
        <v>37</v>
      </c>
      <c r="J22" s="1281">
        <f>J21</f>
        <v>1.1000000000000001</v>
      </c>
      <c r="K22" s="1281">
        <f>'BOR 8"'!J40</f>
        <v>173955.92499999999</v>
      </c>
      <c r="L22" s="1282">
        <f>J22*K22</f>
        <v>191351.51750000002</v>
      </c>
      <c r="M22" s="1286" t="s">
        <v>233</v>
      </c>
      <c r="N22" s="1283">
        <f>L22+M22</f>
        <v>191351.51750000002</v>
      </c>
      <c r="R22" s="90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2"/>
    </row>
    <row r="23" spans="1:30" ht="14.1" customHeight="1" x14ac:dyDescent="0.3">
      <c r="A23" s="1277"/>
      <c r="B23" s="1284" t="s">
        <v>234</v>
      </c>
      <c r="C23" s="1279" t="s">
        <v>235</v>
      </c>
      <c r="D23" s="1279"/>
      <c r="E23" s="1279"/>
      <c r="F23" s="1279"/>
      <c r="G23" s="1279"/>
      <c r="H23" s="1279"/>
      <c r="I23" s="1285"/>
      <c r="J23" s="1281"/>
      <c r="K23" s="1281"/>
      <c r="L23" s="1282"/>
      <c r="M23" s="1281"/>
      <c r="N23" s="1283"/>
      <c r="R23" s="90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2"/>
    </row>
    <row r="24" spans="1:30" ht="14.1" customHeight="1" x14ac:dyDescent="0.3">
      <c r="A24" s="1277"/>
      <c r="B24" s="1278"/>
      <c r="C24" s="1287" t="s">
        <v>236</v>
      </c>
      <c r="D24" s="1279">
        <v>1</v>
      </c>
      <c r="E24" s="1279" t="s">
        <v>237</v>
      </c>
      <c r="F24" s="1288" t="s">
        <v>238</v>
      </c>
      <c r="G24" s="1282">
        <f t="shared" ref="G24:G29" si="0">$J$22</f>
        <v>1.1000000000000001</v>
      </c>
      <c r="H24" s="1289" t="s">
        <v>37</v>
      </c>
      <c r="I24" s="1288" t="s">
        <v>239</v>
      </c>
      <c r="J24" s="1281">
        <f t="shared" ref="J24:J29" si="1">D24*G24</f>
        <v>1.1000000000000001</v>
      </c>
      <c r="K24" s="1281">
        <f>'UPAH BAHAN'!H28</f>
        <v>83500</v>
      </c>
      <c r="L24" s="1282">
        <f t="shared" ref="L24:L29" si="2">J24*K24</f>
        <v>91850.000000000015</v>
      </c>
      <c r="M24" s="1286" t="s">
        <v>233</v>
      </c>
      <c r="N24" s="1283">
        <f t="shared" ref="N24:N29" si="3">L24+M24</f>
        <v>91850.000000000015</v>
      </c>
      <c r="R24" s="90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2"/>
    </row>
    <row r="25" spans="1:30" ht="14.1" customHeight="1" x14ac:dyDescent="0.3">
      <c r="A25" s="1277"/>
      <c r="B25" s="1278"/>
      <c r="C25" s="1287" t="s">
        <v>240</v>
      </c>
      <c r="D25" s="1279">
        <v>1</v>
      </c>
      <c r="E25" s="1279" t="s">
        <v>237</v>
      </c>
      <c r="F25" s="1288" t="s">
        <v>238</v>
      </c>
      <c r="G25" s="1282">
        <f t="shared" si="0"/>
        <v>1.1000000000000001</v>
      </c>
      <c r="H25" s="1289" t="s">
        <v>37</v>
      </c>
      <c r="I25" s="1288" t="s">
        <v>239</v>
      </c>
      <c r="J25" s="1281">
        <f t="shared" si="1"/>
        <v>1.1000000000000001</v>
      </c>
      <c r="K25" s="1281">
        <f>'UPAH BAHAN'!H29</f>
        <v>68500</v>
      </c>
      <c r="L25" s="1282">
        <f t="shared" si="2"/>
        <v>75350</v>
      </c>
      <c r="M25" s="1286" t="s">
        <v>233</v>
      </c>
      <c r="N25" s="1283">
        <f t="shared" si="3"/>
        <v>75350</v>
      </c>
      <c r="R25" s="90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2"/>
    </row>
    <row r="26" spans="1:30" ht="14.1" customHeight="1" x14ac:dyDescent="0.3">
      <c r="A26" s="1277"/>
      <c r="B26" s="1278"/>
      <c r="C26" s="1287" t="s">
        <v>241</v>
      </c>
      <c r="D26" s="1279">
        <v>1</v>
      </c>
      <c r="E26" s="1279" t="s">
        <v>237</v>
      </c>
      <c r="F26" s="1288" t="s">
        <v>238</v>
      </c>
      <c r="G26" s="1282">
        <f t="shared" si="0"/>
        <v>1.1000000000000001</v>
      </c>
      <c r="H26" s="1289" t="s">
        <v>37</v>
      </c>
      <c r="I26" s="1288" t="s">
        <v>239</v>
      </c>
      <c r="J26" s="1281">
        <f t="shared" si="1"/>
        <v>1.1000000000000001</v>
      </c>
      <c r="K26" s="1281">
        <f>'UPAH BAHAN'!H30</f>
        <v>63500</v>
      </c>
      <c r="L26" s="1282">
        <f t="shared" si="2"/>
        <v>69850</v>
      </c>
      <c r="M26" s="1286" t="s">
        <v>233</v>
      </c>
      <c r="N26" s="1283">
        <f t="shared" si="3"/>
        <v>69850</v>
      </c>
      <c r="R26" s="90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2"/>
    </row>
    <row r="27" spans="1:30" ht="14.1" customHeight="1" x14ac:dyDescent="0.3">
      <c r="A27" s="1277"/>
      <c r="B27" s="1278"/>
      <c r="C27" s="1287" t="s">
        <v>242</v>
      </c>
      <c r="D27" s="1279">
        <v>1</v>
      </c>
      <c r="E27" s="1279" t="s">
        <v>237</v>
      </c>
      <c r="F27" s="1288" t="s">
        <v>238</v>
      </c>
      <c r="G27" s="1282">
        <f t="shared" si="0"/>
        <v>1.1000000000000001</v>
      </c>
      <c r="H27" s="1289" t="s">
        <v>37</v>
      </c>
      <c r="I27" s="1288" t="s">
        <v>239</v>
      </c>
      <c r="J27" s="1281">
        <f t="shared" si="1"/>
        <v>1.1000000000000001</v>
      </c>
      <c r="K27" s="1281">
        <f>'UPAH BAHAN'!H31</f>
        <v>54500</v>
      </c>
      <c r="L27" s="1282">
        <f t="shared" si="2"/>
        <v>59950.000000000007</v>
      </c>
      <c r="M27" s="1286" t="s">
        <v>233</v>
      </c>
      <c r="N27" s="1283">
        <f t="shared" si="3"/>
        <v>59950.000000000007</v>
      </c>
      <c r="R27" s="90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2"/>
    </row>
    <row r="28" spans="1:30" ht="14.1" customHeight="1" x14ac:dyDescent="0.3">
      <c r="A28" s="1277"/>
      <c r="B28" s="1278"/>
      <c r="C28" s="1287" t="s">
        <v>243</v>
      </c>
      <c r="D28" s="1279">
        <v>1</v>
      </c>
      <c r="E28" s="1279" t="s">
        <v>237</v>
      </c>
      <c r="F28" s="1288" t="s">
        <v>238</v>
      </c>
      <c r="G28" s="1282">
        <f t="shared" si="0"/>
        <v>1.1000000000000001</v>
      </c>
      <c r="H28" s="1289" t="s">
        <v>37</v>
      </c>
      <c r="I28" s="1288" t="s">
        <v>239</v>
      </c>
      <c r="J28" s="1281">
        <f t="shared" si="1"/>
        <v>1.1000000000000001</v>
      </c>
      <c r="K28" s="1281">
        <f>'UPAH BAHAN'!H32</f>
        <v>52000</v>
      </c>
      <c r="L28" s="1282">
        <f t="shared" si="2"/>
        <v>57200.000000000007</v>
      </c>
      <c r="M28" s="1286" t="s">
        <v>233</v>
      </c>
      <c r="N28" s="1283">
        <f t="shared" si="3"/>
        <v>57200.000000000007</v>
      </c>
      <c r="R28" s="90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2"/>
    </row>
    <row r="29" spans="1:30" ht="14.1" customHeight="1" x14ac:dyDescent="0.3">
      <c r="A29" s="1277"/>
      <c r="B29" s="1278"/>
      <c r="C29" s="1287" t="s">
        <v>244</v>
      </c>
      <c r="D29" s="1279">
        <v>4</v>
      </c>
      <c r="E29" s="1279" t="s">
        <v>237</v>
      </c>
      <c r="F29" s="1288" t="s">
        <v>238</v>
      </c>
      <c r="G29" s="1282">
        <f t="shared" si="0"/>
        <v>1.1000000000000001</v>
      </c>
      <c r="H29" s="1289" t="s">
        <v>37</v>
      </c>
      <c r="I29" s="1288" t="s">
        <v>239</v>
      </c>
      <c r="J29" s="1281">
        <f t="shared" si="1"/>
        <v>4.4000000000000004</v>
      </c>
      <c r="K29" s="1281">
        <f>'UPAH BAHAN'!H33</f>
        <v>36500</v>
      </c>
      <c r="L29" s="1282">
        <f t="shared" si="2"/>
        <v>160600</v>
      </c>
      <c r="M29" s="1286" t="s">
        <v>233</v>
      </c>
      <c r="N29" s="1283">
        <f t="shared" si="3"/>
        <v>160600</v>
      </c>
      <c r="R29" s="90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2"/>
    </row>
    <row r="30" spans="1:30" ht="14.1" customHeight="1" x14ac:dyDescent="0.3">
      <c r="A30" s="1277"/>
      <c r="B30" s="1279"/>
      <c r="C30" s="1279"/>
      <c r="D30" s="1279"/>
      <c r="E30" s="1279"/>
      <c r="F30" s="1279"/>
      <c r="G30" s="1279"/>
      <c r="H30" s="1289"/>
      <c r="I30" s="1290" t="s">
        <v>245</v>
      </c>
      <c r="J30" s="1290"/>
      <c r="K30" s="1290"/>
      <c r="L30" s="1291">
        <f>SUM(L22:L29)</f>
        <v>706151.51750000007</v>
      </c>
      <c r="M30" s="1292" t="s">
        <v>233</v>
      </c>
      <c r="N30" s="1293">
        <f>SUM(N22:N29)</f>
        <v>706151.51750000007</v>
      </c>
      <c r="R30" s="90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2"/>
    </row>
    <row r="31" spans="1:30" ht="14.1" customHeight="1" x14ac:dyDescent="0.3">
      <c r="A31" s="1277"/>
      <c r="B31" s="1279"/>
      <c r="C31" s="1279"/>
      <c r="D31" s="1279"/>
      <c r="E31" s="1279"/>
      <c r="F31" s="1279"/>
      <c r="G31" s="1279"/>
      <c r="H31" s="1289"/>
      <c r="I31" s="1294" t="s">
        <v>512</v>
      </c>
      <c r="J31" s="1295"/>
      <c r="K31" s="1278"/>
      <c r="L31" s="1281"/>
      <c r="M31" s="1281"/>
      <c r="N31" s="1283">
        <f>N30*15%</f>
        <v>105922.72762500001</v>
      </c>
      <c r="R31" s="90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2"/>
    </row>
    <row r="32" spans="1:30" ht="14.1" customHeight="1" x14ac:dyDescent="0.3">
      <c r="A32" s="1277"/>
      <c r="B32" s="1279"/>
      <c r="C32" s="1279"/>
      <c r="D32" s="1279"/>
      <c r="E32" s="1279"/>
      <c r="F32" s="1279"/>
      <c r="G32" s="1279"/>
      <c r="H32" s="1289"/>
      <c r="I32" s="1296" t="s">
        <v>247</v>
      </c>
      <c r="J32" s="1297"/>
      <c r="K32" s="1298"/>
      <c r="L32" s="1299"/>
      <c r="M32" s="1299"/>
      <c r="N32" s="1300">
        <f>N30+N31</f>
        <v>812074.24512500013</v>
      </c>
      <c r="R32" s="90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2"/>
    </row>
    <row r="33" spans="1:30" ht="14.1" customHeight="1" x14ac:dyDescent="0.3">
      <c r="A33" s="1272">
        <f>A20+1</f>
        <v>2</v>
      </c>
      <c r="B33" s="1273" t="s">
        <v>899</v>
      </c>
      <c r="C33" s="1274"/>
      <c r="D33" s="1274"/>
      <c r="E33" s="1274"/>
      <c r="F33" s="1274"/>
      <c r="G33" s="1274"/>
      <c r="H33" s="1274"/>
      <c r="I33" s="1274"/>
      <c r="J33" s="1275"/>
      <c r="K33" s="1275"/>
      <c r="L33" s="1275"/>
      <c r="M33" s="1275"/>
      <c r="N33" s="1276"/>
      <c r="R33" s="90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2"/>
    </row>
    <row r="34" spans="1:30" ht="14.1" customHeight="1" x14ac:dyDescent="0.3">
      <c r="A34" s="1277"/>
      <c r="B34" s="1278"/>
      <c r="C34" s="1279" t="s">
        <v>230</v>
      </c>
      <c r="D34" s="1279"/>
      <c r="E34" s="1279"/>
      <c r="F34" s="1279"/>
      <c r="G34" s="1282"/>
      <c r="H34" s="1289"/>
      <c r="I34" s="1288" t="s">
        <v>37</v>
      </c>
      <c r="J34" s="1281">
        <f>J21*0.8</f>
        <v>0.88000000000000012</v>
      </c>
      <c r="K34" s="1281"/>
      <c r="L34" s="1282"/>
      <c r="M34" s="1281"/>
      <c r="N34" s="1283"/>
      <c r="R34" s="90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2"/>
    </row>
    <row r="35" spans="1:30" ht="14.1" customHeight="1" x14ac:dyDescent="0.3">
      <c r="A35" s="1277"/>
      <c r="B35" s="1284" t="s">
        <v>231</v>
      </c>
      <c r="C35" s="1279" t="s">
        <v>232</v>
      </c>
      <c r="D35" s="1279"/>
      <c r="E35" s="1279"/>
      <c r="F35" s="1279"/>
      <c r="G35" s="1282"/>
      <c r="H35" s="1289"/>
      <c r="I35" s="1288" t="s">
        <v>37</v>
      </c>
      <c r="J35" s="1281">
        <f>J34</f>
        <v>0.88000000000000012</v>
      </c>
      <c r="K35" s="1281">
        <f>K22</f>
        <v>173955.92499999999</v>
      </c>
      <c r="L35" s="1282">
        <f>J35*K35</f>
        <v>153081.21400000001</v>
      </c>
      <c r="M35" s="1286" t="s">
        <v>233</v>
      </c>
      <c r="N35" s="1283">
        <f>L35+M35</f>
        <v>153081.21400000001</v>
      </c>
      <c r="R35" s="90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2"/>
    </row>
    <row r="36" spans="1:30" ht="14.1" customHeight="1" x14ac:dyDescent="0.3">
      <c r="A36" s="1277"/>
      <c r="B36" s="1284" t="s">
        <v>234</v>
      </c>
      <c r="C36" s="1279" t="s">
        <v>235</v>
      </c>
      <c r="D36" s="1279"/>
      <c r="E36" s="1279"/>
      <c r="F36" s="1279"/>
      <c r="G36" s="1279"/>
      <c r="H36" s="1289"/>
      <c r="I36" s="1279"/>
      <c r="J36" s="1281"/>
      <c r="K36" s="1281"/>
      <c r="L36" s="1282"/>
      <c r="M36" s="1281"/>
      <c r="N36" s="1283"/>
      <c r="R36" s="90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2"/>
    </row>
    <row r="37" spans="1:30" ht="14.1" customHeight="1" x14ac:dyDescent="0.3">
      <c r="A37" s="1277"/>
      <c r="B37" s="1278"/>
      <c r="C37" s="1287" t="s">
        <v>236</v>
      </c>
      <c r="D37" s="1279">
        <v>1</v>
      </c>
      <c r="E37" s="1279" t="s">
        <v>237</v>
      </c>
      <c r="F37" s="1288" t="s">
        <v>238</v>
      </c>
      <c r="G37" s="1282">
        <f t="shared" ref="G37:G42" si="4">$J$35</f>
        <v>0.88000000000000012</v>
      </c>
      <c r="H37" s="1289" t="s">
        <v>37</v>
      </c>
      <c r="I37" s="1288" t="s">
        <v>239</v>
      </c>
      <c r="J37" s="1281">
        <f t="shared" ref="J37:J42" si="5">D37*G37</f>
        <v>0.88000000000000012</v>
      </c>
      <c r="K37" s="1281">
        <f t="shared" ref="K37:K42" si="6">K24</f>
        <v>83500</v>
      </c>
      <c r="L37" s="1282">
        <f t="shared" ref="L37:L42" si="7">J37*K37</f>
        <v>73480.000000000015</v>
      </c>
      <c r="M37" s="1286" t="s">
        <v>233</v>
      </c>
      <c r="N37" s="1283">
        <f t="shared" ref="N37:N42" si="8">L37+M37</f>
        <v>73480.000000000015</v>
      </c>
      <c r="R37" s="90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2"/>
    </row>
    <row r="38" spans="1:30" ht="14.1" customHeight="1" x14ac:dyDescent="0.3">
      <c r="A38" s="1277"/>
      <c r="B38" s="1278"/>
      <c r="C38" s="1287" t="s">
        <v>240</v>
      </c>
      <c r="D38" s="1279">
        <v>1</v>
      </c>
      <c r="E38" s="1279" t="s">
        <v>237</v>
      </c>
      <c r="F38" s="1288" t="s">
        <v>238</v>
      </c>
      <c r="G38" s="1282">
        <f t="shared" si="4"/>
        <v>0.88000000000000012</v>
      </c>
      <c r="H38" s="1289" t="s">
        <v>37</v>
      </c>
      <c r="I38" s="1288" t="s">
        <v>239</v>
      </c>
      <c r="J38" s="1281">
        <f t="shared" si="5"/>
        <v>0.88000000000000012</v>
      </c>
      <c r="K38" s="1281">
        <f t="shared" si="6"/>
        <v>68500</v>
      </c>
      <c r="L38" s="1282">
        <f t="shared" si="7"/>
        <v>60280.000000000007</v>
      </c>
      <c r="M38" s="1286" t="s">
        <v>233</v>
      </c>
      <c r="N38" s="1283">
        <f t="shared" si="8"/>
        <v>60280.000000000007</v>
      </c>
      <c r="R38" s="90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2"/>
    </row>
    <row r="39" spans="1:30" ht="14.1" customHeight="1" x14ac:dyDescent="0.3">
      <c r="A39" s="1277"/>
      <c r="B39" s="1278"/>
      <c r="C39" s="1287" t="s">
        <v>241</v>
      </c>
      <c r="D39" s="1279">
        <v>1</v>
      </c>
      <c r="E39" s="1279" t="s">
        <v>237</v>
      </c>
      <c r="F39" s="1288" t="s">
        <v>238</v>
      </c>
      <c r="G39" s="1282">
        <f t="shared" si="4"/>
        <v>0.88000000000000012</v>
      </c>
      <c r="H39" s="1289" t="s">
        <v>37</v>
      </c>
      <c r="I39" s="1288" t="s">
        <v>239</v>
      </c>
      <c r="J39" s="1281">
        <f t="shared" si="5"/>
        <v>0.88000000000000012</v>
      </c>
      <c r="K39" s="1281">
        <f t="shared" si="6"/>
        <v>63500</v>
      </c>
      <c r="L39" s="1282">
        <f t="shared" si="7"/>
        <v>55880.000000000007</v>
      </c>
      <c r="M39" s="1286" t="s">
        <v>233</v>
      </c>
      <c r="N39" s="1283">
        <f t="shared" si="8"/>
        <v>55880.000000000007</v>
      </c>
      <c r="R39" s="90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2"/>
    </row>
    <row r="40" spans="1:30" ht="14.1" customHeight="1" x14ac:dyDescent="0.3">
      <c r="A40" s="1277"/>
      <c r="B40" s="1278"/>
      <c r="C40" s="1287" t="s">
        <v>242</v>
      </c>
      <c r="D40" s="1279">
        <v>1</v>
      </c>
      <c r="E40" s="1279" t="s">
        <v>237</v>
      </c>
      <c r="F40" s="1288" t="s">
        <v>238</v>
      </c>
      <c r="G40" s="1282">
        <f t="shared" si="4"/>
        <v>0.88000000000000012</v>
      </c>
      <c r="H40" s="1289" t="s">
        <v>37</v>
      </c>
      <c r="I40" s="1288" t="s">
        <v>239</v>
      </c>
      <c r="J40" s="1281">
        <f t="shared" si="5"/>
        <v>0.88000000000000012</v>
      </c>
      <c r="K40" s="1281">
        <f t="shared" si="6"/>
        <v>54500</v>
      </c>
      <c r="L40" s="1282">
        <f t="shared" si="7"/>
        <v>47960.000000000007</v>
      </c>
      <c r="M40" s="1286" t="s">
        <v>233</v>
      </c>
      <c r="N40" s="1283">
        <f t="shared" si="8"/>
        <v>47960.000000000007</v>
      </c>
      <c r="R40" s="90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2"/>
    </row>
    <row r="41" spans="1:30" ht="14.1" customHeight="1" x14ac:dyDescent="0.3">
      <c r="A41" s="1277"/>
      <c r="B41" s="1278"/>
      <c r="C41" s="1287" t="s">
        <v>243</v>
      </c>
      <c r="D41" s="1279">
        <v>1</v>
      </c>
      <c r="E41" s="1279" t="s">
        <v>237</v>
      </c>
      <c r="F41" s="1288" t="s">
        <v>238</v>
      </c>
      <c r="G41" s="1282">
        <f t="shared" si="4"/>
        <v>0.88000000000000012</v>
      </c>
      <c r="H41" s="1289" t="s">
        <v>37</v>
      </c>
      <c r="I41" s="1288" t="s">
        <v>239</v>
      </c>
      <c r="J41" s="1281">
        <f t="shared" si="5"/>
        <v>0.88000000000000012</v>
      </c>
      <c r="K41" s="1281">
        <f t="shared" si="6"/>
        <v>52000</v>
      </c>
      <c r="L41" s="1282">
        <f t="shared" si="7"/>
        <v>45760.000000000007</v>
      </c>
      <c r="M41" s="1286" t="s">
        <v>233</v>
      </c>
      <c r="N41" s="1283">
        <f t="shared" si="8"/>
        <v>45760.000000000007</v>
      </c>
      <c r="R41" s="90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2"/>
    </row>
    <row r="42" spans="1:30" ht="14.1" customHeight="1" x14ac:dyDescent="0.3">
      <c r="A42" s="1277"/>
      <c r="B42" s="1278"/>
      <c r="C42" s="1287" t="s">
        <v>244</v>
      </c>
      <c r="D42" s="1279">
        <v>4</v>
      </c>
      <c r="E42" s="1279" t="s">
        <v>237</v>
      </c>
      <c r="F42" s="1288" t="s">
        <v>238</v>
      </c>
      <c r="G42" s="1282">
        <f t="shared" si="4"/>
        <v>0.88000000000000012</v>
      </c>
      <c r="H42" s="1289" t="s">
        <v>37</v>
      </c>
      <c r="I42" s="1288" t="s">
        <v>239</v>
      </c>
      <c r="J42" s="1281">
        <f t="shared" si="5"/>
        <v>3.5200000000000005</v>
      </c>
      <c r="K42" s="1281">
        <f t="shared" si="6"/>
        <v>36500</v>
      </c>
      <c r="L42" s="1282">
        <f t="shared" si="7"/>
        <v>128480.00000000001</v>
      </c>
      <c r="M42" s="1286" t="s">
        <v>233</v>
      </c>
      <c r="N42" s="1283">
        <f t="shared" si="8"/>
        <v>128480.00000000001</v>
      </c>
      <c r="R42" s="90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2"/>
    </row>
    <row r="43" spans="1:30" ht="14.1" customHeight="1" x14ac:dyDescent="0.3">
      <c r="A43" s="1277"/>
      <c r="B43" s="1279"/>
      <c r="C43" s="1279"/>
      <c r="D43" s="1279"/>
      <c r="E43" s="1279"/>
      <c r="F43" s="1279"/>
      <c r="G43" s="1279"/>
      <c r="H43" s="1289"/>
      <c r="I43" s="1290" t="s">
        <v>245</v>
      </c>
      <c r="J43" s="1290"/>
      <c r="K43" s="1301"/>
      <c r="L43" s="1290">
        <f>SUM(L35:L42)</f>
        <v>564921.21400000004</v>
      </c>
      <c r="M43" s="1292" t="s">
        <v>233</v>
      </c>
      <c r="N43" s="1293">
        <f>SUM(N35:N42)</f>
        <v>564921.21400000004</v>
      </c>
      <c r="R43" s="90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2"/>
    </row>
    <row r="44" spans="1:30" ht="14.1" customHeight="1" x14ac:dyDescent="0.3">
      <c r="A44" s="1277"/>
      <c r="B44" s="1279"/>
      <c r="C44" s="1279"/>
      <c r="D44" s="1279"/>
      <c r="E44" s="1279"/>
      <c r="F44" s="1279"/>
      <c r="G44" s="1279"/>
      <c r="H44" s="1289"/>
      <c r="I44" s="1294" t="s">
        <v>512</v>
      </c>
      <c r="J44" s="1295"/>
      <c r="K44" s="1278"/>
      <c r="L44" s="1281"/>
      <c r="M44" s="1281"/>
      <c r="N44" s="1283">
        <f>N43*15%</f>
        <v>84738.182100000005</v>
      </c>
      <c r="R44" s="90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2"/>
    </row>
    <row r="45" spans="1:30" ht="14.1" customHeight="1" x14ac:dyDescent="0.3">
      <c r="A45" s="1277"/>
      <c r="B45" s="1279"/>
      <c r="C45" s="1279"/>
      <c r="D45" s="1279"/>
      <c r="E45" s="1279"/>
      <c r="F45" s="1279"/>
      <c r="G45" s="1279"/>
      <c r="H45" s="1289"/>
      <c r="I45" s="1296" t="s">
        <v>247</v>
      </c>
      <c r="J45" s="1297"/>
      <c r="K45" s="1298"/>
      <c r="L45" s="1299"/>
      <c r="M45" s="1299"/>
      <c r="N45" s="1300">
        <f>N43+N44</f>
        <v>649659.39610000001</v>
      </c>
      <c r="R45" s="90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2"/>
    </row>
    <row r="46" spans="1:30" ht="14.1" customHeight="1" x14ac:dyDescent="0.3">
      <c r="A46" s="1272">
        <f>A33+1</f>
        <v>3</v>
      </c>
      <c r="B46" s="1273" t="s">
        <v>587</v>
      </c>
      <c r="C46" s="1274"/>
      <c r="D46" s="1274"/>
      <c r="E46" s="1274"/>
      <c r="F46" s="1274"/>
      <c r="G46" s="1274"/>
      <c r="H46" s="1274"/>
      <c r="I46" s="1274"/>
      <c r="J46" s="1275"/>
      <c r="K46" s="1275"/>
      <c r="L46" s="1275"/>
      <c r="M46" s="1275"/>
      <c r="N46" s="1276"/>
      <c r="R46" s="90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2"/>
    </row>
    <row r="47" spans="1:30" ht="14.1" customHeight="1" x14ac:dyDescent="0.3">
      <c r="A47" s="1277"/>
      <c r="B47" s="1278"/>
      <c r="C47" s="1279" t="s">
        <v>248</v>
      </c>
      <c r="D47" s="1279"/>
      <c r="E47" s="1279"/>
      <c r="F47" s="1279"/>
      <c r="G47" s="1282"/>
      <c r="H47" s="1289"/>
      <c r="I47" s="1288" t="s">
        <v>37</v>
      </c>
      <c r="J47" s="1302">
        <v>0.35</v>
      </c>
      <c r="K47" s="1281"/>
      <c r="L47" s="1282"/>
      <c r="M47" s="1281"/>
      <c r="N47" s="1283"/>
      <c r="R47" s="90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2"/>
    </row>
    <row r="48" spans="1:30" ht="14.1" customHeight="1" x14ac:dyDescent="0.3">
      <c r="A48" s="1277"/>
      <c r="B48" s="1284" t="s">
        <v>231</v>
      </c>
      <c r="C48" s="1279" t="s">
        <v>232</v>
      </c>
      <c r="D48" s="1279"/>
      <c r="E48" s="1279"/>
      <c r="F48" s="1279"/>
      <c r="G48" s="1282"/>
      <c r="H48" s="1289"/>
      <c r="I48" s="1288" t="s">
        <v>37</v>
      </c>
      <c r="J48" s="1302">
        <f>J47</f>
        <v>0.35</v>
      </c>
      <c r="K48" s="1281">
        <f>K35</f>
        <v>173955.92499999999</v>
      </c>
      <c r="L48" s="1282">
        <f>J48*K48</f>
        <v>60884.573749999989</v>
      </c>
      <c r="M48" s="1286" t="s">
        <v>233</v>
      </c>
      <c r="N48" s="1283">
        <f>L48+M48</f>
        <v>60884.573749999989</v>
      </c>
      <c r="R48" s="90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2"/>
    </row>
    <row r="49" spans="1:30" ht="14.1" customHeight="1" x14ac:dyDescent="0.3">
      <c r="A49" s="1277"/>
      <c r="B49" s="1284" t="s">
        <v>234</v>
      </c>
      <c r="C49" s="1279" t="s">
        <v>249</v>
      </c>
      <c r="D49" s="1279"/>
      <c r="E49" s="1279"/>
      <c r="F49" s="1279"/>
      <c r="G49" s="1282"/>
      <c r="H49" s="1289"/>
      <c r="I49" s="1288" t="s">
        <v>250</v>
      </c>
      <c r="J49" s="1302">
        <v>1</v>
      </c>
      <c r="K49" s="1281">
        <f>2500-1000+250+500+100+150</f>
        <v>2500</v>
      </c>
      <c r="L49" s="1282">
        <f>J49*K49</f>
        <v>2500</v>
      </c>
      <c r="M49" s="1286" t="s">
        <v>233</v>
      </c>
      <c r="N49" s="1283">
        <f>L49+M49</f>
        <v>2500</v>
      </c>
      <c r="R49" s="90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2"/>
    </row>
    <row r="50" spans="1:30" ht="14.1" customHeight="1" x14ac:dyDescent="0.3">
      <c r="A50" s="1277"/>
      <c r="B50" s="1284" t="s">
        <v>251</v>
      </c>
      <c r="C50" s="1279" t="s">
        <v>252</v>
      </c>
      <c r="D50" s="1279"/>
      <c r="E50" s="1279"/>
      <c r="F50" s="1279"/>
      <c r="G50" s="1282"/>
      <c r="H50" s="1289"/>
      <c r="I50" s="1288" t="s">
        <v>15</v>
      </c>
      <c r="J50" s="1302">
        <v>1</v>
      </c>
      <c r="K50" s="1281">
        <f>'UPAH BAHAN'!H128</f>
        <v>185000</v>
      </c>
      <c r="L50" s="1303" t="s">
        <v>233</v>
      </c>
      <c r="M50" s="1281">
        <f>J50*K50</f>
        <v>185000</v>
      </c>
      <c r="N50" s="1283">
        <f>L50+M50</f>
        <v>185000</v>
      </c>
      <c r="R50" s="90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2"/>
    </row>
    <row r="51" spans="1:30" ht="14.1" customHeight="1" x14ac:dyDescent="0.3">
      <c r="A51" s="1277"/>
      <c r="B51" s="1284" t="s">
        <v>253</v>
      </c>
      <c r="C51" s="1279" t="s">
        <v>235</v>
      </c>
      <c r="D51" s="1279"/>
      <c r="E51" s="1279"/>
      <c r="F51" s="1279"/>
      <c r="G51" s="1279"/>
      <c r="H51" s="1289"/>
      <c r="I51" s="1279"/>
      <c r="J51" s="1302"/>
      <c r="K51" s="1281"/>
      <c r="L51" s="1282"/>
      <c r="M51" s="1281"/>
      <c r="N51" s="1283"/>
      <c r="R51" s="90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2"/>
    </row>
    <row r="52" spans="1:30" ht="14.1" customHeight="1" x14ac:dyDescent="0.3">
      <c r="A52" s="1277"/>
      <c r="B52" s="1278"/>
      <c r="C52" s="1287" t="s">
        <v>236</v>
      </c>
      <c r="D52" s="1279">
        <v>1</v>
      </c>
      <c r="E52" s="1279" t="s">
        <v>237</v>
      </c>
      <c r="F52" s="1288" t="s">
        <v>238</v>
      </c>
      <c r="G52" s="1282">
        <f t="shared" ref="G52:G58" si="9">$J$47</f>
        <v>0.35</v>
      </c>
      <c r="H52" s="1289" t="s">
        <v>37</v>
      </c>
      <c r="I52" s="1288" t="s">
        <v>239</v>
      </c>
      <c r="J52" s="1302">
        <f t="shared" ref="J52:J58" si="10">D52*G52</f>
        <v>0.35</v>
      </c>
      <c r="K52" s="1281">
        <f>K37</f>
        <v>83500</v>
      </c>
      <c r="L52" s="1282">
        <f t="shared" ref="L52:L58" si="11">J52*K52</f>
        <v>29224.999999999996</v>
      </c>
      <c r="M52" s="1286" t="s">
        <v>233</v>
      </c>
      <c r="N52" s="1283">
        <f t="shared" ref="N52:N58" si="12">L52+M52</f>
        <v>29224.999999999996</v>
      </c>
      <c r="R52" s="90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2"/>
    </row>
    <row r="53" spans="1:30" ht="14.1" customHeight="1" x14ac:dyDescent="0.3">
      <c r="A53" s="1277"/>
      <c r="B53" s="1278"/>
      <c r="C53" s="1287" t="s">
        <v>240</v>
      </c>
      <c r="D53" s="1279">
        <v>1</v>
      </c>
      <c r="E53" s="1279" t="s">
        <v>237</v>
      </c>
      <c r="F53" s="1288" t="s">
        <v>238</v>
      </c>
      <c r="G53" s="1282">
        <f t="shared" si="9"/>
        <v>0.35</v>
      </c>
      <c r="H53" s="1289" t="s">
        <v>37</v>
      </c>
      <c r="I53" s="1288" t="s">
        <v>239</v>
      </c>
      <c r="J53" s="1302">
        <f t="shared" si="10"/>
        <v>0.35</v>
      </c>
      <c r="K53" s="1281">
        <f>K38</f>
        <v>68500</v>
      </c>
      <c r="L53" s="1282">
        <f t="shared" si="11"/>
        <v>23975</v>
      </c>
      <c r="M53" s="1286" t="s">
        <v>233</v>
      </c>
      <c r="N53" s="1283">
        <f t="shared" si="12"/>
        <v>23975</v>
      </c>
      <c r="R53" s="90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2"/>
    </row>
    <row r="54" spans="1:30" ht="14.1" customHeight="1" x14ac:dyDescent="0.3">
      <c r="A54" s="1277"/>
      <c r="B54" s="1278"/>
      <c r="C54" s="1287" t="s">
        <v>241</v>
      </c>
      <c r="D54" s="1279">
        <v>1</v>
      </c>
      <c r="E54" s="1279" t="s">
        <v>237</v>
      </c>
      <c r="F54" s="1288" t="s">
        <v>238</v>
      </c>
      <c r="G54" s="1282">
        <f t="shared" si="9"/>
        <v>0.35</v>
      </c>
      <c r="H54" s="1289" t="s">
        <v>37</v>
      </c>
      <c r="I54" s="1288" t="s">
        <v>239</v>
      </c>
      <c r="J54" s="1302">
        <f t="shared" si="10"/>
        <v>0.35</v>
      </c>
      <c r="K54" s="1281">
        <f>K39</f>
        <v>63500</v>
      </c>
      <c r="L54" s="1282">
        <f t="shared" si="11"/>
        <v>22225</v>
      </c>
      <c r="M54" s="1286" t="s">
        <v>233</v>
      </c>
      <c r="N54" s="1283">
        <f t="shared" si="12"/>
        <v>22225</v>
      </c>
      <c r="R54" s="90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2"/>
    </row>
    <row r="55" spans="1:30" ht="14.1" customHeight="1" x14ac:dyDescent="0.3">
      <c r="A55" s="1277"/>
      <c r="B55" s="1278"/>
      <c r="C55" s="1287" t="s">
        <v>254</v>
      </c>
      <c r="D55" s="1279">
        <v>1</v>
      </c>
      <c r="E55" s="1279" t="s">
        <v>237</v>
      </c>
      <c r="F55" s="1288" t="s">
        <v>238</v>
      </c>
      <c r="G55" s="1282">
        <f t="shared" si="9"/>
        <v>0.35</v>
      </c>
      <c r="H55" s="1289" t="s">
        <v>37</v>
      </c>
      <c r="I55" s="1288" t="s">
        <v>239</v>
      </c>
      <c r="J55" s="1302">
        <f t="shared" si="10"/>
        <v>0.35</v>
      </c>
      <c r="K55" s="1281">
        <f>K40</f>
        <v>54500</v>
      </c>
      <c r="L55" s="1282">
        <f t="shared" si="11"/>
        <v>19075</v>
      </c>
      <c r="M55" s="1286" t="s">
        <v>233</v>
      </c>
      <c r="N55" s="1283">
        <f t="shared" si="12"/>
        <v>19075</v>
      </c>
      <c r="R55" s="90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2"/>
    </row>
    <row r="56" spans="1:30" ht="14.1" customHeight="1" x14ac:dyDescent="0.3">
      <c r="A56" s="1277"/>
      <c r="B56" s="1278"/>
      <c r="C56" s="1287" t="s">
        <v>242</v>
      </c>
      <c r="D56" s="1279">
        <v>1</v>
      </c>
      <c r="E56" s="1279" t="s">
        <v>237</v>
      </c>
      <c r="F56" s="1288" t="s">
        <v>238</v>
      </c>
      <c r="G56" s="1282">
        <f t="shared" si="9"/>
        <v>0.35</v>
      </c>
      <c r="H56" s="1289" t="s">
        <v>37</v>
      </c>
      <c r="I56" s="1288" t="s">
        <v>239</v>
      </c>
      <c r="J56" s="1302">
        <f t="shared" si="10"/>
        <v>0.35</v>
      </c>
      <c r="K56" s="1281">
        <f>K40</f>
        <v>54500</v>
      </c>
      <c r="L56" s="1282">
        <f t="shared" si="11"/>
        <v>19075</v>
      </c>
      <c r="M56" s="1286" t="s">
        <v>233</v>
      </c>
      <c r="N56" s="1283">
        <f t="shared" si="12"/>
        <v>19075</v>
      </c>
      <c r="R56" s="90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2"/>
    </row>
    <row r="57" spans="1:30" ht="14.1" customHeight="1" x14ac:dyDescent="0.3">
      <c r="A57" s="1277"/>
      <c r="B57" s="1278"/>
      <c r="C57" s="1287" t="s">
        <v>243</v>
      </c>
      <c r="D57" s="1279">
        <v>1</v>
      </c>
      <c r="E57" s="1279" t="s">
        <v>237</v>
      </c>
      <c r="F57" s="1288" t="s">
        <v>238</v>
      </c>
      <c r="G57" s="1282">
        <f t="shared" si="9"/>
        <v>0.35</v>
      </c>
      <c r="H57" s="1289" t="s">
        <v>37</v>
      </c>
      <c r="I57" s="1288" t="s">
        <v>239</v>
      </c>
      <c r="J57" s="1302">
        <f t="shared" si="10"/>
        <v>0.35</v>
      </c>
      <c r="K57" s="1281">
        <f>K41</f>
        <v>52000</v>
      </c>
      <c r="L57" s="1282">
        <f t="shared" si="11"/>
        <v>18200</v>
      </c>
      <c r="M57" s="1286" t="s">
        <v>233</v>
      </c>
      <c r="N57" s="1283">
        <f t="shared" si="12"/>
        <v>18200</v>
      </c>
      <c r="R57" s="90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2"/>
    </row>
    <row r="58" spans="1:30" ht="14.1" customHeight="1" x14ac:dyDescent="0.3">
      <c r="A58" s="1277"/>
      <c r="B58" s="1278"/>
      <c r="C58" s="1287" t="s">
        <v>244</v>
      </c>
      <c r="D58" s="1279">
        <v>4</v>
      </c>
      <c r="E58" s="1279" t="s">
        <v>237</v>
      </c>
      <c r="F58" s="1288" t="s">
        <v>238</v>
      </c>
      <c r="G58" s="1282">
        <f t="shared" si="9"/>
        <v>0.35</v>
      </c>
      <c r="H58" s="1289" t="s">
        <v>37</v>
      </c>
      <c r="I58" s="1288" t="s">
        <v>239</v>
      </c>
      <c r="J58" s="1302">
        <f t="shared" si="10"/>
        <v>1.4</v>
      </c>
      <c r="K58" s="1281">
        <f>K42</f>
        <v>36500</v>
      </c>
      <c r="L58" s="1282">
        <f t="shared" si="11"/>
        <v>51100</v>
      </c>
      <c r="M58" s="1286" t="s">
        <v>233</v>
      </c>
      <c r="N58" s="1283">
        <f t="shared" si="12"/>
        <v>51100</v>
      </c>
      <c r="R58" s="90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2"/>
    </row>
    <row r="59" spans="1:30" ht="14.1" customHeight="1" x14ac:dyDescent="0.3">
      <c r="A59" s="1277"/>
      <c r="B59" s="1279"/>
      <c r="C59" s="1279"/>
      <c r="D59" s="1279"/>
      <c r="E59" s="1279"/>
      <c r="F59" s="1279"/>
      <c r="G59" s="1279"/>
      <c r="H59" s="1289"/>
      <c r="I59" s="1290" t="s">
        <v>245</v>
      </c>
      <c r="J59" s="1290"/>
      <c r="K59" s="1301"/>
      <c r="L59" s="1291">
        <f>SUM(L48:L58)</f>
        <v>246259.57374999998</v>
      </c>
      <c r="M59" s="1291">
        <f>SUM(M48:M58)</f>
        <v>185000</v>
      </c>
      <c r="N59" s="1293">
        <f>SUM(N48:N58)</f>
        <v>431259.57374999998</v>
      </c>
      <c r="R59" s="90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2"/>
    </row>
    <row r="60" spans="1:30" ht="14.1" customHeight="1" x14ac:dyDescent="0.3">
      <c r="A60" s="1277"/>
      <c r="B60" s="1279"/>
      <c r="C60" s="1279"/>
      <c r="D60" s="1279"/>
      <c r="E60" s="1279"/>
      <c r="F60" s="1279"/>
      <c r="G60" s="1279"/>
      <c r="H60" s="1289"/>
      <c r="I60" s="1304" t="s">
        <v>246</v>
      </c>
      <c r="J60" s="1295"/>
      <c r="K60" s="1278"/>
      <c r="L60" s="1281"/>
      <c r="M60" s="1281"/>
      <c r="N60" s="1283">
        <f>N59*10%</f>
        <v>43125.957374999998</v>
      </c>
      <c r="R60" s="90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2"/>
    </row>
    <row r="61" spans="1:30" ht="14.1" customHeight="1" x14ac:dyDescent="0.3">
      <c r="A61" s="1277"/>
      <c r="B61" s="1279"/>
      <c r="C61" s="1279"/>
      <c r="D61" s="1279"/>
      <c r="E61" s="1279"/>
      <c r="F61" s="1279"/>
      <c r="G61" s="1279"/>
      <c r="H61" s="1289"/>
      <c r="I61" s="1296" t="s">
        <v>247</v>
      </c>
      <c r="J61" s="1297"/>
      <c r="K61" s="1298"/>
      <c r="L61" s="1299"/>
      <c r="M61" s="1299"/>
      <c r="N61" s="1300">
        <f>N59+N60</f>
        <v>474385.53112499998</v>
      </c>
      <c r="R61" s="90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2"/>
    </row>
    <row r="62" spans="1:30" ht="14.1" customHeight="1" x14ac:dyDescent="0.3">
      <c r="A62" s="1272">
        <f>A46+1</f>
        <v>4</v>
      </c>
      <c r="B62" s="1273" t="s">
        <v>588</v>
      </c>
      <c r="C62" s="1274"/>
      <c r="D62" s="1274"/>
      <c r="E62" s="1274"/>
      <c r="F62" s="1274"/>
      <c r="G62" s="1274"/>
      <c r="H62" s="1274"/>
      <c r="I62" s="1274"/>
      <c r="J62" s="1275"/>
      <c r="K62" s="1275"/>
      <c r="L62" s="1275"/>
      <c r="M62" s="1275"/>
      <c r="N62" s="1276"/>
      <c r="R62" s="90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2"/>
    </row>
    <row r="63" spans="1:30" ht="14.1" customHeight="1" x14ac:dyDescent="0.3">
      <c r="A63" s="1277"/>
      <c r="B63" s="1278"/>
      <c r="C63" s="1279" t="s">
        <v>248</v>
      </c>
      <c r="D63" s="1279"/>
      <c r="E63" s="1279"/>
      <c r="F63" s="1279"/>
      <c r="G63" s="1282"/>
      <c r="H63" s="1289"/>
      <c r="I63" s="1288" t="s">
        <v>37</v>
      </c>
      <c r="J63" s="1281">
        <f>J47</f>
        <v>0.35</v>
      </c>
      <c r="K63" s="1281"/>
      <c r="L63" s="1282"/>
      <c r="M63" s="1281"/>
      <c r="N63" s="1283"/>
      <c r="R63" s="90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2"/>
    </row>
    <row r="64" spans="1:30" ht="14.1" customHeight="1" x14ac:dyDescent="0.3">
      <c r="A64" s="1277"/>
      <c r="B64" s="1284" t="s">
        <v>231</v>
      </c>
      <c r="C64" s="1279" t="s">
        <v>232</v>
      </c>
      <c r="D64" s="1279"/>
      <c r="E64" s="1279"/>
      <c r="F64" s="1279"/>
      <c r="G64" s="1282"/>
      <c r="H64" s="1289"/>
      <c r="I64" s="1288" t="s">
        <v>37</v>
      </c>
      <c r="J64" s="1281">
        <f>J63</f>
        <v>0.35</v>
      </c>
      <c r="K64" s="1281">
        <f>K48</f>
        <v>173955.92499999999</v>
      </c>
      <c r="L64" s="1282">
        <f>J64*K64</f>
        <v>60884.573749999989</v>
      </c>
      <c r="M64" s="1286" t="s">
        <v>233</v>
      </c>
      <c r="N64" s="1283">
        <f>L64+M64</f>
        <v>60884.573749999989</v>
      </c>
      <c r="R64" s="90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2"/>
    </row>
    <row r="65" spans="1:30" ht="14.1" customHeight="1" x14ac:dyDescent="0.3">
      <c r="A65" s="1277"/>
      <c r="B65" s="1284" t="s">
        <v>234</v>
      </c>
      <c r="C65" s="1279" t="s">
        <v>249</v>
      </c>
      <c r="D65" s="1279"/>
      <c r="E65" s="1279"/>
      <c r="F65" s="1279"/>
      <c r="G65" s="1282"/>
      <c r="H65" s="1289"/>
      <c r="I65" s="1288" t="s">
        <v>250</v>
      </c>
      <c r="J65" s="1281">
        <v>1</v>
      </c>
      <c r="K65" s="1281">
        <f>$K$49</f>
        <v>2500</v>
      </c>
      <c r="L65" s="1282">
        <f>J65*K65</f>
        <v>2500</v>
      </c>
      <c r="M65" s="1286" t="s">
        <v>233</v>
      </c>
      <c r="N65" s="1283">
        <f>L65+M65</f>
        <v>2500</v>
      </c>
      <c r="R65" s="90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2"/>
    </row>
    <row r="66" spans="1:30" ht="14.1" customHeight="1" x14ac:dyDescent="0.3">
      <c r="A66" s="1277"/>
      <c r="B66" s="1284" t="s">
        <v>251</v>
      </c>
      <c r="C66" s="1279" t="s">
        <v>252</v>
      </c>
      <c r="D66" s="1279"/>
      <c r="E66" s="1279"/>
      <c r="F66" s="1279"/>
      <c r="G66" s="1282"/>
      <c r="H66" s="1289"/>
      <c r="I66" s="1288" t="s">
        <v>15</v>
      </c>
      <c r="J66" s="1281">
        <v>1</v>
      </c>
      <c r="K66" s="1281">
        <f>+K50</f>
        <v>185000</v>
      </c>
      <c r="L66" s="1303" t="s">
        <v>233</v>
      </c>
      <c r="M66" s="1281">
        <f>J66*K66</f>
        <v>185000</v>
      </c>
      <c r="N66" s="1283">
        <f>L66+M66</f>
        <v>185000</v>
      </c>
      <c r="R66" s="90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2"/>
    </row>
    <row r="67" spans="1:30" ht="14.1" customHeight="1" x14ac:dyDescent="0.3">
      <c r="A67" s="1277"/>
      <c r="B67" s="1284" t="s">
        <v>253</v>
      </c>
      <c r="C67" s="1279" t="s">
        <v>255</v>
      </c>
      <c r="D67" s="1279"/>
      <c r="E67" s="1279"/>
      <c r="F67" s="1279"/>
      <c r="G67" s="1282"/>
      <c r="H67" s="1289"/>
      <c r="I67" s="1288" t="s">
        <v>250</v>
      </c>
      <c r="J67" s="1281">
        <v>1</v>
      </c>
      <c r="K67" s="1281">
        <f>$K$49</f>
        <v>2500</v>
      </c>
      <c r="L67" s="1282">
        <f>J67*K67</f>
        <v>2500</v>
      </c>
      <c r="M67" s="1286" t="s">
        <v>233</v>
      </c>
      <c r="N67" s="1283">
        <f>L67+M67</f>
        <v>2500</v>
      </c>
      <c r="R67" s="90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2"/>
    </row>
    <row r="68" spans="1:30" ht="14.1" customHeight="1" x14ac:dyDescent="0.3">
      <c r="A68" s="1277"/>
      <c r="B68" s="1284" t="s">
        <v>253</v>
      </c>
      <c r="C68" s="1279" t="s">
        <v>235</v>
      </c>
      <c r="D68" s="1279"/>
      <c r="E68" s="1279"/>
      <c r="F68" s="1279"/>
      <c r="G68" s="1279"/>
      <c r="H68" s="1289"/>
      <c r="I68" s="1279"/>
      <c r="J68" s="1281"/>
      <c r="K68" s="1281"/>
      <c r="L68" s="1282"/>
      <c r="M68" s="1281"/>
      <c r="N68" s="1283"/>
      <c r="R68" s="90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2"/>
    </row>
    <row r="69" spans="1:30" ht="14.1" customHeight="1" x14ac:dyDescent="0.3">
      <c r="A69" s="1277"/>
      <c r="B69" s="1278"/>
      <c r="C69" s="1287" t="s">
        <v>236</v>
      </c>
      <c r="D69" s="1279">
        <v>1</v>
      </c>
      <c r="E69" s="1279" t="s">
        <v>237</v>
      </c>
      <c r="F69" s="1288" t="s">
        <v>238</v>
      </c>
      <c r="G69" s="1282">
        <f t="shared" ref="G69:G75" si="13">$J$63</f>
        <v>0.35</v>
      </c>
      <c r="H69" s="1289" t="s">
        <v>37</v>
      </c>
      <c r="I69" s="1288" t="s">
        <v>239</v>
      </c>
      <c r="J69" s="1281">
        <f t="shared" ref="J69:J75" si="14">D69*G69</f>
        <v>0.35</v>
      </c>
      <c r="K69" s="1281">
        <f>K52</f>
        <v>83500</v>
      </c>
      <c r="L69" s="1282">
        <f t="shared" ref="L69:L75" si="15">J69*K69</f>
        <v>29224.999999999996</v>
      </c>
      <c r="M69" s="1286" t="s">
        <v>233</v>
      </c>
      <c r="N69" s="1283">
        <f t="shared" ref="N69:N75" si="16">L69+M69</f>
        <v>29224.999999999996</v>
      </c>
      <c r="R69" s="90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2"/>
    </row>
    <row r="70" spans="1:30" ht="14.1" customHeight="1" x14ac:dyDescent="0.3">
      <c r="A70" s="1277"/>
      <c r="B70" s="1278"/>
      <c r="C70" s="1287" t="s">
        <v>240</v>
      </c>
      <c r="D70" s="1279">
        <v>1</v>
      </c>
      <c r="E70" s="1279" t="s">
        <v>237</v>
      </c>
      <c r="F70" s="1288" t="s">
        <v>238</v>
      </c>
      <c r="G70" s="1282">
        <f t="shared" si="13"/>
        <v>0.35</v>
      </c>
      <c r="H70" s="1289" t="s">
        <v>37</v>
      </c>
      <c r="I70" s="1288" t="s">
        <v>239</v>
      </c>
      <c r="J70" s="1281">
        <f t="shared" si="14"/>
        <v>0.35</v>
      </c>
      <c r="K70" s="1281">
        <f t="shared" ref="K70:K75" si="17">K53</f>
        <v>68500</v>
      </c>
      <c r="L70" s="1282">
        <f t="shared" si="15"/>
        <v>23975</v>
      </c>
      <c r="M70" s="1286" t="s">
        <v>233</v>
      </c>
      <c r="N70" s="1283">
        <f t="shared" si="16"/>
        <v>23975</v>
      </c>
      <c r="R70" s="90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2"/>
    </row>
    <row r="71" spans="1:30" ht="14.1" customHeight="1" x14ac:dyDescent="0.3">
      <c r="A71" s="1277"/>
      <c r="B71" s="1278"/>
      <c r="C71" s="1287" t="s">
        <v>241</v>
      </c>
      <c r="D71" s="1279">
        <v>1</v>
      </c>
      <c r="E71" s="1279" t="s">
        <v>237</v>
      </c>
      <c r="F71" s="1288" t="s">
        <v>238</v>
      </c>
      <c r="G71" s="1282">
        <f t="shared" si="13"/>
        <v>0.35</v>
      </c>
      <c r="H71" s="1289" t="s">
        <v>37</v>
      </c>
      <c r="I71" s="1288" t="s">
        <v>239</v>
      </c>
      <c r="J71" s="1281">
        <f t="shared" si="14"/>
        <v>0.35</v>
      </c>
      <c r="K71" s="1281">
        <f t="shared" si="17"/>
        <v>63500</v>
      </c>
      <c r="L71" s="1282">
        <f t="shared" si="15"/>
        <v>22225</v>
      </c>
      <c r="M71" s="1286" t="s">
        <v>233</v>
      </c>
      <c r="N71" s="1283">
        <f t="shared" si="16"/>
        <v>22225</v>
      </c>
      <c r="R71" s="90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2"/>
    </row>
    <row r="72" spans="1:30" ht="14.1" customHeight="1" x14ac:dyDescent="0.3">
      <c r="A72" s="1277"/>
      <c r="B72" s="1278"/>
      <c r="C72" s="1287" t="s">
        <v>254</v>
      </c>
      <c r="D72" s="1279">
        <v>1</v>
      </c>
      <c r="E72" s="1279" t="s">
        <v>237</v>
      </c>
      <c r="F72" s="1288" t="s">
        <v>238</v>
      </c>
      <c r="G72" s="1282">
        <f t="shared" si="13"/>
        <v>0.35</v>
      </c>
      <c r="H72" s="1289" t="s">
        <v>37</v>
      </c>
      <c r="I72" s="1288" t="s">
        <v>239</v>
      </c>
      <c r="J72" s="1281">
        <f t="shared" si="14"/>
        <v>0.35</v>
      </c>
      <c r="K72" s="1281">
        <f t="shared" si="17"/>
        <v>54500</v>
      </c>
      <c r="L72" s="1282">
        <f t="shared" si="15"/>
        <v>19075</v>
      </c>
      <c r="M72" s="1286" t="s">
        <v>233</v>
      </c>
      <c r="N72" s="1283">
        <f t="shared" si="16"/>
        <v>19075</v>
      </c>
      <c r="R72" s="90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2"/>
    </row>
    <row r="73" spans="1:30" ht="14.1" customHeight="1" x14ac:dyDescent="0.3">
      <c r="A73" s="1277"/>
      <c r="B73" s="1278"/>
      <c r="C73" s="1287" t="s">
        <v>242</v>
      </c>
      <c r="D73" s="1279">
        <v>1</v>
      </c>
      <c r="E73" s="1279" t="s">
        <v>237</v>
      </c>
      <c r="F73" s="1288" t="s">
        <v>238</v>
      </c>
      <c r="G73" s="1282">
        <f t="shared" si="13"/>
        <v>0.35</v>
      </c>
      <c r="H73" s="1289" t="s">
        <v>37</v>
      </c>
      <c r="I73" s="1288" t="s">
        <v>239</v>
      </c>
      <c r="J73" s="1281">
        <f t="shared" si="14"/>
        <v>0.35</v>
      </c>
      <c r="K73" s="1281">
        <f t="shared" si="17"/>
        <v>54500</v>
      </c>
      <c r="L73" s="1282">
        <f t="shared" si="15"/>
        <v>19075</v>
      </c>
      <c r="M73" s="1286" t="s">
        <v>233</v>
      </c>
      <c r="N73" s="1283">
        <f t="shared" si="16"/>
        <v>19075</v>
      </c>
      <c r="R73" s="90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2"/>
    </row>
    <row r="74" spans="1:30" ht="14.1" customHeight="1" x14ac:dyDescent="0.3">
      <c r="A74" s="1277"/>
      <c r="B74" s="1278"/>
      <c r="C74" s="1287" t="s">
        <v>243</v>
      </c>
      <c r="D74" s="1279">
        <v>1</v>
      </c>
      <c r="E74" s="1279" t="s">
        <v>237</v>
      </c>
      <c r="F74" s="1288" t="s">
        <v>238</v>
      </c>
      <c r="G74" s="1282">
        <f t="shared" si="13"/>
        <v>0.35</v>
      </c>
      <c r="H74" s="1289" t="s">
        <v>37</v>
      </c>
      <c r="I74" s="1288" t="s">
        <v>239</v>
      </c>
      <c r="J74" s="1281">
        <f t="shared" si="14"/>
        <v>0.35</v>
      </c>
      <c r="K74" s="1281">
        <f t="shared" si="17"/>
        <v>52000</v>
      </c>
      <c r="L74" s="1282">
        <f t="shared" si="15"/>
        <v>18200</v>
      </c>
      <c r="M74" s="1286" t="s">
        <v>233</v>
      </c>
      <c r="N74" s="1283">
        <f t="shared" si="16"/>
        <v>18200</v>
      </c>
      <c r="R74" s="90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2"/>
    </row>
    <row r="75" spans="1:30" ht="14.1" customHeight="1" x14ac:dyDescent="0.3">
      <c r="A75" s="1277"/>
      <c r="B75" s="1278"/>
      <c r="C75" s="1287" t="s">
        <v>244</v>
      </c>
      <c r="D75" s="1279">
        <v>4</v>
      </c>
      <c r="E75" s="1279" t="s">
        <v>237</v>
      </c>
      <c r="F75" s="1288" t="s">
        <v>238</v>
      </c>
      <c r="G75" s="1282">
        <f t="shared" si="13"/>
        <v>0.35</v>
      </c>
      <c r="H75" s="1289" t="s">
        <v>37</v>
      </c>
      <c r="I75" s="1288" t="s">
        <v>239</v>
      </c>
      <c r="J75" s="1281">
        <f t="shared" si="14"/>
        <v>1.4</v>
      </c>
      <c r="K75" s="1281">
        <f t="shared" si="17"/>
        <v>36500</v>
      </c>
      <c r="L75" s="1282">
        <f t="shared" si="15"/>
        <v>51100</v>
      </c>
      <c r="M75" s="1286" t="s">
        <v>233</v>
      </c>
      <c r="N75" s="1283">
        <f t="shared" si="16"/>
        <v>51100</v>
      </c>
      <c r="R75" s="90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2"/>
    </row>
    <row r="76" spans="1:30" ht="14.1" customHeight="1" x14ac:dyDescent="0.3">
      <c r="A76" s="1277"/>
      <c r="B76" s="1279"/>
      <c r="C76" s="1279"/>
      <c r="D76" s="1279"/>
      <c r="E76" s="1279"/>
      <c r="F76" s="1279"/>
      <c r="G76" s="1279"/>
      <c r="H76" s="1289"/>
      <c r="I76" s="1290" t="s">
        <v>245</v>
      </c>
      <c r="J76" s="1290"/>
      <c r="K76" s="1301"/>
      <c r="L76" s="1291">
        <f>SUM(L64:L75)</f>
        <v>248759.57374999998</v>
      </c>
      <c r="M76" s="1291">
        <f>SUM(M64:M75)</f>
        <v>185000</v>
      </c>
      <c r="N76" s="1293">
        <f>SUM(N64:N75)</f>
        <v>433759.57374999998</v>
      </c>
      <c r="R76" s="90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2"/>
    </row>
    <row r="77" spans="1:30" ht="14.1" customHeight="1" x14ac:dyDescent="0.3">
      <c r="A77" s="1277"/>
      <c r="B77" s="1279"/>
      <c r="C77" s="1279"/>
      <c r="D77" s="1279"/>
      <c r="E77" s="1279"/>
      <c r="F77" s="1279"/>
      <c r="G77" s="1279"/>
      <c r="H77" s="1289"/>
      <c r="I77" s="1294" t="s">
        <v>512</v>
      </c>
      <c r="J77" s="1295"/>
      <c r="K77" s="1278"/>
      <c r="L77" s="1281"/>
      <c r="M77" s="1281"/>
      <c r="N77" s="1283">
        <f>N76*15%</f>
        <v>65063.936062499997</v>
      </c>
      <c r="R77" s="90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2"/>
    </row>
    <row r="78" spans="1:30" ht="14.1" customHeight="1" x14ac:dyDescent="0.3">
      <c r="A78" s="1277"/>
      <c r="B78" s="1279"/>
      <c r="C78" s="1279"/>
      <c r="D78" s="1279"/>
      <c r="E78" s="1279"/>
      <c r="F78" s="1279"/>
      <c r="G78" s="1279"/>
      <c r="H78" s="1289"/>
      <c r="I78" s="1296" t="s">
        <v>247</v>
      </c>
      <c r="J78" s="1297"/>
      <c r="K78" s="1298"/>
      <c r="L78" s="1299"/>
      <c r="M78" s="1299"/>
      <c r="N78" s="1300">
        <f>N76+N77</f>
        <v>498823.50981249998</v>
      </c>
      <c r="R78" s="90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2"/>
    </row>
    <row r="79" spans="1:30" ht="14.1" customHeight="1" thickBot="1" x14ac:dyDescent="0.35">
      <c r="A79" s="1305"/>
      <c r="B79" s="1306"/>
      <c r="C79" s="1306"/>
      <c r="D79" s="1306"/>
      <c r="E79" s="1306"/>
      <c r="F79" s="1306"/>
      <c r="G79" s="1306"/>
      <c r="H79" s="1307"/>
      <c r="I79" s="1306"/>
      <c r="J79" s="1308"/>
      <c r="K79" s="1308"/>
      <c r="L79" s="1309"/>
      <c r="M79" s="1308"/>
      <c r="N79" s="1310"/>
      <c r="R79" s="90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2"/>
    </row>
    <row r="80" spans="1:30" ht="14.1" customHeight="1" x14ac:dyDescent="0.3">
      <c r="A80" s="102"/>
      <c r="B80" s="1"/>
      <c r="C80" s="1"/>
      <c r="D80" s="1"/>
      <c r="E80" s="1"/>
      <c r="F80" s="1"/>
      <c r="G80" s="1"/>
      <c r="H80" s="996"/>
      <c r="I80" s="1059"/>
      <c r="J80" s="113"/>
      <c r="K80" s="114"/>
      <c r="L80" s="175"/>
      <c r="M80" s="175"/>
      <c r="N80" s="116"/>
      <c r="R80" s="90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2"/>
    </row>
    <row r="81" spans="1:30" ht="14.1" customHeight="1" x14ac:dyDescent="0.3">
      <c r="A81" s="634" t="s">
        <v>904</v>
      </c>
      <c r="B81" s="316" t="s">
        <v>905</v>
      </c>
      <c r="C81" s="1"/>
      <c r="D81" s="1"/>
      <c r="E81" s="1"/>
      <c r="F81" s="1"/>
      <c r="G81" s="1"/>
      <c r="H81" s="996"/>
      <c r="I81" s="1059"/>
      <c r="J81" s="113"/>
      <c r="K81" s="114"/>
      <c r="L81" s="175"/>
      <c r="M81" s="175"/>
      <c r="N81" s="116"/>
      <c r="R81" s="90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2"/>
    </row>
    <row r="82" spans="1:30" ht="14.1" customHeight="1" x14ac:dyDescent="0.3">
      <c r="A82" s="1311">
        <v>1</v>
      </c>
      <c r="B82" s="1312" t="s">
        <v>900</v>
      </c>
      <c r="C82" s="1313"/>
      <c r="D82" s="1313"/>
      <c r="E82" s="1313"/>
      <c r="F82" s="1313"/>
      <c r="G82" s="1313"/>
      <c r="H82" s="1313"/>
      <c r="I82" s="1313"/>
      <c r="J82" s="1314"/>
      <c r="K82" s="1314"/>
      <c r="L82" s="1314"/>
      <c r="M82" s="1314"/>
      <c r="N82" s="1315"/>
      <c r="R82" s="90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2"/>
    </row>
    <row r="83" spans="1:30" ht="14.1" customHeight="1" x14ac:dyDescent="0.3">
      <c r="A83" s="1316"/>
      <c r="B83" s="1317"/>
      <c r="C83" s="1318" t="s">
        <v>230</v>
      </c>
      <c r="D83" s="1318"/>
      <c r="E83" s="1318"/>
      <c r="F83" s="1318"/>
      <c r="G83" s="1318"/>
      <c r="H83" s="1318"/>
      <c r="I83" s="1319" t="s">
        <v>37</v>
      </c>
      <c r="J83" s="1320">
        <v>1.1000000000000001</v>
      </c>
      <c r="K83" s="1320"/>
      <c r="L83" s="1321"/>
      <c r="M83" s="1320"/>
      <c r="N83" s="1322"/>
      <c r="R83" s="90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2"/>
    </row>
    <row r="84" spans="1:30" ht="14.1" customHeight="1" x14ac:dyDescent="0.3">
      <c r="A84" s="1316"/>
      <c r="B84" s="1323" t="s">
        <v>231</v>
      </c>
      <c r="C84" s="1318" t="s">
        <v>232</v>
      </c>
      <c r="D84" s="1318"/>
      <c r="E84" s="1318"/>
      <c r="F84" s="1318"/>
      <c r="G84" s="1318"/>
      <c r="H84" s="1318"/>
      <c r="I84" s="1324" t="s">
        <v>37</v>
      </c>
      <c r="J84" s="1320">
        <f>J83</f>
        <v>1.1000000000000001</v>
      </c>
      <c r="K84" s="1320">
        <f>'BOR 6"'!J40</f>
        <v>129955.92499999999</v>
      </c>
      <c r="L84" s="1321">
        <f>J84*K84</f>
        <v>142951.51749999999</v>
      </c>
      <c r="M84" s="1325" t="s">
        <v>233</v>
      </c>
      <c r="N84" s="1322">
        <f>L84+M84</f>
        <v>142951.51749999999</v>
      </c>
      <c r="R84" s="90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2"/>
    </row>
    <row r="85" spans="1:30" ht="14.1" customHeight="1" x14ac:dyDescent="0.3">
      <c r="A85" s="1316"/>
      <c r="B85" s="1323" t="s">
        <v>234</v>
      </c>
      <c r="C85" s="1318" t="s">
        <v>235</v>
      </c>
      <c r="D85" s="1318"/>
      <c r="E85" s="1318"/>
      <c r="F85" s="1318"/>
      <c r="G85" s="1318"/>
      <c r="H85" s="1318"/>
      <c r="I85" s="1324"/>
      <c r="J85" s="1320"/>
      <c r="K85" s="1320"/>
      <c r="L85" s="1321"/>
      <c r="M85" s="1320"/>
      <c r="N85" s="1322"/>
      <c r="R85" s="90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2"/>
    </row>
    <row r="86" spans="1:30" ht="14.1" customHeight="1" x14ac:dyDescent="0.3">
      <c r="A86" s="1316"/>
      <c r="B86" s="1317"/>
      <c r="C86" s="1326" t="s">
        <v>236</v>
      </c>
      <c r="D86" s="1318">
        <v>1</v>
      </c>
      <c r="E86" s="1318" t="s">
        <v>237</v>
      </c>
      <c r="F86" s="1327" t="s">
        <v>238</v>
      </c>
      <c r="G86" s="1321">
        <f t="shared" ref="G86:G91" si="18">$J$22</f>
        <v>1.1000000000000001</v>
      </c>
      <c r="H86" s="1328" t="s">
        <v>37</v>
      </c>
      <c r="I86" s="1327" t="s">
        <v>239</v>
      </c>
      <c r="J86" s="1320">
        <f t="shared" ref="J86:J91" si="19">D86*G86</f>
        <v>1.1000000000000001</v>
      </c>
      <c r="K86" s="1320">
        <f>K24</f>
        <v>83500</v>
      </c>
      <c r="L86" s="1321">
        <f t="shared" ref="L86:L91" si="20">J86*K86</f>
        <v>91850.000000000015</v>
      </c>
      <c r="M86" s="1325" t="s">
        <v>233</v>
      </c>
      <c r="N86" s="1322">
        <f t="shared" ref="N86:N91" si="21">L86+M86</f>
        <v>91850.000000000015</v>
      </c>
      <c r="R86" s="90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2"/>
    </row>
    <row r="87" spans="1:30" ht="14.1" customHeight="1" x14ac:dyDescent="0.3">
      <c r="A87" s="1316"/>
      <c r="B87" s="1317"/>
      <c r="C87" s="1326" t="s">
        <v>240</v>
      </c>
      <c r="D87" s="1318">
        <v>1</v>
      </c>
      <c r="E87" s="1318" t="s">
        <v>237</v>
      </c>
      <c r="F87" s="1327" t="s">
        <v>238</v>
      </c>
      <c r="G87" s="1321">
        <f t="shared" si="18"/>
        <v>1.1000000000000001</v>
      </c>
      <c r="H87" s="1328" t="s">
        <v>37</v>
      </c>
      <c r="I87" s="1327" t="s">
        <v>239</v>
      </c>
      <c r="J87" s="1320">
        <f t="shared" si="19"/>
        <v>1.1000000000000001</v>
      </c>
      <c r="K87" s="1320">
        <f t="shared" ref="K87:K91" si="22">K25</f>
        <v>68500</v>
      </c>
      <c r="L87" s="1321">
        <f t="shared" si="20"/>
        <v>75350</v>
      </c>
      <c r="M87" s="1325" t="s">
        <v>233</v>
      </c>
      <c r="N87" s="1322">
        <f t="shared" si="21"/>
        <v>75350</v>
      </c>
      <c r="R87" s="90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2"/>
    </row>
    <row r="88" spans="1:30" ht="14.1" customHeight="1" x14ac:dyDescent="0.3">
      <c r="A88" s="1316"/>
      <c r="B88" s="1317"/>
      <c r="C88" s="1326" t="s">
        <v>241</v>
      </c>
      <c r="D88" s="1318">
        <v>1</v>
      </c>
      <c r="E88" s="1318" t="s">
        <v>237</v>
      </c>
      <c r="F88" s="1327" t="s">
        <v>238</v>
      </c>
      <c r="G88" s="1321">
        <f t="shared" si="18"/>
        <v>1.1000000000000001</v>
      </c>
      <c r="H88" s="1328" t="s">
        <v>37</v>
      </c>
      <c r="I88" s="1327" t="s">
        <v>239</v>
      </c>
      <c r="J88" s="1320">
        <f t="shared" si="19"/>
        <v>1.1000000000000001</v>
      </c>
      <c r="K88" s="1320">
        <f t="shared" si="22"/>
        <v>63500</v>
      </c>
      <c r="L88" s="1321">
        <f t="shared" si="20"/>
        <v>69850</v>
      </c>
      <c r="M88" s="1325" t="s">
        <v>233</v>
      </c>
      <c r="N88" s="1322">
        <f t="shared" si="21"/>
        <v>69850</v>
      </c>
      <c r="R88" s="90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2"/>
    </row>
    <row r="89" spans="1:30" ht="14.1" customHeight="1" x14ac:dyDescent="0.3">
      <c r="A89" s="1316"/>
      <c r="B89" s="1317"/>
      <c r="C89" s="1326" t="s">
        <v>242</v>
      </c>
      <c r="D89" s="1318">
        <v>1</v>
      </c>
      <c r="E89" s="1318" t="s">
        <v>237</v>
      </c>
      <c r="F89" s="1327" t="s">
        <v>238</v>
      </c>
      <c r="G89" s="1321">
        <f t="shared" si="18"/>
        <v>1.1000000000000001</v>
      </c>
      <c r="H89" s="1328" t="s">
        <v>37</v>
      </c>
      <c r="I89" s="1327" t="s">
        <v>239</v>
      </c>
      <c r="J89" s="1320">
        <f t="shared" si="19"/>
        <v>1.1000000000000001</v>
      </c>
      <c r="K89" s="1320">
        <f t="shared" si="22"/>
        <v>54500</v>
      </c>
      <c r="L89" s="1321">
        <f t="shared" si="20"/>
        <v>59950.000000000007</v>
      </c>
      <c r="M89" s="1325" t="s">
        <v>233</v>
      </c>
      <c r="N89" s="1322">
        <f t="shared" si="21"/>
        <v>59950.000000000007</v>
      </c>
      <c r="R89" s="90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2"/>
    </row>
    <row r="90" spans="1:30" ht="14.1" customHeight="1" x14ac:dyDescent="0.3">
      <c r="A90" s="1316"/>
      <c r="B90" s="1317"/>
      <c r="C90" s="1326" t="s">
        <v>243</v>
      </c>
      <c r="D90" s="1318">
        <v>1</v>
      </c>
      <c r="E90" s="1318" t="s">
        <v>237</v>
      </c>
      <c r="F90" s="1327" t="s">
        <v>238</v>
      </c>
      <c r="G90" s="1321">
        <f t="shared" si="18"/>
        <v>1.1000000000000001</v>
      </c>
      <c r="H90" s="1328" t="s">
        <v>37</v>
      </c>
      <c r="I90" s="1327" t="s">
        <v>239</v>
      </c>
      <c r="J90" s="1320">
        <f t="shared" si="19"/>
        <v>1.1000000000000001</v>
      </c>
      <c r="K90" s="1320">
        <f t="shared" si="22"/>
        <v>52000</v>
      </c>
      <c r="L90" s="1321">
        <f t="shared" si="20"/>
        <v>57200.000000000007</v>
      </c>
      <c r="M90" s="1325" t="s">
        <v>233</v>
      </c>
      <c r="N90" s="1322">
        <f t="shared" si="21"/>
        <v>57200.000000000007</v>
      </c>
      <c r="R90" s="90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2"/>
    </row>
    <row r="91" spans="1:30" ht="14.1" customHeight="1" x14ac:dyDescent="0.3">
      <c r="A91" s="1316"/>
      <c r="B91" s="1317"/>
      <c r="C91" s="1326" t="s">
        <v>244</v>
      </c>
      <c r="D91" s="1318">
        <v>4</v>
      </c>
      <c r="E91" s="1318" t="s">
        <v>237</v>
      </c>
      <c r="F91" s="1327" t="s">
        <v>238</v>
      </c>
      <c r="G91" s="1321">
        <f t="shared" si="18"/>
        <v>1.1000000000000001</v>
      </c>
      <c r="H91" s="1328" t="s">
        <v>37</v>
      </c>
      <c r="I91" s="1327" t="s">
        <v>239</v>
      </c>
      <c r="J91" s="1320">
        <f t="shared" si="19"/>
        <v>4.4000000000000004</v>
      </c>
      <c r="K91" s="1320">
        <f t="shared" si="22"/>
        <v>36500</v>
      </c>
      <c r="L91" s="1321">
        <f t="shared" si="20"/>
        <v>160600</v>
      </c>
      <c r="M91" s="1325" t="s">
        <v>233</v>
      </c>
      <c r="N91" s="1322">
        <f t="shared" si="21"/>
        <v>160600</v>
      </c>
      <c r="R91" s="90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2"/>
    </row>
    <row r="92" spans="1:30" ht="14.1" customHeight="1" x14ac:dyDescent="0.3">
      <c r="A92" s="1316"/>
      <c r="B92" s="1318"/>
      <c r="C92" s="1318"/>
      <c r="D92" s="1318"/>
      <c r="E92" s="1318"/>
      <c r="F92" s="1318"/>
      <c r="G92" s="1318"/>
      <c r="H92" s="1328"/>
      <c r="I92" s="1329" t="s">
        <v>245</v>
      </c>
      <c r="J92" s="1329"/>
      <c r="K92" s="1329"/>
      <c r="L92" s="1330">
        <f>SUM(L84:L91)</f>
        <v>657751.51750000007</v>
      </c>
      <c r="M92" s="1331" t="s">
        <v>233</v>
      </c>
      <c r="N92" s="1332">
        <f>SUM(N84:N91)</f>
        <v>657751.51750000007</v>
      </c>
      <c r="R92" s="90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2"/>
    </row>
    <row r="93" spans="1:30" ht="14.1" customHeight="1" x14ac:dyDescent="0.3">
      <c r="A93" s="1316"/>
      <c r="B93" s="1318"/>
      <c r="C93" s="1318"/>
      <c r="D93" s="1318"/>
      <c r="E93" s="1318"/>
      <c r="F93" s="1318"/>
      <c r="G93" s="1318"/>
      <c r="H93" s="1328"/>
      <c r="I93" s="1333" t="s">
        <v>512</v>
      </c>
      <c r="J93" s="1334"/>
      <c r="K93" s="1317"/>
      <c r="L93" s="1320"/>
      <c r="M93" s="1320"/>
      <c r="N93" s="1322">
        <f>N92*15%</f>
        <v>98662.727625000014</v>
      </c>
      <c r="R93" s="90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2"/>
    </row>
    <row r="94" spans="1:30" ht="14.1" customHeight="1" x14ac:dyDescent="0.3">
      <c r="A94" s="1316"/>
      <c r="B94" s="1318"/>
      <c r="C94" s="1318"/>
      <c r="D94" s="1318"/>
      <c r="E94" s="1318"/>
      <c r="F94" s="1318"/>
      <c r="G94" s="1318"/>
      <c r="H94" s="1328"/>
      <c r="I94" s="1335" t="s">
        <v>247</v>
      </c>
      <c r="J94" s="1336"/>
      <c r="K94" s="1337"/>
      <c r="L94" s="1338"/>
      <c r="M94" s="1338"/>
      <c r="N94" s="1339">
        <f>N92+N93</f>
        <v>756414.24512500013</v>
      </c>
      <c r="R94" s="90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2"/>
    </row>
    <row r="95" spans="1:30" ht="14.1" customHeight="1" x14ac:dyDescent="0.3">
      <c r="A95" s="1311">
        <f>A82+1</f>
        <v>2</v>
      </c>
      <c r="B95" s="1312" t="s">
        <v>1018</v>
      </c>
      <c r="C95" s="1313"/>
      <c r="D95" s="1313"/>
      <c r="E95" s="1313"/>
      <c r="F95" s="1313"/>
      <c r="G95" s="1313"/>
      <c r="H95" s="1313"/>
      <c r="I95" s="1313"/>
      <c r="J95" s="1314"/>
      <c r="K95" s="1314"/>
      <c r="L95" s="1314"/>
      <c r="M95" s="1314"/>
      <c r="N95" s="1315"/>
      <c r="R95" s="90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2"/>
    </row>
    <row r="96" spans="1:30" ht="14.1" customHeight="1" x14ac:dyDescent="0.3">
      <c r="A96" s="1316"/>
      <c r="B96" s="1317"/>
      <c r="C96" s="1318" t="s">
        <v>230</v>
      </c>
      <c r="D96" s="1318"/>
      <c r="E96" s="1318"/>
      <c r="F96" s="1318"/>
      <c r="G96" s="1321"/>
      <c r="H96" s="1328"/>
      <c r="I96" s="1327" t="s">
        <v>37</v>
      </c>
      <c r="J96" s="1320">
        <f>J83*0.8</f>
        <v>0.88000000000000012</v>
      </c>
      <c r="K96" s="1320"/>
      <c r="L96" s="1321"/>
      <c r="M96" s="1320"/>
      <c r="N96" s="1322"/>
      <c r="R96" s="90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2"/>
    </row>
    <row r="97" spans="1:30" ht="14.1" customHeight="1" x14ac:dyDescent="0.3">
      <c r="A97" s="1316"/>
      <c r="B97" s="1323" t="s">
        <v>231</v>
      </c>
      <c r="C97" s="1318" t="s">
        <v>232</v>
      </c>
      <c r="D97" s="1318"/>
      <c r="E97" s="1318"/>
      <c r="F97" s="1318"/>
      <c r="G97" s="1321"/>
      <c r="H97" s="1328"/>
      <c r="I97" s="1327" t="s">
        <v>37</v>
      </c>
      <c r="J97" s="1320">
        <f>J96</f>
        <v>0.88000000000000012</v>
      </c>
      <c r="K97" s="1320">
        <f>K84</f>
        <v>129955.92499999999</v>
      </c>
      <c r="L97" s="1321">
        <f>J97*K97</f>
        <v>114361.21400000001</v>
      </c>
      <c r="M97" s="1325" t="s">
        <v>233</v>
      </c>
      <c r="N97" s="1322">
        <f>L97+M97</f>
        <v>114361.21400000001</v>
      </c>
      <c r="R97" s="90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2"/>
    </row>
    <row r="98" spans="1:30" ht="14.1" customHeight="1" x14ac:dyDescent="0.3">
      <c r="A98" s="1316"/>
      <c r="B98" s="1323" t="s">
        <v>234</v>
      </c>
      <c r="C98" s="1318" t="s">
        <v>235</v>
      </c>
      <c r="D98" s="1318"/>
      <c r="E98" s="1318"/>
      <c r="F98" s="1318"/>
      <c r="G98" s="1318"/>
      <c r="H98" s="1328"/>
      <c r="I98" s="1318"/>
      <c r="J98" s="1320"/>
      <c r="K98" s="1320"/>
      <c r="L98" s="1321"/>
      <c r="M98" s="1320"/>
      <c r="N98" s="1322"/>
      <c r="R98" s="90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2"/>
    </row>
    <row r="99" spans="1:30" ht="14.1" customHeight="1" x14ac:dyDescent="0.3">
      <c r="A99" s="1316"/>
      <c r="B99" s="1317"/>
      <c r="C99" s="1326" t="s">
        <v>236</v>
      </c>
      <c r="D99" s="1318">
        <v>1</v>
      </c>
      <c r="E99" s="1318" t="s">
        <v>237</v>
      </c>
      <c r="F99" s="1327" t="s">
        <v>238</v>
      </c>
      <c r="G99" s="1321">
        <f t="shared" ref="G99:G104" si="23">$J$35</f>
        <v>0.88000000000000012</v>
      </c>
      <c r="H99" s="1328" t="s">
        <v>37</v>
      </c>
      <c r="I99" s="1327" t="s">
        <v>239</v>
      </c>
      <c r="J99" s="1320">
        <f t="shared" ref="J99:J104" si="24">D99*G99</f>
        <v>0.88000000000000012</v>
      </c>
      <c r="K99" s="1320">
        <f t="shared" ref="K99:K104" si="25">K86</f>
        <v>83500</v>
      </c>
      <c r="L99" s="1321">
        <f t="shared" ref="L99:L104" si="26">J99*K99</f>
        <v>73480.000000000015</v>
      </c>
      <c r="M99" s="1325" t="s">
        <v>233</v>
      </c>
      <c r="N99" s="1322">
        <f t="shared" ref="N99:N104" si="27">L99+M99</f>
        <v>73480.000000000015</v>
      </c>
      <c r="R99" s="90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2"/>
    </row>
    <row r="100" spans="1:30" ht="14.1" customHeight="1" x14ac:dyDescent="0.3">
      <c r="A100" s="1316"/>
      <c r="B100" s="1317"/>
      <c r="C100" s="1326" t="s">
        <v>240</v>
      </c>
      <c r="D100" s="1318">
        <v>1</v>
      </c>
      <c r="E100" s="1318" t="s">
        <v>237</v>
      </c>
      <c r="F100" s="1327" t="s">
        <v>238</v>
      </c>
      <c r="G100" s="1321">
        <f t="shared" si="23"/>
        <v>0.88000000000000012</v>
      </c>
      <c r="H100" s="1328" t="s">
        <v>37</v>
      </c>
      <c r="I100" s="1327" t="s">
        <v>239</v>
      </c>
      <c r="J100" s="1320">
        <f t="shared" si="24"/>
        <v>0.88000000000000012</v>
      </c>
      <c r="K100" s="1320">
        <f t="shared" si="25"/>
        <v>68500</v>
      </c>
      <c r="L100" s="1321">
        <f t="shared" si="26"/>
        <v>60280.000000000007</v>
      </c>
      <c r="M100" s="1325" t="s">
        <v>233</v>
      </c>
      <c r="N100" s="1322">
        <f t="shared" si="27"/>
        <v>60280.000000000007</v>
      </c>
      <c r="R100" s="90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2"/>
    </row>
    <row r="101" spans="1:30" ht="14.1" customHeight="1" x14ac:dyDescent="0.3">
      <c r="A101" s="1316"/>
      <c r="B101" s="1317"/>
      <c r="C101" s="1326" t="s">
        <v>241</v>
      </c>
      <c r="D101" s="1318">
        <v>1</v>
      </c>
      <c r="E101" s="1318" t="s">
        <v>237</v>
      </c>
      <c r="F101" s="1327" t="s">
        <v>238</v>
      </c>
      <c r="G101" s="1321">
        <f t="shared" si="23"/>
        <v>0.88000000000000012</v>
      </c>
      <c r="H101" s="1328" t="s">
        <v>37</v>
      </c>
      <c r="I101" s="1327" t="s">
        <v>239</v>
      </c>
      <c r="J101" s="1320">
        <f t="shared" si="24"/>
        <v>0.88000000000000012</v>
      </c>
      <c r="K101" s="1320">
        <f t="shared" si="25"/>
        <v>63500</v>
      </c>
      <c r="L101" s="1321">
        <f t="shared" si="26"/>
        <v>55880.000000000007</v>
      </c>
      <c r="M101" s="1325" t="s">
        <v>233</v>
      </c>
      <c r="N101" s="1322">
        <f t="shared" si="27"/>
        <v>55880.000000000007</v>
      </c>
      <c r="R101" s="90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2"/>
    </row>
    <row r="102" spans="1:30" ht="14.1" customHeight="1" x14ac:dyDescent="0.3">
      <c r="A102" s="1316"/>
      <c r="B102" s="1317"/>
      <c r="C102" s="1326" t="s">
        <v>242</v>
      </c>
      <c r="D102" s="1318">
        <v>1</v>
      </c>
      <c r="E102" s="1318" t="s">
        <v>237</v>
      </c>
      <c r="F102" s="1327" t="s">
        <v>238</v>
      </c>
      <c r="G102" s="1321">
        <f t="shared" si="23"/>
        <v>0.88000000000000012</v>
      </c>
      <c r="H102" s="1328" t="s">
        <v>37</v>
      </c>
      <c r="I102" s="1327" t="s">
        <v>239</v>
      </c>
      <c r="J102" s="1320">
        <f t="shared" si="24"/>
        <v>0.88000000000000012</v>
      </c>
      <c r="K102" s="1320">
        <f t="shared" si="25"/>
        <v>54500</v>
      </c>
      <c r="L102" s="1321">
        <f t="shared" si="26"/>
        <v>47960.000000000007</v>
      </c>
      <c r="M102" s="1325" t="s">
        <v>233</v>
      </c>
      <c r="N102" s="1322">
        <f t="shared" si="27"/>
        <v>47960.000000000007</v>
      </c>
      <c r="R102" s="90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2"/>
    </row>
    <row r="103" spans="1:30" ht="14.1" customHeight="1" x14ac:dyDescent="0.3">
      <c r="A103" s="1316"/>
      <c r="B103" s="1317"/>
      <c r="C103" s="1326" t="s">
        <v>243</v>
      </c>
      <c r="D103" s="1318">
        <v>1</v>
      </c>
      <c r="E103" s="1318" t="s">
        <v>237</v>
      </c>
      <c r="F103" s="1327" t="s">
        <v>238</v>
      </c>
      <c r="G103" s="1321">
        <f t="shared" si="23"/>
        <v>0.88000000000000012</v>
      </c>
      <c r="H103" s="1328" t="s">
        <v>37</v>
      </c>
      <c r="I103" s="1327" t="s">
        <v>239</v>
      </c>
      <c r="J103" s="1320">
        <f t="shared" si="24"/>
        <v>0.88000000000000012</v>
      </c>
      <c r="K103" s="1320">
        <f t="shared" si="25"/>
        <v>52000</v>
      </c>
      <c r="L103" s="1321">
        <f t="shared" si="26"/>
        <v>45760.000000000007</v>
      </c>
      <c r="M103" s="1325" t="s">
        <v>233</v>
      </c>
      <c r="N103" s="1322">
        <f t="shared" si="27"/>
        <v>45760.000000000007</v>
      </c>
      <c r="R103" s="90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2"/>
    </row>
    <row r="104" spans="1:30" ht="14.1" customHeight="1" x14ac:dyDescent="0.3">
      <c r="A104" s="1316"/>
      <c r="B104" s="1317"/>
      <c r="C104" s="1326" t="s">
        <v>244</v>
      </c>
      <c r="D104" s="1318">
        <v>4</v>
      </c>
      <c r="E104" s="1318" t="s">
        <v>237</v>
      </c>
      <c r="F104" s="1327" t="s">
        <v>238</v>
      </c>
      <c r="G104" s="1321">
        <f t="shared" si="23"/>
        <v>0.88000000000000012</v>
      </c>
      <c r="H104" s="1328" t="s">
        <v>37</v>
      </c>
      <c r="I104" s="1327" t="s">
        <v>239</v>
      </c>
      <c r="J104" s="1320">
        <f t="shared" si="24"/>
        <v>3.5200000000000005</v>
      </c>
      <c r="K104" s="1320">
        <f t="shared" si="25"/>
        <v>36500</v>
      </c>
      <c r="L104" s="1321">
        <f t="shared" si="26"/>
        <v>128480.00000000001</v>
      </c>
      <c r="M104" s="1325" t="s">
        <v>233</v>
      </c>
      <c r="N104" s="1322">
        <f t="shared" si="27"/>
        <v>128480.00000000001</v>
      </c>
      <c r="R104" s="90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2"/>
    </row>
    <row r="105" spans="1:30" ht="14.1" customHeight="1" x14ac:dyDescent="0.3">
      <c r="A105" s="1316"/>
      <c r="B105" s="1318"/>
      <c r="C105" s="1318"/>
      <c r="D105" s="1318"/>
      <c r="E105" s="1318"/>
      <c r="F105" s="1318"/>
      <c r="G105" s="1318"/>
      <c r="H105" s="1328"/>
      <c r="I105" s="1329" t="s">
        <v>245</v>
      </c>
      <c r="J105" s="1329"/>
      <c r="K105" s="1340"/>
      <c r="L105" s="1329">
        <f>SUM(L97:L104)</f>
        <v>526201.21400000004</v>
      </c>
      <c r="M105" s="1331" t="s">
        <v>233</v>
      </c>
      <c r="N105" s="1332">
        <f>SUM(N97:N104)</f>
        <v>526201.21400000004</v>
      </c>
      <c r="R105" s="90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2"/>
    </row>
    <row r="106" spans="1:30" ht="14.1" customHeight="1" x14ac:dyDescent="0.3">
      <c r="A106" s="1316"/>
      <c r="B106" s="1318"/>
      <c r="C106" s="1318"/>
      <c r="D106" s="1318"/>
      <c r="E106" s="1318"/>
      <c r="F106" s="1318"/>
      <c r="G106" s="1318"/>
      <c r="H106" s="1328"/>
      <c r="I106" s="1333" t="s">
        <v>512</v>
      </c>
      <c r="J106" s="1334"/>
      <c r="K106" s="1317"/>
      <c r="L106" s="1320"/>
      <c r="M106" s="1320"/>
      <c r="N106" s="1322">
        <f>N105*15%</f>
        <v>78930.182100000005</v>
      </c>
      <c r="R106" s="90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2"/>
    </row>
    <row r="107" spans="1:30" ht="14.1" customHeight="1" x14ac:dyDescent="0.3">
      <c r="A107" s="1316"/>
      <c r="B107" s="1318"/>
      <c r="C107" s="1318"/>
      <c r="D107" s="1318"/>
      <c r="E107" s="1318"/>
      <c r="F107" s="1318"/>
      <c r="G107" s="1318"/>
      <c r="H107" s="1328"/>
      <c r="I107" s="1335" t="s">
        <v>247</v>
      </c>
      <c r="J107" s="1336"/>
      <c r="K107" s="1337"/>
      <c r="L107" s="1338"/>
      <c r="M107" s="1338"/>
      <c r="N107" s="1339">
        <f>N105+N106</f>
        <v>605131.39610000001</v>
      </c>
      <c r="R107" s="90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2"/>
    </row>
    <row r="108" spans="1:30" ht="14.1" customHeight="1" x14ac:dyDescent="0.3">
      <c r="A108" s="1311">
        <f>A154+1</f>
        <v>3</v>
      </c>
      <c r="B108" s="1312" t="s">
        <v>587</v>
      </c>
      <c r="C108" s="1313"/>
      <c r="D108" s="1313"/>
      <c r="E108" s="1313"/>
      <c r="F108" s="1313"/>
      <c r="G108" s="1313"/>
      <c r="H108" s="1313"/>
      <c r="I108" s="1313"/>
      <c r="J108" s="1314"/>
      <c r="K108" s="1314"/>
      <c r="L108" s="1314"/>
      <c r="M108" s="1314"/>
      <c r="N108" s="1315"/>
      <c r="R108" s="90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2"/>
    </row>
    <row r="109" spans="1:30" ht="14.1" customHeight="1" x14ac:dyDescent="0.3">
      <c r="A109" s="1316"/>
      <c r="B109" s="1317"/>
      <c r="C109" s="1318" t="s">
        <v>248</v>
      </c>
      <c r="D109" s="1318"/>
      <c r="E109" s="1318"/>
      <c r="F109" s="1318"/>
      <c r="G109" s="1321"/>
      <c r="H109" s="1328"/>
      <c r="I109" s="1327" t="s">
        <v>37</v>
      </c>
      <c r="J109" s="1320">
        <f>J47</f>
        <v>0.35</v>
      </c>
      <c r="K109" s="1320"/>
      <c r="L109" s="1321"/>
      <c r="M109" s="1320"/>
      <c r="N109" s="1322"/>
      <c r="R109" s="90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2"/>
    </row>
    <row r="110" spans="1:30" ht="14.1" customHeight="1" x14ac:dyDescent="0.3">
      <c r="A110" s="1316"/>
      <c r="B110" s="1323" t="s">
        <v>231</v>
      </c>
      <c r="C110" s="1318" t="s">
        <v>232</v>
      </c>
      <c r="D110" s="1318"/>
      <c r="E110" s="1318"/>
      <c r="F110" s="1318"/>
      <c r="G110" s="1321"/>
      <c r="H110" s="1328"/>
      <c r="I110" s="1327" t="s">
        <v>37</v>
      </c>
      <c r="J110" s="1320">
        <f>J109</f>
        <v>0.35</v>
      </c>
      <c r="K110" s="1320">
        <f>K84</f>
        <v>129955.92499999999</v>
      </c>
      <c r="L110" s="1321">
        <f>J110*K110</f>
        <v>45484.573749999996</v>
      </c>
      <c r="M110" s="1325" t="s">
        <v>233</v>
      </c>
      <c r="N110" s="1322">
        <f>L110+M110</f>
        <v>45484.573749999996</v>
      </c>
      <c r="R110" s="90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2"/>
    </row>
    <row r="111" spans="1:30" ht="14.1" customHeight="1" x14ac:dyDescent="0.3">
      <c r="A111" s="1316"/>
      <c r="B111" s="1323" t="s">
        <v>234</v>
      </c>
      <c r="C111" s="1318" t="s">
        <v>249</v>
      </c>
      <c r="D111" s="1318"/>
      <c r="E111" s="1318"/>
      <c r="F111" s="1318"/>
      <c r="G111" s="1321"/>
      <c r="H111" s="1328"/>
      <c r="I111" s="1327" t="s">
        <v>250</v>
      </c>
      <c r="J111" s="1320">
        <v>1</v>
      </c>
      <c r="K111" s="1320">
        <f t="shared" ref="K111:K120" si="28">K49</f>
        <v>2500</v>
      </c>
      <c r="L111" s="1321">
        <f>J111*K111</f>
        <v>2500</v>
      </c>
      <c r="M111" s="1325" t="s">
        <v>233</v>
      </c>
      <c r="N111" s="1322">
        <f>L111+M111</f>
        <v>2500</v>
      </c>
      <c r="R111" s="90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2"/>
    </row>
    <row r="112" spans="1:30" ht="14.1" customHeight="1" x14ac:dyDescent="0.3">
      <c r="A112" s="1316"/>
      <c r="B112" s="1323" t="s">
        <v>251</v>
      </c>
      <c r="C112" s="1318" t="s">
        <v>252</v>
      </c>
      <c r="D112" s="1318"/>
      <c r="E112" s="1318"/>
      <c r="F112" s="1318"/>
      <c r="G112" s="1321"/>
      <c r="H112" s="1328"/>
      <c r="I112" s="1327" t="s">
        <v>15</v>
      </c>
      <c r="J112" s="1320">
        <v>1</v>
      </c>
      <c r="K112" s="1320">
        <f t="shared" si="28"/>
        <v>185000</v>
      </c>
      <c r="L112" s="1341" t="s">
        <v>233</v>
      </c>
      <c r="M112" s="1320">
        <f>J112*K112</f>
        <v>185000</v>
      </c>
      <c r="N112" s="1322">
        <f>L112+M112</f>
        <v>185000</v>
      </c>
      <c r="R112" s="90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2"/>
    </row>
    <row r="113" spans="1:30" ht="14.1" customHeight="1" x14ac:dyDescent="0.3">
      <c r="A113" s="1316"/>
      <c r="B113" s="1323" t="s">
        <v>253</v>
      </c>
      <c r="C113" s="1318" t="s">
        <v>235</v>
      </c>
      <c r="D113" s="1318"/>
      <c r="E113" s="1318"/>
      <c r="F113" s="1318"/>
      <c r="G113" s="1318"/>
      <c r="H113" s="1328"/>
      <c r="I113" s="1318"/>
      <c r="J113" s="1320"/>
      <c r="K113" s="1320">
        <f t="shared" si="28"/>
        <v>0</v>
      </c>
      <c r="L113" s="1321"/>
      <c r="M113" s="1320"/>
      <c r="N113" s="1322"/>
      <c r="R113" s="90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2"/>
    </row>
    <row r="114" spans="1:30" ht="14.1" customHeight="1" x14ac:dyDescent="0.3">
      <c r="A114" s="1316"/>
      <c r="B114" s="1317"/>
      <c r="C114" s="1326" t="s">
        <v>236</v>
      </c>
      <c r="D114" s="1318">
        <v>1</v>
      </c>
      <c r="E114" s="1318" t="s">
        <v>237</v>
      </c>
      <c r="F114" s="1327" t="s">
        <v>238</v>
      </c>
      <c r="G114" s="1321">
        <f t="shared" ref="G114:G120" si="29">$J$47</f>
        <v>0.35</v>
      </c>
      <c r="H114" s="1328" t="s">
        <v>37</v>
      </c>
      <c r="I114" s="1327" t="s">
        <v>239</v>
      </c>
      <c r="J114" s="1320">
        <f t="shared" ref="J114:J120" si="30">D114*G114</f>
        <v>0.35</v>
      </c>
      <c r="K114" s="1320">
        <f t="shared" si="28"/>
        <v>83500</v>
      </c>
      <c r="L114" s="1321">
        <f t="shared" ref="L114:L120" si="31">J114*K114</f>
        <v>29224.999999999996</v>
      </c>
      <c r="M114" s="1325" t="s">
        <v>233</v>
      </c>
      <c r="N114" s="1322">
        <f t="shared" ref="N114:N120" si="32">L114+M114</f>
        <v>29224.999999999996</v>
      </c>
      <c r="R114" s="90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2"/>
    </row>
    <row r="115" spans="1:30" ht="14.1" customHeight="1" x14ac:dyDescent="0.3">
      <c r="A115" s="1316"/>
      <c r="B115" s="1317"/>
      <c r="C115" s="1326" t="s">
        <v>240</v>
      </c>
      <c r="D115" s="1318">
        <v>1</v>
      </c>
      <c r="E115" s="1318" t="s">
        <v>237</v>
      </c>
      <c r="F115" s="1327" t="s">
        <v>238</v>
      </c>
      <c r="G115" s="1321">
        <f t="shared" si="29"/>
        <v>0.35</v>
      </c>
      <c r="H115" s="1328" t="s">
        <v>37</v>
      </c>
      <c r="I115" s="1327" t="s">
        <v>239</v>
      </c>
      <c r="J115" s="1320">
        <f t="shared" si="30"/>
        <v>0.35</v>
      </c>
      <c r="K115" s="1320">
        <f t="shared" si="28"/>
        <v>68500</v>
      </c>
      <c r="L115" s="1321">
        <f t="shared" si="31"/>
        <v>23975</v>
      </c>
      <c r="M115" s="1325" t="s">
        <v>233</v>
      </c>
      <c r="N115" s="1322">
        <f t="shared" si="32"/>
        <v>23975</v>
      </c>
      <c r="R115" s="90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2"/>
    </row>
    <row r="116" spans="1:30" ht="14.1" customHeight="1" x14ac:dyDescent="0.3">
      <c r="A116" s="1316"/>
      <c r="B116" s="1317"/>
      <c r="C116" s="1326" t="s">
        <v>241</v>
      </c>
      <c r="D116" s="1318">
        <v>1</v>
      </c>
      <c r="E116" s="1318" t="s">
        <v>237</v>
      </c>
      <c r="F116" s="1327" t="s">
        <v>238</v>
      </c>
      <c r="G116" s="1321">
        <f t="shared" si="29"/>
        <v>0.35</v>
      </c>
      <c r="H116" s="1328" t="s">
        <v>37</v>
      </c>
      <c r="I116" s="1327" t="s">
        <v>239</v>
      </c>
      <c r="J116" s="1320">
        <f t="shared" si="30"/>
        <v>0.35</v>
      </c>
      <c r="K116" s="1320">
        <f t="shared" si="28"/>
        <v>63500</v>
      </c>
      <c r="L116" s="1321">
        <f t="shared" si="31"/>
        <v>22225</v>
      </c>
      <c r="M116" s="1325" t="s">
        <v>233</v>
      </c>
      <c r="N116" s="1322">
        <f t="shared" si="32"/>
        <v>22225</v>
      </c>
      <c r="R116" s="90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2"/>
    </row>
    <row r="117" spans="1:30" ht="14.1" customHeight="1" x14ac:dyDescent="0.3">
      <c r="A117" s="1316"/>
      <c r="B117" s="1317"/>
      <c r="C117" s="1326" t="s">
        <v>254</v>
      </c>
      <c r="D117" s="1318">
        <v>1</v>
      </c>
      <c r="E117" s="1318" t="s">
        <v>237</v>
      </c>
      <c r="F117" s="1327" t="s">
        <v>238</v>
      </c>
      <c r="G117" s="1321">
        <f t="shared" si="29"/>
        <v>0.35</v>
      </c>
      <c r="H117" s="1328" t="s">
        <v>37</v>
      </c>
      <c r="I117" s="1327" t="s">
        <v>239</v>
      </c>
      <c r="J117" s="1320">
        <f t="shared" si="30"/>
        <v>0.35</v>
      </c>
      <c r="K117" s="1320">
        <f t="shared" si="28"/>
        <v>54500</v>
      </c>
      <c r="L117" s="1321">
        <f t="shared" si="31"/>
        <v>19075</v>
      </c>
      <c r="M117" s="1325" t="s">
        <v>233</v>
      </c>
      <c r="N117" s="1322">
        <f t="shared" si="32"/>
        <v>19075</v>
      </c>
      <c r="R117" s="90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2"/>
    </row>
    <row r="118" spans="1:30" ht="14.1" customHeight="1" x14ac:dyDescent="0.3">
      <c r="A118" s="1316"/>
      <c r="B118" s="1317"/>
      <c r="C118" s="1326" t="s">
        <v>242</v>
      </c>
      <c r="D118" s="1318">
        <v>1</v>
      </c>
      <c r="E118" s="1318" t="s">
        <v>237</v>
      </c>
      <c r="F118" s="1327" t="s">
        <v>238</v>
      </c>
      <c r="G118" s="1321">
        <f t="shared" si="29"/>
        <v>0.35</v>
      </c>
      <c r="H118" s="1328" t="s">
        <v>37</v>
      </c>
      <c r="I118" s="1327" t="s">
        <v>239</v>
      </c>
      <c r="J118" s="1320">
        <f t="shared" si="30"/>
        <v>0.35</v>
      </c>
      <c r="K118" s="1320">
        <f t="shared" si="28"/>
        <v>54500</v>
      </c>
      <c r="L118" s="1321">
        <f t="shared" si="31"/>
        <v>19075</v>
      </c>
      <c r="M118" s="1325" t="s">
        <v>233</v>
      </c>
      <c r="N118" s="1322">
        <f t="shared" si="32"/>
        <v>19075</v>
      </c>
      <c r="R118" s="90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2"/>
    </row>
    <row r="119" spans="1:30" ht="14.1" customHeight="1" x14ac:dyDescent="0.3">
      <c r="A119" s="1316"/>
      <c r="B119" s="1317"/>
      <c r="C119" s="1326" t="s">
        <v>243</v>
      </c>
      <c r="D119" s="1318">
        <v>1</v>
      </c>
      <c r="E119" s="1318" t="s">
        <v>237</v>
      </c>
      <c r="F119" s="1327" t="s">
        <v>238</v>
      </c>
      <c r="G119" s="1321">
        <f t="shared" si="29"/>
        <v>0.35</v>
      </c>
      <c r="H119" s="1328" t="s">
        <v>37</v>
      </c>
      <c r="I119" s="1327" t="s">
        <v>239</v>
      </c>
      <c r="J119" s="1320">
        <f t="shared" si="30"/>
        <v>0.35</v>
      </c>
      <c r="K119" s="1320">
        <f t="shared" si="28"/>
        <v>52000</v>
      </c>
      <c r="L119" s="1321">
        <f t="shared" si="31"/>
        <v>18200</v>
      </c>
      <c r="M119" s="1325" t="s">
        <v>233</v>
      </c>
      <c r="N119" s="1322">
        <f t="shared" si="32"/>
        <v>18200</v>
      </c>
      <c r="R119" s="90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2"/>
    </row>
    <row r="120" spans="1:30" ht="14.1" customHeight="1" x14ac:dyDescent="0.3">
      <c r="A120" s="1316"/>
      <c r="B120" s="1317"/>
      <c r="C120" s="1326" t="s">
        <v>244</v>
      </c>
      <c r="D120" s="1318">
        <v>4</v>
      </c>
      <c r="E120" s="1318" t="s">
        <v>237</v>
      </c>
      <c r="F120" s="1327" t="s">
        <v>238</v>
      </c>
      <c r="G120" s="1321">
        <f t="shared" si="29"/>
        <v>0.35</v>
      </c>
      <c r="H120" s="1328" t="s">
        <v>37</v>
      </c>
      <c r="I120" s="1327" t="s">
        <v>239</v>
      </c>
      <c r="J120" s="1320">
        <f t="shared" si="30"/>
        <v>1.4</v>
      </c>
      <c r="K120" s="1320">
        <f t="shared" si="28"/>
        <v>36500</v>
      </c>
      <c r="L120" s="1321">
        <f t="shared" si="31"/>
        <v>51100</v>
      </c>
      <c r="M120" s="1325" t="s">
        <v>233</v>
      </c>
      <c r="N120" s="1322">
        <f t="shared" si="32"/>
        <v>51100</v>
      </c>
      <c r="R120" s="90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2"/>
    </row>
    <row r="121" spans="1:30" ht="14.1" customHeight="1" x14ac:dyDescent="0.3">
      <c r="A121" s="1316"/>
      <c r="B121" s="1318"/>
      <c r="C121" s="1318"/>
      <c r="D121" s="1318"/>
      <c r="E121" s="1318"/>
      <c r="F121" s="1318"/>
      <c r="G121" s="1318"/>
      <c r="H121" s="1328"/>
      <c r="I121" s="1329" t="s">
        <v>245</v>
      </c>
      <c r="J121" s="1329"/>
      <c r="K121" s="1340"/>
      <c r="L121" s="1330">
        <f>SUM(L110:L120)</f>
        <v>230859.57374999998</v>
      </c>
      <c r="M121" s="1330">
        <f>SUM(M110:M120)</f>
        <v>185000</v>
      </c>
      <c r="N121" s="1332">
        <f>SUM(N110:N120)</f>
        <v>415859.57374999998</v>
      </c>
      <c r="R121" s="90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2"/>
    </row>
    <row r="122" spans="1:30" ht="14.1" customHeight="1" x14ac:dyDescent="0.3">
      <c r="A122" s="1316"/>
      <c r="B122" s="1318"/>
      <c r="C122" s="1318"/>
      <c r="D122" s="1318"/>
      <c r="E122" s="1318"/>
      <c r="F122" s="1318"/>
      <c r="G122" s="1318"/>
      <c r="H122" s="1328"/>
      <c r="I122" s="1342" t="s">
        <v>246</v>
      </c>
      <c r="J122" s="1334"/>
      <c r="K122" s="1317"/>
      <c r="L122" s="1320"/>
      <c r="M122" s="1320"/>
      <c r="N122" s="1322">
        <f>N121*10%</f>
        <v>41585.957374999998</v>
      </c>
      <c r="R122" s="90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2"/>
    </row>
    <row r="123" spans="1:30" ht="14.1" customHeight="1" x14ac:dyDescent="0.3">
      <c r="A123" s="1316"/>
      <c r="B123" s="1318"/>
      <c r="C123" s="1318"/>
      <c r="D123" s="1318"/>
      <c r="E123" s="1318"/>
      <c r="F123" s="1318"/>
      <c r="G123" s="1318"/>
      <c r="H123" s="1328"/>
      <c r="I123" s="1335" t="s">
        <v>247</v>
      </c>
      <c r="J123" s="1336"/>
      <c r="K123" s="1337"/>
      <c r="L123" s="1338"/>
      <c r="M123" s="1338"/>
      <c r="N123" s="1339">
        <f>N121+N122</f>
        <v>457445.53112499998</v>
      </c>
      <c r="R123" s="90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2"/>
    </row>
    <row r="124" spans="1:30" ht="14.1" customHeight="1" x14ac:dyDescent="0.3">
      <c r="A124" s="1311">
        <f>A108+1</f>
        <v>4</v>
      </c>
      <c r="B124" s="1312" t="s">
        <v>588</v>
      </c>
      <c r="C124" s="1313"/>
      <c r="D124" s="1313"/>
      <c r="E124" s="1313"/>
      <c r="F124" s="1313"/>
      <c r="G124" s="1313"/>
      <c r="H124" s="1313"/>
      <c r="I124" s="1313"/>
      <c r="J124" s="1314"/>
      <c r="K124" s="1314"/>
      <c r="L124" s="1314"/>
      <c r="M124" s="1314"/>
      <c r="N124" s="1315"/>
      <c r="R124" s="90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2"/>
    </row>
    <row r="125" spans="1:30" ht="14.1" customHeight="1" x14ac:dyDescent="0.3">
      <c r="A125" s="1316"/>
      <c r="B125" s="1317"/>
      <c r="C125" s="1318" t="s">
        <v>248</v>
      </c>
      <c r="D125" s="1318"/>
      <c r="E125" s="1318"/>
      <c r="F125" s="1318"/>
      <c r="G125" s="1321"/>
      <c r="H125" s="1328"/>
      <c r="I125" s="1327" t="s">
        <v>37</v>
      </c>
      <c r="J125" s="1320">
        <f>J109</f>
        <v>0.35</v>
      </c>
      <c r="K125" s="1320"/>
      <c r="L125" s="1321"/>
      <c r="M125" s="1320"/>
      <c r="N125" s="1322"/>
      <c r="R125" s="90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2"/>
    </row>
    <row r="126" spans="1:30" ht="14.1" customHeight="1" x14ac:dyDescent="0.3">
      <c r="A126" s="1316"/>
      <c r="B126" s="1323" t="s">
        <v>231</v>
      </c>
      <c r="C126" s="1318" t="s">
        <v>232</v>
      </c>
      <c r="D126" s="1318"/>
      <c r="E126" s="1318"/>
      <c r="F126" s="1318"/>
      <c r="G126" s="1321"/>
      <c r="H126" s="1328"/>
      <c r="I126" s="1327" t="s">
        <v>37</v>
      </c>
      <c r="J126" s="1320">
        <f>J125</f>
        <v>0.35</v>
      </c>
      <c r="K126" s="1320">
        <f>K110</f>
        <v>129955.92499999999</v>
      </c>
      <c r="L126" s="1321">
        <f>J126*K126</f>
        <v>45484.573749999996</v>
      </c>
      <c r="M126" s="1325" t="s">
        <v>233</v>
      </c>
      <c r="N126" s="1322">
        <f>L126+M126</f>
        <v>45484.573749999996</v>
      </c>
      <c r="R126" s="90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2"/>
    </row>
    <row r="127" spans="1:30" ht="14.1" customHeight="1" x14ac:dyDescent="0.3">
      <c r="A127" s="1316"/>
      <c r="B127" s="1323" t="s">
        <v>234</v>
      </c>
      <c r="C127" s="1318" t="s">
        <v>249</v>
      </c>
      <c r="D127" s="1318"/>
      <c r="E127" s="1318"/>
      <c r="F127" s="1318"/>
      <c r="G127" s="1321"/>
      <c r="H127" s="1328"/>
      <c r="I127" s="1327" t="s">
        <v>250</v>
      </c>
      <c r="J127" s="1320">
        <v>1</v>
      </c>
      <c r="K127" s="1320">
        <f>$K$49</f>
        <v>2500</v>
      </c>
      <c r="L127" s="1321">
        <f>J127*K127</f>
        <v>2500</v>
      </c>
      <c r="M127" s="1325" t="s">
        <v>233</v>
      </c>
      <c r="N127" s="1322">
        <f>L127+M127</f>
        <v>2500</v>
      </c>
      <c r="R127" s="90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2"/>
    </row>
    <row r="128" spans="1:30" ht="14.1" customHeight="1" x14ac:dyDescent="0.3">
      <c r="A128" s="1316"/>
      <c r="B128" s="1323" t="s">
        <v>251</v>
      </c>
      <c r="C128" s="1318" t="s">
        <v>252</v>
      </c>
      <c r="D128" s="1318"/>
      <c r="E128" s="1318"/>
      <c r="F128" s="1318"/>
      <c r="G128" s="1321"/>
      <c r="H128" s="1328"/>
      <c r="I128" s="1327" t="s">
        <v>15</v>
      </c>
      <c r="J128" s="1320">
        <v>1</v>
      </c>
      <c r="K128" s="1320">
        <f>+K112</f>
        <v>185000</v>
      </c>
      <c r="L128" s="1341" t="s">
        <v>233</v>
      </c>
      <c r="M128" s="1320">
        <f>J128*K128</f>
        <v>185000</v>
      </c>
      <c r="N128" s="1322">
        <f>L128+M128</f>
        <v>185000</v>
      </c>
      <c r="R128" s="90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2"/>
    </row>
    <row r="129" spans="1:30" ht="14.1" customHeight="1" x14ac:dyDescent="0.3">
      <c r="A129" s="1316"/>
      <c r="B129" s="1323" t="s">
        <v>253</v>
      </c>
      <c r="C129" s="1318" t="s">
        <v>255</v>
      </c>
      <c r="D129" s="1318"/>
      <c r="E129" s="1318"/>
      <c r="F129" s="1318"/>
      <c r="G129" s="1321"/>
      <c r="H129" s="1328"/>
      <c r="I129" s="1327" t="s">
        <v>250</v>
      </c>
      <c r="J129" s="1320">
        <v>1</v>
      </c>
      <c r="K129" s="1320">
        <f>$K$49</f>
        <v>2500</v>
      </c>
      <c r="L129" s="1321">
        <f>J129*K129</f>
        <v>2500</v>
      </c>
      <c r="M129" s="1325" t="s">
        <v>233</v>
      </c>
      <c r="N129" s="1322">
        <f>L129+M129</f>
        <v>2500</v>
      </c>
      <c r="R129" s="90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2"/>
    </row>
    <row r="130" spans="1:30" ht="14.1" customHeight="1" x14ac:dyDescent="0.3">
      <c r="A130" s="1316"/>
      <c r="B130" s="1323" t="s">
        <v>253</v>
      </c>
      <c r="C130" s="1318" t="s">
        <v>235</v>
      </c>
      <c r="D130" s="1318"/>
      <c r="E130" s="1318"/>
      <c r="F130" s="1318"/>
      <c r="G130" s="1318"/>
      <c r="H130" s="1328"/>
      <c r="I130" s="1318"/>
      <c r="J130" s="1320"/>
      <c r="K130" s="1320"/>
      <c r="L130" s="1321"/>
      <c r="M130" s="1320"/>
      <c r="N130" s="1322"/>
      <c r="R130" s="90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2"/>
    </row>
    <row r="131" spans="1:30" ht="14.1" customHeight="1" x14ac:dyDescent="0.3">
      <c r="A131" s="1316"/>
      <c r="B131" s="1317"/>
      <c r="C131" s="1326" t="s">
        <v>236</v>
      </c>
      <c r="D131" s="1318">
        <v>1</v>
      </c>
      <c r="E131" s="1318" t="s">
        <v>237</v>
      </c>
      <c r="F131" s="1327" t="s">
        <v>238</v>
      </c>
      <c r="G131" s="1321">
        <f t="shared" ref="G131:G137" si="33">$J$63</f>
        <v>0.35</v>
      </c>
      <c r="H131" s="1328" t="s">
        <v>37</v>
      </c>
      <c r="I131" s="1327" t="s">
        <v>239</v>
      </c>
      <c r="J131" s="1320">
        <f t="shared" ref="J131:J137" si="34">D131*G131</f>
        <v>0.35</v>
      </c>
      <c r="K131" s="1320">
        <f>K114</f>
        <v>83500</v>
      </c>
      <c r="L131" s="1321">
        <f t="shared" ref="L131:L137" si="35">J131*K131</f>
        <v>29224.999999999996</v>
      </c>
      <c r="M131" s="1325" t="s">
        <v>233</v>
      </c>
      <c r="N131" s="1322">
        <f t="shared" ref="N131:N137" si="36">L131+M131</f>
        <v>29224.999999999996</v>
      </c>
      <c r="R131" s="90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2"/>
    </row>
    <row r="132" spans="1:30" ht="14.1" customHeight="1" x14ac:dyDescent="0.3">
      <c r="A132" s="1316"/>
      <c r="B132" s="1317"/>
      <c r="C132" s="1326" t="s">
        <v>240</v>
      </c>
      <c r="D132" s="1318">
        <v>1</v>
      </c>
      <c r="E132" s="1318" t="s">
        <v>237</v>
      </c>
      <c r="F132" s="1327" t="s">
        <v>238</v>
      </c>
      <c r="G132" s="1321">
        <f t="shared" si="33"/>
        <v>0.35</v>
      </c>
      <c r="H132" s="1328" t="s">
        <v>37</v>
      </c>
      <c r="I132" s="1327" t="s">
        <v>239</v>
      </c>
      <c r="J132" s="1320">
        <f t="shared" si="34"/>
        <v>0.35</v>
      </c>
      <c r="K132" s="1320">
        <f t="shared" ref="K132:K137" si="37">K115</f>
        <v>68500</v>
      </c>
      <c r="L132" s="1321">
        <f t="shared" si="35"/>
        <v>23975</v>
      </c>
      <c r="M132" s="1325" t="s">
        <v>233</v>
      </c>
      <c r="N132" s="1322">
        <f t="shared" si="36"/>
        <v>23975</v>
      </c>
      <c r="R132" s="90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2"/>
    </row>
    <row r="133" spans="1:30" ht="14.1" customHeight="1" x14ac:dyDescent="0.3">
      <c r="A133" s="1316"/>
      <c r="B133" s="1317"/>
      <c r="C133" s="1326" t="s">
        <v>241</v>
      </c>
      <c r="D133" s="1318">
        <v>1</v>
      </c>
      <c r="E133" s="1318" t="s">
        <v>237</v>
      </c>
      <c r="F133" s="1327" t="s">
        <v>238</v>
      </c>
      <c r="G133" s="1321">
        <f t="shared" si="33"/>
        <v>0.35</v>
      </c>
      <c r="H133" s="1328" t="s">
        <v>37</v>
      </c>
      <c r="I133" s="1327" t="s">
        <v>239</v>
      </c>
      <c r="J133" s="1320">
        <f t="shared" si="34"/>
        <v>0.35</v>
      </c>
      <c r="K133" s="1320">
        <f t="shared" si="37"/>
        <v>63500</v>
      </c>
      <c r="L133" s="1321">
        <f t="shared" si="35"/>
        <v>22225</v>
      </c>
      <c r="M133" s="1325" t="s">
        <v>233</v>
      </c>
      <c r="N133" s="1322">
        <f t="shared" si="36"/>
        <v>22225</v>
      </c>
      <c r="R133" s="90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2"/>
    </row>
    <row r="134" spans="1:30" ht="14.1" customHeight="1" x14ac:dyDescent="0.3">
      <c r="A134" s="1316"/>
      <c r="B134" s="1317"/>
      <c r="C134" s="1326" t="s">
        <v>254</v>
      </c>
      <c r="D134" s="1318">
        <v>1</v>
      </c>
      <c r="E134" s="1318" t="s">
        <v>237</v>
      </c>
      <c r="F134" s="1327" t="s">
        <v>238</v>
      </c>
      <c r="G134" s="1321">
        <f t="shared" si="33"/>
        <v>0.35</v>
      </c>
      <c r="H134" s="1328" t="s">
        <v>37</v>
      </c>
      <c r="I134" s="1327" t="s">
        <v>239</v>
      </c>
      <c r="J134" s="1320">
        <f t="shared" si="34"/>
        <v>0.35</v>
      </c>
      <c r="K134" s="1320">
        <f t="shared" si="37"/>
        <v>54500</v>
      </c>
      <c r="L134" s="1321">
        <f t="shared" si="35"/>
        <v>19075</v>
      </c>
      <c r="M134" s="1325" t="s">
        <v>233</v>
      </c>
      <c r="N134" s="1322">
        <f t="shared" si="36"/>
        <v>19075</v>
      </c>
      <c r="R134" s="90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2"/>
    </row>
    <row r="135" spans="1:30" ht="14.1" customHeight="1" x14ac:dyDescent="0.3">
      <c r="A135" s="1316"/>
      <c r="B135" s="1317"/>
      <c r="C135" s="1326" t="s">
        <v>242</v>
      </c>
      <c r="D135" s="1318">
        <v>1</v>
      </c>
      <c r="E135" s="1318" t="s">
        <v>237</v>
      </c>
      <c r="F135" s="1327" t="s">
        <v>238</v>
      </c>
      <c r="G135" s="1321">
        <f t="shared" si="33"/>
        <v>0.35</v>
      </c>
      <c r="H135" s="1328" t="s">
        <v>37</v>
      </c>
      <c r="I135" s="1327" t="s">
        <v>239</v>
      </c>
      <c r="J135" s="1320">
        <f t="shared" si="34"/>
        <v>0.35</v>
      </c>
      <c r="K135" s="1320">
        <f t="shared" si="37"/>
        <v>54500</v>
      </c>
      <c r="L135" s="1321">
        <f t="shared" si="35"/>
        <v>19075</v>
      </c>
      <c r="M135" s="1325" t="s">
        <v>233</v>
      </c>
      <c r="N135" s="1322">
        <f t="shared" si="36"/>
        <v>19075</v>
      </c>
      <c r="R135" s="90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2"/>
    </row>
    <row r="136" spans="1:30" ht="14.1" customHeight="1" x14ac:dyDescent="0.3">
      <c r="A136" s="1316"/>
      <c r="B136" s="1317"/>
      <c r="C136" s="1326" t="s">
        <v>243</v>
      </c>
      <c r="D136" s="1318">
        <v>1</v>
      </c>
      <c r="E136" s="1318" t="s">
        <v>237</v>
      </c>
      <c r="F136" s="1327" t="s">
        <v>238</v>
      </c>
      <c r="G136" s="1321">
        <f t="shared" si="33"/>
        <v>0.35</v>
      </c>
      <c r="H136" s="1328" t="s">
        <v>37</v>
      </c>
      <c r="I136" s="1327" t="s">
        <v>239</v>
      </c>
      <c r="J136" s="1320">
        <f t="shared" si="34"/>
        <v>0.35</v>
      </c>
      <c r="K136" s="1320">
        <f t="shared" si="37"/>
        <v>52000</v>
      </c>
      <c r="L136" s="1321">
        <f t="shared" si="35"/>
        <v>18200</v>
      </c>
      <c r="M136" s="1325" t="s">
        <v>233</v>
      </c>
      <c r="N136" s="1322">
        <f t="shared" si="36"/>
        <v>18200</v>
      </c>
      <c r="R136" s="90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2"/>
    </row>
    <row r="137" spans="1:30" ht="14.1" customHeight="1" x14ac:dyDescent="0.3">
      <c r="A137" s="1316"/>
      <c r="B137" s="1317"/>
      <c r="C137" s="1326" t="s">
        <v>244</v>
      </c>
      <c r="D137" s="1318">
        <v>4</v>
      </c>
      <c r="E137" s="1318" t="s">
        <v>237</v>
      </c>
      <c r="F137" s="1327" t="s">
        <v>238</v>
      </c>
      <c r="G137" s="1321">
        <f t="shared" si="33"/>
        <v>0.35</v>
      </c>
      <c r="H137" s="1328" t="s">
        <v>37</v>
      </c>
      <c r="I137" s="1327" t="s">
        <v>239</v>
      </c>
      <c r="J137" s="1320">
        <f t="shared" si="34"/>
        <v>1.4</v>
      </c>
      <c r="K137" s="1320">
        <f t="shared" si="37"/>
        <v>36500</v>
      </c>
      <c r="L137" s="1321">
        <f t="shared" si="35"/>
        <v>51100</v>
      </c>
      <c r="M137" s="1325" t="s">
        <v>233</v>
      </c>
      <c r="N137" s="1322">
        <f t="shared" si="36"/>
        <v>51100</v>
      </c>
      <c r="R137" s="90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2"/>
    </row>
    <row r="138" spans="1:30" ht="14.1" customHeight="1" x14ac:dyDescent="0.3">
      <c r="A138" s="1316"/>
      <c r="B138" s="1318"/>
      <c r="C138" s="1318"/>
      <c r="D138" s="1318"/>
      <c r="E138" s="1318"/>
      <c r="F138" s="1318"/>
      <c r="G138" s="1318"/>
      <c r="H138" s="1328"/>
      <c r="I138" s="1329" t="s">
        <v>245</v>
      </c>
      <c r="J138" s="1329"/>
      <c r="K138" s="1340"/>
      <c r="L138" s="1330">
        <f>SUM(L126:L137)</f>
        <v>233359.57374999998</v>
      </c>
      <c r="M138" s="1330">
        <f>SUM(M126:M137)</f>
        <v>185000</v>
      </c>
      <c r="N138" s="1332">
        <f>SUM(N126:N137)</f>
        <v>418359.57374999998</v>
      </c>
      <c r="R138" s="90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2"/>
    </row>
    <row r="139" spans="1:30" ht="14.1" customHeight="1" x14ac:dyDescent="0.3">
      <c r="A139" s="1316"/>
      <c r="B139" s="1318"/>
      <c r="C139" s="1318"/>
      <c r="D139" s="1318"/>
      <c r="E139" s="1318"/>
      <c r="F139" s="1318"/>
      <c r="G139" s="1318"/>
      <c r="H139" s="1328"/>
      <c r="I139" s="1333" t="s">
        <v>512</v>
      </c>
      <c r="J139" s="1334"/>
      <c r="K139" s="1317"/>
      <c r="L139" s="1320"/>
      <c r="M139" s="1320"/>
      <c r="N139" s="1322">
        <f>N138*15%</f>
        <v>62753.936062499997</v>
      </c>
      <c r="R139" s="90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2"/>
    </row>
    <row r="140" spans="1:30" ht="14.1" customHeight="1" x14ac:dyDescent="0.3">
      <c r="A140" s="1316"/>
      <c r="B140" s="1318"/>
      <c r="C140" s="1318"/>
      <c r="D140" s="1318"/>
      <c r="E140" s="1318"/>
      <c r="F140" s="1318"/>
      <c r="G140" s="1318"/>
      <c r="H140" s="1328"/>
      <c r="I140" s="1335" t="s">
        <v>247</v>
      </c>
      <c r="J140" s="1336"/>
      <c r="K140" s="1337"/>
      <c r="L140" s="1338"/>
      <c r="M140" s="1338"/>
      <c r="N140" s="1339">
        <f>N138+N139</f>
        <v>481113.50981249998</v>
      </c>
      <c r="R140" s="90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2"/>
    </row>
    <row r="141" spans="1:30" ht="14.1" customHeight="1" x14ac:dyDescent="0.3">
      <c r="A141" s="1075">
        <v>1</v>
      </c>
      <c r="B141" s="1076" t="s">
        <v>897</v>
      </c>
      <c r="C141" s="1077"/>
      <c r="D141" s="1077"/>
      <c r="E141" s="1077"/>
      <c r="F141" s="1077"/>
      <c r="G141" s="1077"/>
      <c r="H141" s="1077"/>
      <c r="I141" s="1077"/>
      <c r="J141" s="1078"/>
      <c r="K141" s="1078"/>
      <c r="L141" s="1078"/>
      <c r="M141" s="1078"/>
      <c r="N141" s="1079"/>
      <c r="R141" s="90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2"/>
    </row>
    <row r="142" spans="1:30" ht="14.1" customHeight="1" x14ac:dyDescent="0.3">
      <c r="A142" s="1080"/>
      <c r="B142" s="1081"/>
      <c r="C142" s="1082" t="s">
        <v>230</v>
      </c>
      <c r="D142" s="1082"/>
      <c r="E142" s="1082"/>
      <c r="F142" s="1082"/>
      <c r="G142" s="1082"/>
      <c r="H142" s="1082"/>
      <c r="I142" s="1083" t="s">
        <v>37</v>
      </c>
      <c r="J142" s="1084">
        <v>1.1000000000000001</v>
      </c>
      <c r="K142" s="1084"/>
      <c r="L142" s="1085"/>
      <c r="M142" s="1084"/>
      <c r="N142" s="1086"/>
      <c r="R142" s="90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2"/>
    </row>
    <row r="143" spans="1:30" ht="14.1" customHeight="1" x14ac:dyDescent="0.3">
      <c r="A143" s="1080"/>
      <c r="B143" s="1087" t="s">
        <v>231</v>
      </c>
      <c r="C143" s="1082" t="s">
        <v>232</v>
      </c>
      <c r="D143" s="1082"/>
      <c r="E143" s="1082"/>
      <c r="F143" s="1082"/>
      <c r="G143" s="1082"/>
      <c r="H143" s="1082"/>
      <c r="I143" s="1088" t="s">
        <v>37</v>
      </c>
      <c r="J143" s="1084">
        <f>J142</f>
        <v>1.1000000000000001</v>
      </c>
      <c r="K143" s="1084">
        <f>'BOR 4"'!J41</f>
        <v>79000</v>
      </c>
      <c r="L143" s="1085">
        <f>J143*K143</f>
        <v>86900</v>
      </c>
      <c r="M143" s="1089" t="s">
        <v>233</v>
      </c>
      <c r="N143" s="1086">
        <f>L143+M143</f>
        <v>86900</v>
      </c>
      <c r="R143" s="90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2"/>
    </row>
    <row r="144" spans="1:30" ht="14.1" customHeight="1" x14ac:dyDescent="0.3">
      <c r="A144" s="1080"/>
      <c r="B144" s="1087" t="s">
        <v>234</v>
      </c>
      <c r="C144" s="1082" t="s">
        <v>235</v>
      </c>
      <c r="D144" s="1082"/>
      <c r="E144" s="1082"/>
      <c r="F144" s="1082"/>
      <c r="G144" s="1082"/>
      <c r="H144" s="1082"/>
      <c r="I144" s="1088"/>
      <c r="J144" s="1084"/>
      <c r="K144" s="1084"/>
      <c r="L144" s="1085"/>
      <c r="M144" s="1084"/>
      <c r="N144" s="1086"/>
      <c r="R144" s="90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2"/>
    </row>
    <row r="145" spans="1:30" ht="14.1" customHeight="1" x14ac:dyDescent="0.3">
      <c r="A145" s="1080"/>
      <c r="B145" s="1081"/>
      <c r="C145" s="1090" t="s">
        <v>236</v>
      </c>
      <c r="D145" s="1082">
        <v>1</v>
      </c>
      <c r="E145" s="1082" t="s">
        <v>237</v>
      </c>
      <c r="F145" s="1091" t="s">
        <v>238</v>
      </c>
      <c r="G145" s="1085">
        <f t="shared" ref="G145:G150" si="38">$J$22</f>
        <v>1.1000000000000001</v>
      </c>
      <c r="H145" s="1092" t="s">
        <v>37</v>
      </c>
      <c r="I145" s="1091" t="s">
        <v>239</v>
      </c>
      <c r="J145" s="1084">
        <f t="shared" ref="J145:J150" si="39">D145*G145</f>
        <v>1.1000000000000001</v>
      </c>
      <c r="K145" s="1084">
        <f t="shared" ref="K145:K150" si="40">K86</f>
        <v>83500</v>
      </c>
      <c r="L145" s="1085">
        <f t="shared" ref="L145:L150" si="41">J145*K145</f>
        <v>91850.000000000015</v>
      </c>
      <c r="M145" s="1089" t="s">
        <v>233</v>
      </c>
      <c r="N145" s="1086">
        <f t="shared" ref="N145:N150" si="42">L145+M145</f>
        <v>91850.000000000015</v>
      </c>
      <c r="R145" s="90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2"/>
    </row>
    <row r="146" spans="1:30" ht="14.1" customHeight="1" x14ac:dyDescent="0.3">
      <c r="A146" s="1080"/>
      <c r="B146" s="1081"/>
      <c r="C146" s="1090" t="s">
        <v>240</v>
      </c>
      <c r="D146" s="1082">
        <v>1</v>
      </c>
      <c r="E146" s="1082" t="s">
        <v>237</v>
      </c>
      <c r="F146" s="1091" t="s">
        <v>238</v>
      </c>
      <c r="G146" s="1085">
        <f t="shared" si="38"/>
        <v>1.1000000000000001</v>
      </c>
      <c r="H146" s="1092" t="s">
        <v>37</v>
      </c>
      <c r="I146" s="1091" t="s">
        <v>239</v>
      </c>
      <c r="J146" s="1084">
        <f t="shared" si="39"/>
        <v>1.1000000000000001</v>
      </c>
      <c r="K146" s="1084">
        <f t="shared" si="40"/>
        <v>68500</v>
      </c>
      <c r="L146" s="1085">
        <f t="shared" si="41"/>
        <v>75350</v>
      </c>
      <c r="M146" s="1089" t="s">
        <v>233</v>
      </c>
      <c r="N146" s="1086">
        <f t="shared" si="42"/>
        <v>75350</v>
      </c>
      <c r="R146" s="90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2"/>
    </row>
    <row r="147" spans="1:30" ht="14.1" customHeight="1" x14ac:dyDescent="0.3">
      <c r="A147" s="1080"/>
      <c r="B147" s="1081"/>
      <c r="C147" s="1090" t="s">
        <v>241</v>
      </c>
      <c r="D147" s="1082">
        <v>1</v>
      </c>
      <c r="E147" s="1082" t="s">
        <v>237</v>
      </c>
      <c r="F147" s="1091" t="s">
        <v>238</v>
      </c>
      <c r="G147" s="1085">
        <f t="shared" si="38"/>
        <v>1.1000000000000001</v>
      </c>
      <c r="H147" s="1092" t="s">
        <v>37</v>
      </c>
      <c r="I147" s="1091" t="s">
        <v>239</v>
      </c>
      <c r="J147" s="1084">
        <f t="shared" si="39"/>
        <v>1.1000000000000001</v>
      </c>
      <c r="K147" s="1084">
        <f t="shared" si="40"/>
        <v>63500</v>
      </c>
      <c r="L147" s="1085">
        <f t="shared" si="41"/>
        <v>69850</v>
      </c>
      <c r="M147" s="1089" t="s">
        <v>233</v>
      </c>
      <c r="N147" s="1086">
        <f t="shared" si="42"/>
        <v>69850</v>
      </c>
      <c r="R147" s="90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2"/>
    </row>
    <row r="148" spans="1:30" ht="14.1" customHeight="1" x14ac:dyDescent="0.3">
      <c r="A148" s="1080"/>
      <c r="B148" s="1081"/>
      <c r="C148" s="1090" t="s">
        <v>242</v>
      </c>
      <c r="D148" s="1082">
        <v>1</v>
      </c>
      <c r="E148" s="1082" t="s">
        <v>237</v>
      </c>
      <c r="F148" s="1091" t="s">
        <v>238</v>
      </c>
      <c r="G148" s="1085">
        <f t="shared" si="38"/>
        <v>1.1000000000000001</v>
      </c>
      <c r="H148" s="1092" t="s">
        <v>37</v>
      </c>
      <c r="I148" s="1091" t="s">
        <v>239</v>
      </c>
      <c r="J148" s="1084">
        <f t="shared" si="39"/>
        <v>1.1000000000000001</v>
      </c>
      <c r="K148" s="1084">
        <f t="shared" si="40"/>
        <v>54500</v>
      </c>
      <c r="L148" s="1085">
        <f t="shared" si="41"/>
        <v>59950.000000000007</v>
      </c>
      <c r="M148" s="1089" t="s">
        <v>233</v>
      </c>
      <c r="N148" s="1086">
        <f t="shared" si="42"/>
        <v>59950.000000000007</v>
      </c>
      <c r="R148" s="90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2"/>
    </row>
    <row r="149" spans="1:30" ht="14.1" customHeight="1" x14ac:dyDescent="0.3">
      <c r="A149" s="1080"/>
      <c r="B149" s="1081"/>
      <c r="C149" s="1090" t="s">
        <v>243</v>
      </c>
      <c r="D149" s="1082">
        <v>1</v>
      </c>
      <c r="E149" s="1082" t="s">
        <v>237</v>
      </c>
      <c r="F149" s="1091" t="s">
        <v>238</v>
      </c>
      <c r="G149" s="1085">
        <f t="shared" si="38"/>
        <v>1.1000000000000001</v>
      </c>
      <c r="H149" s="1092" t="s">
        <v>37</v>
      </c>
      <c r="I149" s="1091" t="s">
        <v>239</v>
      </c>
      <c r="J149" s="1084">
        <f t="shared" si="39"/>
        <v>1.1000000000000001</v>
      </c>
      <c r="K149" s="1084">
        <f t="shared" si="40"/>
        <v>52000</v>
      </c>
      <c r="L149" s="1085">
        <f t="shared" si="41"/>
        <v>57200.000000000007</v>
      </c>
      <c r="M149" s="1089" t="s">
        <v>233</v>
      </c>
      <c r="N149" s="1086">
        <f t="shared" si="42"/>
        <v>57200.000000000007</v>
      </c>
      <c r="R149" s="90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2"/>
    </row>
    <row r="150" spans="1:30" ht="14.1" customHeight="1" x14ac:dyDescent="0.3">
      <c r="A150" s="1080"/>
      <c r="B150" s="1081"/>
      <c r="C150" s="1090" t="s">
        <v>244</v>
      </c>
      <c r="D150" s="1082">
        <v>4</v>
      </c>
      <c r="E150" s="1082" t="s">
        <v>237</v>
      </c>
      <c r="F150" s="1091" t="s">
        <v>238</v>
      </c>
      <c r="G150" s="1085">
        <f t="shared" si="38"/>
        <v>1.1000000000000001</v>
      </c>
      <c r="H150" s="1092" t="s">
        <v>37</v>
      </c>
      <c r="I150" s="1091" t="s">
        <v>239</v>
      </c>
      <c r="J150" s="1084">
        <f t="shared" si="39"/>
        <v>4.4000000000000004</v>
      </c>
      <c r="K150" s="1084">
        <f t="shared" si="40"/>
        <v>36500</v>
      </c>
      <c r="L150" s="1085">
        <f t="shared" si="41"/>
        <v>160600</v>
      </c>
      <c r="M150" s="1089" t="s">
        <v>233</v>
      </c>
      <c r="N150" s="1086">
        <f t="shared" si="42"/>
        <v>160600</v>
      </c>
      <c r="R150" s="90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2"/>
    </row>
    <row r="151" spans="1:30" ht="14.1" customHeight="1" x14ac:dyDescent="0.3">
      <c r="A151" s="1080"/>
      <c r="B151" s="1082"/>
      <c r="C151" s="1082"/>
      <c r="D151" s="1082"/>
      <c r="E151" s="1082"/>
      <c r="F151" s="1082"/>
      <c r="G151" s="1082"/>
      <c r="H151" s="1092"/>
      <c r="I151" s="1093" t="s">
        <v>245</v>
      </c>
      <c r="J151" s="1093"/>
      <c r="K151" s="1093"/>
      <c r="L151" s="1094">
        <f>SUM(L143:L150)</f>
        <v>601700</v>
      </c>
      <c r="M151" s="1095" t="s">
        <v>233</v>
      </c>
      <c r="N151" s="1096">
        <f>SUM(N143:N150)</f>
        <v>601700</v>
      </c>
      <c r="R151" s="90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2"/>
    </row>
    <row r="152" spans="1:30" ht="14.1" customHeight="1" x14ac:dyDescent="0.3">
      <c r="A152" s="1080"/>
      <c r="B152" s="1082"/>
      <c r="C152" s="1082"/>
      <c r="D152" s="1082"/>
      <c r="E152" s="1082"/>
      <c r="F152" s="1082"/>
      <c r="G152" s="1082"/>
      <c r="H152" s="1092"/>
      <c r="I152" s="1097" t="s">
        <v>512</v>
      </c>
      <c r="J152" s="1098"/>
      <c r="K152" s="1081"/>
      <c r="L152" s="1084"/>
      <c r="M152" s="1084"/>
      <c r="N152" s="1086">
        <f>N151*15%</f>
        <v>90255</v>
      </c>
      <c r="R152" s="90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2"/>
    </row>
    <row r="153" spans="1:30" ht="14.1" customHeight="1" x14ac:dyDescent="0.3">
      <c r="A153" s="1080"/>
      <c r="B153" s="1082"/>
      <c r="C153" s="1082"/>
      <c r="D153" s="1082"/>
      <c r="E153" s="1082"/>
      <c r="F153" s="1082"/>
      <c r="G153" s="1082"/>
      <c r="H153" s="1092"/>
      <c r="I153" s="1099" t="s">
        <v>247</v>
      </c>
      <c r="J153" s="1100"/>
      <c r="K153" s="1101"/>
      <c r="L153" s="1102"/>
      <c r="M153" s="1102"/>
      <c r="N153" s="1103">
        <f>N151+N152</f>
        <v>691955</v>
      </c>
      <c r="R153" s="90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2"/>
    </row>
    <row r="154" spans="1:30" ht="14.1" customHeight="1" x14ac:dyDescent="0.3">
      <c r="A154" s="1075">
        <f>A141+1</f>
        <v>2</v>
      </c>
      <c r="B154" s="1076" t="s">
        <v>898</v>
      </c>
      <c r="C154" s="1077"/>
      <c r="D154" s="1077"/>
      <c r="E154" s="1077"/>
      <c r="F154" s="1077"/>
      <c r="G154" s="1077"/>
      <c r="H154" s="1077"/>
      <c r="I154" s="1077"/>
      <c r="J154" s="1078"/>
      <c r="K154" s="1078"/>
      <c r="L154" s="1078"/>
      <c r="M154" s="1078"/>
      <c r="N154" s="1079"/>
      <c r="R154" s="90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2"/>
    </row>
    <row r="155" spans="1:30" ht="14.1" customHeight="1" x14ac:dyDescent="0.3">
      <c r="A155" s="1080"/>
      <c r="B155" s="1081"/>
      <c r="C155" s="1082" t="s">
        <v>230</v>
      </c>
      <c r="D155" s="1082"/>
      <c r="E155" s="1082"/>
      <c r="F155" s="1082"/>
      <c r="G155" s="1085"/>
      <c r="H155" s="1092"/>
      <c r="I155" s="1091" t="s">
        <v>37</v>
      </c>
      <c r="J155" s="1084">
        <f>J142*0.8</f>
        <v>0.88000000000000012</v>
      </c>
      <c r="K155" s="1084"/>
      <c r="L155" s="1085"/>
      <c r="M155" s="1084"/>
      <c r="N155" s="1086"/>
      <c r="R155" s="90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2"/>
    </row>
    <row r="156" spans="1:30" ht="14.1" customHeight="1" x14ac:dyDescent="0.3">
      <c r="A156" s="1080"/>
      <c r="B156" s="1087" t="s">
        <v>231</v>
      </c>
      <c r="C156" s="1082" t="s">
        <v>232</v>
      </c>
      <c r="D156" s="1082"/>
      <c r="E156" s="1082"/>
      <c r="F156" s="1082"/>
      <c r="G156" s="1085"/>
      <c r="H156" s="1092"/>
      <c r="I156" s="1091" t="s">
        <v>37</v>
      </c>
      <c r="J156" s="1084">
        <f>J155</f>
        <v>0.88000000000000012</v>
      </c>
      <c r="K156" s="1084">
        <f>K143</f>
        <v>79000</v>
      </c>
      <c r="L156" s="1085">
        <f>J156*K156</f>
        <v>69520.000000000015</v>
      </c>
      <c r="M156" s="1089" t="s">
        <v>233</v>
      </c>
      <c r="N156" s="1086">
        <f>L156+M156</f>
        <v>69520.000000000015</v>
      </c>
      <c r="R156" s="90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2"/>
    </row>
    <row r="157" spans="1:30" ht="14.1" customHeight="1" x14ac:dyDescent="0.3">
      <c r="A157" s="1080"/>
      <c r="B157" s="1087" t="s">
        <v>234</v>
      </c>
      <c r="C157" s="1082" t="s">
        <v>235</v>
      </c>
      <c r="D157" s="1082"/>
      <c r="E157" s="1082"/>
      <c r="F157" s="1082"/>
      <c r="G157" s="1082"/>
      <c r="H157" s="1092"/>
      <c r="I157" s="1082"/>
      <c r="J157" s="1084"/>
      <c r="K157" s="1084"/>
      <c r="L157" s="1085"/>
      <c r="M157" s="1084"/>
      <c r="N157" s="1086"/>
      <c r="R157" s="90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2"/>
    </row>
    <row r="158" spans="1:30" ht="14.1" customHeight="1" x14ac:dyDescent="0.3">
      <c r="A158" s="1080"/>
      <c r="B158" s="1081"/>
      <c r="C158" s="1090" t="s">
        <v>236</v>
      </c>
      <c r="D158" s="1082">
        <v>1</v>
      </c>
      <c r="E158" s="1082" t="s">
        <v>237</v>
      </c>
      <c r="F158" s="1091" t="s">
        <v>238</v>
      </c>
      <c r="G158" s="1085">
        <f t="shared" ref="G158:G163" si="43">$J$35</f>
        <v>0.88000000000000012</v>
      </c>
      <c r="H158" s="1092" t="s">
        <v>37</v>
      </c>
      <c r="I158" s="1091" t="s">
        <v>239</v>
      </c>
      <c r="J158" s="1084">
        <f t="shared" ref="J158:J163" si="44">D158*G158</f>
        <v>0.88000000000000012</v>
      </c>
      <c r="K158" s="1084">
        <f t="shared" ref="K158:K163" si="45">K145</f>
        <v>83500</v>
      </c>
      <c r="L158" s="1085">
        <f t="shared" ref="L158:L163" si="46">J158*K158</f>
        <v>73480.000000000015</v>
      </c>
      <c r="M158" s="1089" t="s">
        <v>233</v>
      </c>
      <c r="N158" s="1086">
        <f t="shared" ref="N158:N163" si="47">L158+M158</f>
        <v>73480.000000000015</v>
      </c>
      <c r="R158" s="90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2"/>
    </row>
    <row r="159" spans="1:30" ht="14.1" customHeight="1" x14ac:dyDescent="0.3">
      <c r="A159" s="1080"/>
      <c r="B159" s="1081"/>
      <c r="C159" s="1090" t="s">
        <v>240</v>
      </c>
      <c r="D159" s="1082">
        <v>1</v>
      </c>
      <c r="E159" s="1082" t="s">
        <v>237</v>
      </c>
      <c r="F159" s="1091" t="s">
        <v>238</v>
      </c>
      <c r="G159" s="1085">
        <f t="shared" si="43"/>
        <v>0.88000000000000012</v>
      </c>
      <c r="H159" s="1092" t="s">
        <v>37</v>
      </c>
      <c r="I159" s="1091" t="s">
        <v>239</v>
      </c>
      <c r="J159" s="1084">
        <f t="shared" si="44"/>
        <v>0.88000000000000012</v>
      </c>
      <c r="K159" s="1084">
        <f t="shared" si="45"/>
        <v>68500</v>
      </c>
      <c r="L159" s="1085">
        <f t="shared" si="46"/>
        <v>60280.000000000007</v>
      </c>
      <c r="M159" s="1089" t="s">
        <v>233</v>
      </c>
      <c r="N159" s="1086">
        <f t="shared" si="47"/>
        <v>60280.000000000007</v>
      </c>
      <c r="R159" s="90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2"/>
    </row>
    <row r="160" spans="1:30" ht="14.1" customHeight="1" x14ac:dyDescent="0.3">
      <c r="A160" s="1080"/>
      <c r="B160" s="1081"/>
      <c r="C160" s="1090" t="s">
        <v>241</v>
      </c>
      <c r="D160" s="1082">
        <v>1</v>
      </c>
      <c r="E160" s="1082" t="s">
        <v>237</v>
      </c>
      <c r="F160" s="1091" t="s">
        <v>238</v>
      </c>
      <c r="G160" s="1085">
        <f t="shared" si="43"/>
        <v>0.88000000000000012</v>
      </c>
      <c r="H160" s="1092" t="s">
        <v>37</v>
      </c>
      <c r="I160" s="1091" t="s">
        <v>239</v>
      </c>
      <c r="J160" s="1084">
        <f t="shared" si="44"/>
        <v>0.88000000000000012</v>
      </c>
      <c r="K160" s="1084">
        <f t="shared" si="45"/>
        <v>63500</v>
      </c>
      <c r="L160" s="1085">
        <f t="shared" si="46"/>
        <v>55880.000000000007</v>
      </c>
      <c r="M160" s="1089" t="s">
        <v>233</v>
      </c>
      <c r="N160" s="1086">
        <f t="shared" si="47"/>
        <v>55880.000000000007</v>
      </c>
      <c r="R160" s="90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2"/>
    </row>
    <row r="161" spans="1:30" ht="14.1" customHeight="1" x14ac:dyDescent="0.3">
      <c r="A161" s="1080"/>
      <c r="B161" s="1081"/>
      <c r="C161" s="1090" t="s">
        <v>242</v>
      </c>
      <c r="D161" s="1082">
        <v>1</v>
      </c>
      <c r="E161" s="1082" t="s">
        <v>237</v>
      </c>
      <c r="F161" s="1091" t="s">
        <v>238</v>
      </c>
      <c r="G161" s="1085">
        <f t="shared" si="43"/>
        <v>0.88000000000000012</v>
      </c>
      <c r="H161" s="1092" t="s">
        <v>37</v>
      </c>
      <c r="I161" s="1091" t="s">
        <v>239</v>
      </c>
      <c r="J161" s="1084">
        <f t="shared" si="44"/>
        <v>0.88000000000000012</v>
      </c>
      <c r="K161" s="1084">
        <f t="shared" si="45"/>
        <v>54500</v>
      </c>
      <c r="L161" s="1085">
        <f t="shared" si="46"/>
        <v>47960.000000000007</v>
      </c>
      <c r="M161" s="1089" t="s">
        <v>233</v>
      </c>
      <c r="N161" s="1086">
        <f t="shared" si="47"/>
        <v>47960.000000000007</v>
      </c>
      <c r="R161" s="90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2"/>
    </row>
    <row r="162" spans="1:30" ht="14.1" customHeight="1" x14ac:dyDescent="0.3">
      <c r="A162" s="1080"/>
      <c r="B162" s="1081"/>
      <c r="C162" s="1090" t="s">
        <v>243</v>
      </c>
      <c r="D162" s="1082">
        <v>1</v>
      </c>
      <c r="E162" s="1082" t="s">
        <v>237</v>
      </c>
      <c r="F162" s="1091" t="s">
        <v>238</v>
      </c>
      <c r="G162" s="1085">
        <f t="shared" si="43"/>
        <v>0.88000000000000012</v>
      </c>
      <c r="H162" s="1092" t="s">
        <v>37</v>
      </c>
      <c r="I162" s="1091" t="s">
        <v>239</v>
      </c>
      <c r="J162" s="1084">
        <f t="shared" si="44"/>
        <v>0.88000000000000012</v>
      </c>
      <c r="K162" s="1084">
        <f t="shared" si="45"/>
        <v>52000</v>
      </c>
      <c r="L162" s="1085">
        <f t="shared" si="46"/>
        <v>45760.000000000007</v>
      </c>
      <c r="M162" s="1089" t="s">
        <v>233</v>
      </c>
      <c r="N162" s="1086">
        <f t="shared" si="47"/>
        <v>45760.000000000007</v>
      </c>
      <c r="R162" s="90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2"/>
    </row>
    <row r="163" spans="1:30" ht="14.1" customHeight="1" x14ac:dyDescent="0.3">
      <c r="A163" s="1080"/>
      <c r="B163" s="1081"/>
      <c r="C163" s="1090" t="s">
        <v>244</v>
      </c>
      <c r="D163" s="1082">
        <v>4</v>
      </c>
      <c r="E163" s="1082" t="s">
        <v>237</v>
      </c>
      <c r="F163" s="1091" t="s">
        <v>238</v>
      </c>
      <c r="G163" s="1085">
        <f t="shared" si="43"/>
        <v>0.88000000000000012</v>
      </c>
      <c r="H163" s="1092" t="s">
        <v>37</v>
      </c>
      <c r="I163" s="1091" t="s">
        <v>239</v>
      </c>
      <c r="J163" s="1084">
        <f t="shared" si="44"/>
        <v>3.5200000000000005</v>
      </c>
      <c r="K163" s="1084">
        <f t="shared" si="45"/>
        <v>36500</v>
      </c>
      <c r="L163" s="1085">
        <f t="shared" si="46"/>
        <v>128480.00000000001</v>
      </c>
      <c r="M163" s="1089" t="s">
        <v>233</v>
      </c>
      <c r="N163" s="1086">
        <f t="shared" si="47"/>
        <v>128480.00000000001</v>
      </c>
      <c r="R163" s="90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2"/>
    </row>
    <row r="164" spans="1:30" ht="14.1" customHeight="1" x14ac:dyDescent="0.3">
      <c r="A164" s="1080"/>
      <c r="B164" s="1082"/>
      <c r="C164" s="1082"/>
      <c r="D164" s="1082"/>
      <c r="E164" s="1082"/>
      <c r="F164" s="1082"/>
      <c r="G164" s="1082"/>
      <c r="H164" s="1092"/>
      <c r="I164" s="1093" t="s">
        <v>245</v>
      </c>
      <c r="J164" s="1093"/>
      <c r="K164" s="1104"/>
      <c r="L164" s="1093">
        <f>SUM(L156:L163)</f>
        <v>481360.00000000006</v>
      </c>
      <c r="M164" s="1095" t="s">
        <v>233</v>
      </c>
      <c r="N164" s="1096">
        <f>SUM(N156:N163)</f>
        <v>481360.00000000006</v>
      </c>
      <c r="R164" s="90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2"/>
    </row>
    <row r="165" spans="1:30" ht="14.1" customHeight="1" x14ac:dyDescent="0.3">
      <c r="A165" s="1080"/>
      <c r="B165" s="1082"/>
      <c r="C165" s="1082"/>
      <c r="D165" s="1082"/>
      <c r="E165" s="1082"/>
      <c r="F165" s="1082"/>
      <c r="G165" s="1082"/>
      <c r="H165" s="1092"/>
      <c r="I165" s="1097" t="s">
        <v>512</v>
      </c>
      <c r="J165" s="1098"/>
      <c r="K165" s="1081"/>
      <c r="L165" s="1084"/>
      <c r="M165" s="1084"/>
      <c r="N165" s="1086">
        <f>N164*15%</f>
        <v>72204</v>
      </c>
      <c r="R165" s="90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2"/>
    </row>
    <row r="166" spans="1:30" ht="14.1" customHeight="1" x14ac:dyDescent="0.3">
      <c r="A166" s="1080"/>
      <c r="B166" s="1082"/>
      <c r="C166" s="1082"/>
      <c r="D166" s="1082"/>
      <c r="E166" s="1082"/>
      <c r="F166" s="1082"/>
      <c r="G166" s="1082"/>
      <c r="H166" s="1092"/>
      <c r="I166" s="1099" t="s">
        <v>247</v>
      </c>
      <c r="J166" s="1100"/>
      <c r="K166" s="1101"/>
      <c r="L166" s="1102"/>
      <c r="M166" s="1102"/>
      <c r="N166" s="1103">
        <f>N164+N165</f>
        <v>553564</v>
      </c>
      <c r="R166" s="90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2"/>
    </row>
    <row r="167" spans="1:30" ht="14.1" customHeight="1" x14ac:dyDescent="0.3">
      <c r="A167" s="1075">
        <f>A128+1</f>
        <v>1</v>
      </c>
      <c r="B167" s="1076" t="s">
        <v>906</v>
      </c>
      <c r="C167" s="1077"/>
      <c r="D167" s="1077"/>
      <c r="E167" s="1077"/>
      <c r="F167" s="1077"/>
      <c r="G167" s="1077"/>
      <c r="H167" s="1077"/>
      <c r="I167" s="1077"/>
      <c r="J167" s="1078"/>
      <c r="K167" s="1078"/>
      <c r="L167" s="1078"/>
      <c r="M167" s="1078"/>
      <c r="N167" s="1079"/>
      <c r="R167" s="90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2"/>
    </row>
    <row r="168" spans="1:30" ht="14.1" customHeight="1" x14ac:dyDescent="0.3">
      <c r="A168" s="1080"/>
      <c r="B168" s="1081"/>
      <c r="C168" s="1082" t="s">
        <v>248</v>
      </c>
      <c r="D168" s="1082"/>
      <c r="E168" s="1082"/>
      <c r="F168" s="1082"/>
      <c r="G168" s="1085"/>
      <c r="H168" s="1092"/>
      <c r="I168" s="1091" t="s">
        <v>37</v>
      </c>
      <c r="J168" s="1084">
        <f>J125</f>
        <v>0.35</v>
      </c>
      <c r="K168" s="1084"/>
      <c r="L168" s="1085"/>
      <c r="M168" s="1084"/>
      <c r="N168" s="1086"/>
      <c r="R168" s="90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2"/>
    </row>
    <row r="169" spans="1:30" ht="14.1" customHeight="1" x14ac:dyDescent="0.3">
      <c r="A169" s="1080"/>
      <c r="B169" s="1087" t="s">
        <v>231</v>
      </c>
      <c r="C169" s="1082" t="s">
        <v>232</v>
      </c>
      <c r="D169" s="1082"/>
      <c r="E169" s="1082"/>
      <c r="F169" s="1082"/>
      <c r="G169" s="1085"/>
      <c r="H169" s="1092"/>
      <c r="I169" s="1091" t="s">
        <v>37</v>
      </c>
      <c r="J169" s="1084">
        <f>J168</f>
        <v>0.35</v>
      </c>
      <c r="K169" s="1084">
        <f>K156</f>
        <v>79000</v>
      </c>
      <c r="L169" s="1085">
        <f>J169*K169</f>
        <v>27650</v>
      </c>
      <c r="M169" s="1089" t="s">
        <v>233</v>
      </c>
      <c r="N169" s="1086">
        <f>L169+M169</f>
        <v>27650</v>
      </c>
      <c r="R169" s="90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2"/>
    </row>
    <row r="170" spans="1:30" ht="14.1" customHeight="1" x14ac:dyDescent="0.3">
      <c r="A170" s="1080"/>
      <c r="B170" s="1087" t="s">
        <v>234</v>
      </c>
      <c r="C170" s="1082" t="s">
        <v>249</v>
      </c>
      <c r="D170" s="1082"/>
      <c r="E170" s="1082"/>
      <c r="F170" s="1082"/>
      <c r="G170" s="1085"/>
      <c r="H170" s="1092"/>
      <c r="I170" s="1091" t="s">
        <v>250</v>
      </c>
      <c r="J170" s="1084">
        <v>1</v>
      </c>
      <c r="K170" s="1084">
        <f>K111</f>
        <v>2500</v>
      </c>
      <c r="L170" s="1085">
        <f>J170*K170</f>
        <v>2500</v>
      </c>
      <c r="M170" s="1089" t="s">
        <v>233</v>
      </c>
      <c r="N170" s="1086">
        <f>L170+M170</f>
        <v>2500</v>
      </c>
      <c r="R170" s="90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2"/>
    </row>
    <row r="171" spans="1:30" ht="14.1" customHeight="1" x14ac:dyDescent="0.3">
      <c r="A171" s="1080"/>
      <c r="B171" s="1087" t="s">
        <v>251</v>
      </c>
      <c r="C171" s="1082" t="s">
        <v>252</v>
      </c>
      <c r="D171" s="1082"/>
      <c r="E171" s="1082"/>
      <c r="F171" s="1082"/>
      <c r="G171" s="1085"/>
      <c r="H171" s="1092"/>
      <c r="I171" s="1091" t="s">
        <v>15</v>
      </c>
      <c r="J171" s="1084">
        <v>1</v>
      </c>
      <c r="K171" s="1084">
        <f>'UPAH BAHAN'!H127</f>
        <v>84000</v>
      </c>
      <c r="L171" s="1343" t="s">
        <v>233</v>
      </c>
      <c r="M171" s="1084">
        <f>J171*K171</f>
        <v>84000</v>
      </c>
      <c r="N171" s="1086">
        <f>L171+M171</f>
        <v>84000</v>
      </c>
      <c r="R171" s="90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2"/>
    </row>
    <row r="172" spans="1:30" ht="14.1" customHeight="1" x14ac:dyDescent="0.3">
      <c r="A172" s="1080"/>
      <c r="B172" s="1087" t="s">
        <v>253</v>
      </c>
      <c r="C172" s="1082" t="s">
        <v>235</v>
      </c>
      <c r="D172" s="1082"/>
      <c r="E172" s="1082"/>
      <c r="F172" s="1082"/>
      <c r="G172" s="1082"/>
      <c r="H172" s="1092"/>
      <c r="I172" s="1082"/>
      <c r="J172" s="1084"/>
      <c r="K172" s="1084"/>
      <c r="L172" s="1085"/>
      <c r="M172" s="1084"/>
      <c r="N172" s="1086"/>
      <c r="R172" s="90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2"/>
    </row>
    <row r="173" spans="1:30" ht="14.1" customHeight="1" x14ac:dyDescent="0.3">
      <c r="A173" s="1080"/>
      <c r="B173" s="1081"/>
      <c r="C173" s="1090" t="s">
        <v>236</v>
      </c>
      <c r="D173" s="1082">
        <v>1</v>
      </c>
      <c r="E173" s="1082" t="s">
        <v>237</v>
      </c>
      <c r="F173" s="1091" t="s">
        <v>238</v>
      </c>
      <c r="G173" s="1085">
        <f t="shared" ref="G173:G179" si="48">$J$47</f>
        <v>0.35</v>
      </c>
      <c r="H173" s="1092" t="s">
        <v>37</v>
      </c>
      <c r="I173" s="1091" t="s">
        <v>239</v>
      </c>
      <c r="J173" s="1084">
        <f t="shared" ref="J173:J179" si="49">D173*G173</f>
        <v>0.35</v>
      </c>
      <c r="K173" s="1084">
        <f t="shared" ref="K173:K179" si="50">K114</f>
        <v>83500</v>
      </c>
      <c r="L173" s="1085">
        <f t="shared" ref="L173:L179" si="51">J173*K173</f>
        <v>29224.999999999996</v>
      </c>
      <c r="M173" s="1089" t="s">
        <v>233</v>
      </c>
      <c r="N173" s="1086">
        <f t="shared" ref="N173:N179" si="52">L173+M173</f>
        <v>29224.999999999996</v>
      </c>
      <c r="R173" s="90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2"/>
    </row>
    <row r="174" spans="1:30" ht="14.1" customHeight="1" x14ac:dyDescent="0.3">
      <c r="A174" s="1080"/>
      <c r="B174" s="1081"/>
      <c r="C174" s="1090" t="s">
        <v>240</v>
      </c>
      <c r="D174" s="1082">
        <v>1</v>
      </c>
      <c r="E174" s="1082" t="s">
        <v>237</v>
      </c>
      <c r="F174" s="1091" t="s">
        <v>238</v>
      </c>
      <c r="G174" s="1085">
        <f t="shared" si="48"/>
        <v>0.35</v>
      </c>
      <c r="H174" s="1092" t="s">
        <v>37</v>
      </c>
      <c r="I174" s="1091" t="s">
        <v>239</v>
      </c>
      <c r="J174" s="1084">
        <f t="shared" si="49"/>
        <v>0.35</v>
      </c>
      <c r="K174" s="1084">
        <f t="shared" si="50"/>
        <v>68500</v>
      </c>
      <c r="L174" s="1085">
        <f t="shared" si="51"/>
        <v>23975</v>
      </c>
      <c r="M174" s="1089" t="s">
        <v>233</v>
      </c>
      <c r="N174" s="1086">
        <f t="shared" si="52"/>
        <v>23975</v>
      </c>
      <c r="R174" s="90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2"/>
    </row>
    <row r="175" spans="1:30" ht="14.1" customHeight="1" x14ac:dyDescent="0.3">
      <c r="A175" s="1080"/>
      <c r="B175" s="1081"/>
      <c r="C175" s="1090" t="s">
        <v>241</v>
      </c>
      <c r="D175" s="1082">
        <v>1</v>
      </c>
      <c r="E175" s="1082" t="s">
        <v>237</v>
      </c>
      <c r="F175" s="1091" t="s">
        <v>238</v>
      </c>
      <c r="G175" s="1085">
        <f t="shared" si="48"/>
        <v>0.35</v>
      </c>
      <c r="H175" s="1092" t="s">
        <v>37</v>
      </c>
      <c r="I175" s="1091" t="s">
        <v>239</v>
      </c>
      <c r="J175" s="1084">
        <f t="shared" si="49"/>
        <v>0.35</v>
      </c>
      <c r="K175" s="1084">
        <f t="shared" si="50"/>
        <v>63500</v>
      </c>
      <c r="L175" s="1085">
        <f t="shared" si="51"/>
        <v>22225</v>
      </c>
      <c r="M175" s="1089" t="s">
        <v>233</v>
      </c>
      <c r="N175" s="1086">
        <f t="shared" si="52"/>
        <v>22225</v>
      </c>
      <c r="R175" s="90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2"/>
    </row>
    <row r="176" spans="1:30" ht="14.1" customHeight="1" x14ac:dyDescent="0.3">
      <c r="A176" s="1080"/>
      <c r="B176" s="1081"/>
      <c r="C176" s="1090" t="s">
        <v>254</v>
      </c>
      <c r="D176" s="1082">
        <v>1</v>
      </c>
      <c r="E176" s="1082" t="s">
        <v>237</v>
      </c>
      <c r="F176" s="1091" t="s">
        <v>238</v>
      </c>
      <c r="G176" s="1085">
        <f t="shared" si="48"/>
        <v>0.35</v>
      </c>
      <c r="H176" s="1092" t="s">
        <v>37</v>
      </c>
      <c r="I176" s="1091" t="s">
        <v>239</v>
      </c>
      <c r="J176" s="1084">
        <f t="shared" si="49"/>
        <v>0.35</v>
      </c>
      <c r="K176" s="1084">
        <f t="shared" si="50"/>
        <v>54500</v>
      </c>
      <c r="L176" s="1085">
        <f t="shared" si="51"/>
        <v>19075</v>
      </c>
      <c r="M176" s="1089" t="s">
        <v>233</v>
      </c>
      <c r="N176" s="1086">
        <f t="shared" si="52"/>
        <v>19075</v>
      </c>
      <c r="R176" s="90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2"/>
    </row>
    <row r="177" spans="1:30" ht="14.1" customHeight="1" x14ac:dyDescent="0.3">
      <c r="A177" s="1080"/>
      <c r="B177" s="1081"/>
      <c r="C177" s="1090" t="s">
        <v>242</v>
      </c>
      <c r="D177" s="1082">
        <v>1</v>
      </c>
      <c r="E177" s="1082" t="s">
        <v>237</v>
      </c>
      <c r="F177" s="1091" t="s">
        <v>238</v>
      </c>
      <c r="G177" s="1085">
        <f t="shared" si="48"/>
        <v>0.35</v>
      </c>
      <c r="H177" s="1092" t="s">
        <v>37</v>
      </c>
      <c r="I177" s="1091" t="s">
        <v>239</v>
      </c>
      <c r="J177" s="1084">
        <f t="shared" si="49"/>
        <v>0.35</v>
      </c>
      <c r="K177" s="1084">
        <f t="shared" si="50"/>
        <v>54500</v>
      </c>
      <c r="L177" s="1085">
        <f t="shared" si="51"/>
        <v>19075</v>
      </c>
      <c r="M177" s="1089" t="s">
        <v>233</v>
      </c>
      <c r="N177" s="1086">
        <f t="shared" si="52"/>
        <v>19075</v>
      </c>
      <c r="R177" s="90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2"/>
    </row>
    <row r="178" spans="1:30" ht="14.1" customHeight="1" x14ac:dyDescent="0.3">
      <c r="A178" s="1080"/>
      <c r="B178" s="1081"/>
      <c r="C178" s="1090" t="s">
        <v>243</v>
      </c>
      <c r="D178" s="1082">
        <v>1</v>
      </c>
      <c r="E178" s="1082" t="s">
        <v>237</v>
      </c>
      <c r="F178" s="1091" t="s">
        <v>238</v>
      </c>
      <c r="G178" s="1085">
        <f t="shared" si="48"/>
        <v>0.35</v>
      </c>
      <c r="H178" s="1092" t="s">
        <v>37</v>
      </c>
      <c r="I178" s="1091" t="s">
        <v>239</v>
      </c>
      <c r="J178" s="1084">
        <f t="shared" si="49"/>
        <v>0.35</v>
      </c>
      <c r="K178" s="1084">
        <f t="shared" si="50"/>
        <v>52000</v>
      </c>
      <c r="L178" s="1085">
        <f t="shared" si="51"/>
        <v>18200</v>
      </c>
      <c r="M178" s="1089" t="s">
        <v>233</v>
      </c>
      <c r="N178" s="1086">
        <f t="shared" si="52"/>
        <v>18200</v>
      </c>
      <c r="R178" s="90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2"/>
    </row>
    <row r="179" spans="1:30" ht="14.1" customHeight="1" x14ac:dyDescent="0.3">
      <c r="A179" s="1080"/>
      <c r="B179" s="1081"/>
      <c r="C179" s="1090" t="s">
        <v>244</v>
      </c>
      <c r="D179" s="1082">
        <v>4</v>
      </c>
      <c r="E179" s="1082" t="s">
        <v>237</v>
      </c>
      <c r="F179" s="1091" t="s">
        <v>238</v>
      </c>
      <c r="G179" s="1085">
        <f t="shared" si="48"/>
        <v>0.35</v>
      </c>
      <c r="H179" s="1092" t="s">
        <v>37</v>
      </c>
      <c r="I179" s="1091" t="s">
        <v>239</v>
      </c>
      <c r="J179" s="1084">
        <f t="shared" si="49"/>
        <v>1.4</v>
      </c>
      <c r="K179" s="1084">
        <f t="shared" si="50"/>
        <v>36500</v>
      </c>
      <c r="L179" s="1085">
        <f t="shared" si="51"/>
        <v>51100</v>
      </c>
      <c r="M179" s="1089" t="s">
        <v>233</v>
      </c>
      <c r="N179" s="1086">
        <f t="shared" si="52"/>
        <v>51100</v>
      </c>
      <c r="R179" s="90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2"/>
    </row>
    <row r="180" spans="1:30" ht="14.1" customHeight="1" x14ac:dyDescent="0.3">
      <c r="A180" s="1080"/>
      <c r="B180" s="1082"/>
      <c r="C180" s="1082"/>
      <c r="D180" s="1082"/>
      <c r="E180" s="1082"/>
      <c r="F180" s="1082"/>
      <c r="G180" s="1082"/>
      <c r="H180" s="1092"/>
      <c r="I180" s="1093" t="s">
        <v>245</v>
      </c>
      <c r="J180" s="1093"/>
      <c r="K180" s="1104"/>
      <c r="L180" s="1094">
        <f>SUM(L169:L179)</f>
        <v>213025</v>
      </c>
      <c r="M180" s="1094">
        <f>SUM(M169:M179)</f>
        <v>84000</v>
      </c>
      <c r="N180" s="1096">
        <f>SUM(N169:N179)</f>
        <v>297025</v>
      </c>
      <c r="R180" s="90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2"/>
    </row>
    <row r="181" spans="1:30" ht="14.1" customHeight="1" x14ac:dyDescent="0.3">
      <c r="A181" s="1080"/>
      <c r="B181" s="1082"/>
      <c r="C181" s="1082"/>
      <c r="D181" s="1082"/>
      <c r="E181" s="1082"/>
      <c r="F181" s="1082"/>
      <c r="G181" s="1082"/>
      <c r="H181" s="1092"/>
      <c r="I181" s="1344" t="s">
        <v>246</v>
      </c>
      <c r="J181" s="1098"/>
      <c r="K181" s="1081"/>
      <c r="L181" s="1084"/>
      <c r="M181" s="1084"/>
      <c r="N181" s="1086">
        <f>N180*10%</f>
        <v>29702.5</v>
      </c>
      <c r="R181" s="90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2"/>
    </row>
    <row r="182" spans="1:30" ht="14.1" customHeight="1" x14ac:dyDescent="0.3">
      <c r="A182" s="1080"/>
      <c r="B182" s="1082"/>
      <c r="C182" s="1082"/>
      <c r="D182" s="1082"/>
      <c r="E182" s="1082"/>
      <c r="F182" s="1082"/>
      <c r="G182" s="1082"/>
      <c r="H182" s="1092"/>
      <c r="I182" s="1099" t="s">
        <v>247</v>
      </c>
      <c r="J182" s="1100"/>
      <c r="K182" s="1101"/>
      <c r="L182" s="1102"/>
      <c r="M182" s="1102"/>
      <c r="N182" s="1103">
        <f>N180+N181</f>
        <v>326727.5</v>
      </c>
      <c r="R182" s="90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2"/>
    </row>
    <row r="183" spans="1:30" ht="14.1" customHeight="1" x14ac:dyDescent="0.3">
      <c r="A183" s="1075">
        <f>A167+1</f>
        <v>2</v>
      </c>
      <c r="B183" s="1076" t="s">
        <v>907</v>
      </c>
      <c r="C183" s="1077"/>
      <c r="D183" s="1077"/>
      <c r="E183" s="1077"/>
      <c r="F183" s="1077"/>
      <c r="G183" s="1077"/>
      <c r="H183" s="1077"/>
      <c r="I183" s="1077"/>
      <c r="J183" s="1078"/>
      <c r="K183" s="1078"/>
      <c r="L183" s="1078"/>
      <c r="M183" s="1078"/>
      <c r="N183" s="1079"/>
      <c r="R183" s="90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2"/>
    </row>
    <row r="184" spans="1:30" ht="14.1" customHeight="1" x14ac:dyDescent="0.3">
      <c r="A184" s="1080"/>
      <c r="B184" s="1081"/>
      <c r="C184" s="1082" t="s">
        <v>248</v>
      </c>
      <c r="D184" s="1082"/>
      <c r="E184" s="1082"/>
      <c r="F184" s="1082"/>
      <c r="G184" s="1085"/>
      <c r="H184" s="1092"/>
      <c r="I184" s="1091" t="s">
        <v>37</v>
      </c>
      <c r="J184" s="1084">
        <f>J168</f>
        <v>0.35</v>
      </c>
      <c r="K184" s="1084"/>
      <c r="L184" s="1085"/>
      <c r="M184" s="1084"/>
      <c r="N184" s="1086"/>
      <c r="R184" s="90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2"/>
    </row>
    <row r="185" spans="1:30" ht="14.1" customHeight="1" x14ac:dyDescent="0.3">
      <c r="A185" s="1080"/>
      <c r="B185" s="1087" t="s">
        <v>231</v>
      </c>
      <c r="C185" s="1082" t="s">
        <v>232</v>
      </c>
      <c r="D185" s="1082"/>
      <c r="E185" s="1082"/>
      <c r="F185" s="1082"/>
      <c r="G185" s="1085"/>
      <c r="H185" s="1092"/>
      <c r="I185" s="1091" t="s">
        <v>37</v>
      </c>
      <c r="J185" s="1084">
        <f>J184</f>
        <v>0.35</v>
      </c>
      <c r="K185" s="1084">
        <f>K169</f>
        <v>79000</v>
      </c>
      <c r="L185" s="1085">
        <f>J185*K185</f>
        <v>27650</v>
      </c>
      <c r="M185" s="1089" t="s">
        <v>233</v>
      </c>
      <c r="N185" s="1086">
        <f>L185+M185</f>
        <v>27650</v>
      </c>
      <c r="R185" s="90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2"/>
    </row>
    <row r="186" spans="1:30" ht="14.1" customHeight="1" x14ac:dyDescent="0.3">
      <c r="A186" s="1080"/>
      <c r="B186" s="1087" t="s">
        <v>234</v>
      </c>
      <c r="C186" s="1082" t="s">
        <v>249</v>
      </c>
      <c r="D186" s="1082"/>
      <c r="E186" s="1082"/>
      <c r="F186" s="1082"/>
      <c r="G186" s="1085"/>
      <c r="H186" s="1092"/>
      <c r="I186" s="1091" t="s">
        <v>250</v>
      </c>
      <c r="J186" s="1084">
        <v>1</v>
      </c>
      <c r="K186" s="1084">
        <f>$K$49</f>
        <v>2500</v>
      </c>
      <c r="L186" s="1085">
        <f>J186*K186</f>
        <v>2500</v>
      </c>
      <c r="M186" s="1089" t="s">
        <v>233</v>
      </c>
      <c r="N186" s="1086">
        <f>L186+M186</f>
        <v>2500</v>
      </c>
      <c r="R186" s="90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2"/>
    </row>
    <row r="187" spans="1:30" ht="14.1" customHeight="1" x14ac:dyDescent="0.3">
      <c r="A187" s="1080"/>
      <c r="B187" s="1087" t="s">
        <v>251</v>
      </c>
      <c r="C187" s="1082" t="s">
        <v>252</v>
      </c>
      <c r="D187" s="1082"/>
      <c r="E187" s="1082"/>
      <c r="F187" s="1082"/>
      <c r="G187" s="1085"/>
      <c r="H187" s="1092"/>
      <c r="I187" s="1091" t="s">
        <v>15</v>
      </c>
      <c r="J187" s="1084">
        <v>1</v>
      </c>
      <c r="K187" s="1084">
        <f>+K171</f>
        <v>84000</v>
      </c>
      <c r="L187" s="1343" t="s">
        <v>233</v>
      </c>
      <c r="M187" s="1084">
        <f>J187*K187</f>
        <v>84000</v>
      </c>
      <c r="N187" s="1086">
        <f>L187+M187</f>
        <v>84000</v>
      </c>
      <c r="R187" s="90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2"/>
    </row>
    <row r="188" spans="1:30" ht="14.1" customHeight="1" x14ac:dyDescent="0.3">
      <c r="A188" s="1080"/>
      <c r="B188" s="1087" t="s">
        <v>253</v>
      </c>
      <c r="C188" s="1082" t="s">
        <v>255</v>
      </c>
      <c r="D188" s="1082"/>
      <c r="E188" s="1082"/>
      <c r="F188" s="1082"/>
      <c r="G188" s="1085"/>
      <c r="H188" s="1092"/>
      <c r="I188" s="1091" t="s">
        <v>250</v>
      </c>
      <c r="J188" s="1084">
        <v>1</v>
      </c>
      <c r="K188" s="1084">
        <f>$K$49</f>
        <v>2500</v>
      </c>
      <c r="L188" s="1085">
        <f>J188*K188</f>
        <v>2500</v>
      </c>
      <c r="M188" s="1089" t="s">
        <v>233</v>
      </c>
      <c r="N188" s="1086">
        <f>L188+M188</f>
        <v>2500</v>
      </c>
      <c r="R188" s="90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2"/>
    </row>
    <row r="189" spans="1:30" ht="14.1" customHeight="1" x14ac:dyDescent="0.3">
      <c r="A189" s="1080"/>
      <c r="B189" s="1087" t="s">
        <v>253</v>
      </c>
      <c r="C189" s="1082" t="s">
        <v>235</v>
      </c>
      <c r="D189" s="1082"/>
      <c r="E189" s="1082"/>
      <c r="F189" s="1082"/>
      <c r="G189" s="1082"/>
      <c r="H189" s="1092"/>
      <c r="I189" s="1082"/>
      <c r="J189" s="1084"/>
      <c r="K189" s="1084"/>
      <c r="L189" s="1085"/>
      <c r="M189" s="1084"/>
      <c r="N189" s="1086"/>
      <c r="R189" s="90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2"/>
    </row>
    <row r="190" spans="1:30" ht="14.1" customHeight="1" x14ac:dyDescent="0.3">
      <c r="A190" s="1080"/>
      <c r="B190" s="1081"/>
      <c r="C190" s="1090" t="s">
        <v>236</v>
      </c>
      <c r="D190" s="1082">
        <v>1</v>
      </c>
      <c r="E190" s="1082" t="s">
        <v>237</v>
      </c>
      <c r="F190" s="1091" t="s">
        <v>238</v>
      </c>
      <c r="G190" s="1085">
        <f t="shared" ref="G190:G196" si="53">$J$63</f>
        <v>0.35</v>
      </c>
      <c r="H190" s="1092" t="s">
        <v>37</v>
      </c>
      <c r="I190" s="1091" t="s">
        <v>239</v>
      </c>
      <c r="J190" s="1084">
        <f t="shared" ref="J190:J196" si="54">D190*G190</f>
        <v>0.35</v>
      </c>
      <c r="K190" s="1084">
        <f>K173</f>
        <v>83500</v>
      </c>
      <c r="L190" s="1085">
        <f t="shared" ref="L190:L196" si="55">J190*K190</f>
        <v>29224.999999999996</v>
      </c>
      <c r="M190" s="1089" t="s">
        <v>233</v>
      </c>
      <c r="N190" s="1086">
        <f t="shared" ref="N190:N196" si="56">L190+M190</f>
        <v>29224.999999999996</v>
      </c>
      <c r="R190" s="90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2"/>
    </row>
    <row r="191" spans="1:30" ht="14.1" customHeight="1" x14ac:dyDescent="0.3">
      <c r="A191" s="1080"/>
      <c r="B191" s="1081"/>
      <c r="C191" s="1090" t="s">
        <v>240</v>
      </c>
      <c r="D191" s="1082">
        <v>1</v>
      </c>
      <c r="E191" s="1082" t="s">
        <v>237</v>
      </c>
      <c r="F191" s="1091" t="s">
        <v>238</v>
      </c>
      <c r="G191" s="1085">
        <f t="shared" si="53"/>
        <v>0.35</v>
      </c>
      <c r="H191" s="1092" t="s">
        <v>37</v>
      </c>
      <c r="I191" s="1091" t="s">
        <v>239</v>
      </c>
      <c r="J191" s="1084">
        <f t="shared" si="54"/>
        <v>0.35</v>
      </c>
      <c r="K191" s="1084">
        <f t="shared" ref="K191:K196" si="57">K174</f>
        <v>68500</v>
      </c>
      <c r="L191" s="1085">
        <f t="shared" si="55"/>
        <v>23975</v>
      </c>
      <c r="M191" s="1089" t="s">
        <v>233</v>
      </c>
      <c r="N191" s="1086">
        <f t="shared" si="56"/>
        <v>23975</v>
      </c>
      <c r="R191" s="90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2"/>
    </row>
    <row r="192" spans="1:30" ht="14.1" customHeight="1" x14ac:dyDescent="0.3">
      <c r="A192" s="1080"/>
      <c r="B192" s="1081"/>
      <c r="C192" s="1090" t="s">
        <v>241</v>
      </c>
      <c r="D192" s="1082">
        <v>1</v>
      </c>
      <c r="E192" s="1082" t="s">
        <v>237</v>
      </c>
      <c r="F192" s="1091" t="s">
        <v>238</v>
      </c>
      <c r="G192" s="1085">
        <f t="shared" si="53"/>
        <v>0.35</v>
      </c>
      <c r="H192" s="1092" t="s">
        <v>37</v>
      </c>
      <c r="I192" s="1091" t="s">
        <v>239</v>
      </c>
      <c r="J192" s="1084">
        <f t="shared" si="54"/>
        <v>0.35</v>
      </c>
      <c r="K192" s="1084">
        <f t="shared" si="57"/>
        <v>63500</v>
      </c>
      <c r="L192" s="1085">
        <f t="shared" si="55"/>
        <v>22225</v>
      </c>
      <c r="M192" s="1089" t="s">
        <v>233</v>
      </c>
      <c r="N192" s="1086">
        <f t="shared" si="56"/>
        <v>22225</v>
      </c>
      <c r="R192" s="90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2"/>
    </row>
    <row r="193" spans="1:30" ht="14.1" customHeight="1" x14ac:dyDescent="0.3">
      <c r="A193" s="1080"/>
      <c r="B193" s="1081"/>
      <c r="C193" s="1090" t="s">
        <v>254</v>
      </c>
      <c r="D193" s="1082">
        <v>1</v>
      </c>
      <c r="E193" s="1082" t="s">
        <v>237</v>
      </c>
      <c r="F193" s="1091" t="s">
        <v>238</v>
      </c>
      <c r="G193" s="1085">
        <f t="shared" si="53"/>
        <v>0.35</v>
      </c>
      <c r="H193" s="1092" t="s">
        <v>37</v>
      </c>
      <c r="I193" s="1091" t="s">
        <v>239</v>
      </c>
      <c r="J193" s="1084">
        <f t="shared" si="54"/>
        <v>0.35</v>
      </c>
      <c r="K193" s="1084">
        <f t="shared" si="57"/>
        <v>54500</v>
      </c>
      <c r="L193" s="1085">
        <f t="shared" si="55"/>
        <v>19075</v>
      </c>
      <c r="M193" s="1089" t="s">
        <v>233</v>
      </c>
      <c r="N193" s="1086">
        <f t="shared" si="56"/>
        <v>19075</v>
      </c>
      <c r="R193" s="90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2"/>
    </row>
    <row r="194" spans="1:30" ht="14.1" customHeight="1" x14ac:dyDescent="0.3">
      <c r="A194" s="1080"/>
      <c r="B194" s="1081"/>
      <c r="C194" s="1090" t="s">
        <v>242</v>
      </c>
      <c r="D194" s="1082">
        <v>1</v>
      </c>
      <c r="E194" s="1082" t="s">
        <v>237</v>
      </c>
      <c r="F194" s="1091" t="s">
        <v>238</v>
      </c>
      <c r="G194" s="1085">
        <f t="shared" si="53"/>
        <v>0.35</v>
      </c>
      <c r="H194" s="1092" t="s">
        <v>37</v>
      </c>
      <c r="I194" s="1091" t="s">
        <v>239</v>
      </c>
      <c r="J194" s="1084">
        <f t="shared" si="54"/>
        <v>0.35</v>
      </c>
      <c r="K194" s="1084">
        <f t="shared" si="57"/>
        <v>54500</v>
      </c>
      <c r="L194" s="1085">
        <f t="shared" si="55"/>
        <v>19075</v>
      </c>
      <c r="M194" s="1089" t="s">
        <v>233</v>
      </c>
      <c r="N194" s="1086">
        <f t="shared" si="56"/>
        <v>19075</v>
      </c>
      <c r="R194" s="90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2"/>
    </row>
    <row r="195" spans="1:30" ht="14.1" customHeight="1" x14ac:dyDescent="0.3">
      <c r="A195" s="1080"/>
      <c r="B195" s="1081"/>
      <c r="C195" s="1090" t="s">
        <v>243</v>
      </c>
      <c r="D195" s="1082">
        <v>1</v>
      </c>
      <c r="E195" s="1082" t="s">
        <v>237</v>
      </c>
      <c r="F195" s="1091" t="s">
        <v>238</v>
      </c>
      <c r="G195" s="1085">
        <f t="shared" si="53"/>
        <v>0.35</v>
      </c>
      <c r="H195" s="1092" t="s">
        <v>37</v>
      </c>
      <c r="I195" s="1091" t="s">
        <v>239</v>
      </c>
      <c r="J195" s="1084">
        <f t="shared" si="54"/>
        <v>0.35</v>
      </c>
      <c r="K195" s="1084">
        <f t="shared" si="57"/>
        <v>52000</v>
      </c>
      <c r="L195" s="1085">
        <f t="shared" si="55"/>
        <v>18200</v>
      </c>
      <c r="M195" s="1089" t="s">
        <v>233</v>
      </c>
      <c r="N195" s="1086">
        <f t="shared" si="56"/>
        <v>18200</v>
      </c>
      <c r="R195" s="90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2"/>
    </row>
    <row r="196" spans="1:30" ht="14.1" customHeight="1" x14ac:dyDescent="0.3">
      <c r="A196" s="1080"/>
      <c r="B196" s="1081"/>
      <c r="C196" s="1090" t="s">
        <v>244</v>
      </c>
      <c r="D196" s="1082">
        <v>4</v>
      </c>
      <c r="E196" s="1082" t="s">
        <v>237</v>
      </c>
      <c r="F196" s="1091" t="s">
        <v>238</v>
      </c>
      <c r="G196" s="1085">
        <f t="shared" si="53"/>
        <v>0.35</v>
      </c>
      <c r="H196" s="1092" t="s">
        <v>37</v>
      </c>
      <c r="I196" s="1091" t="s">
        <v>239</v>
      </c>
      <c r="J196" s="1084">
        <f t="shared" si="54"/>
        <v>1.4</v>
      </c>
      <c r="K196" s="1084">
        <f t="shared" si="57"/>
        <v>36500</v>
      </c>
      <c r="L196" s="1085">
        <f t="shared" si="55"/>
        <v>51100</v>
      </c>
      <c r="M196" s="1089" t="s">
        <v>233</v>
      </c>
      <c r="N196" s="1086">
        <f t="shared" si="56"/>
        <v>51100</v>
      </c>
      <c r="R196" s="90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2"/>
    </row>
    <row r="197" spans="1:30" ht="14.1" customHeight="1" x14ac:dyDescent="0.3">
      <c r="A197" s="1080"/>
      <c r="B197" s="1082"/>
      <c r="C197" s="1082"/>
      <c r="D197" s="1082"/>
      <c r="E197" s="1082"/>
      <c r="F197" s="1082"/>
      <c r="G197" s="1082"/>
      <c r="H197" s="1092"/>
      <c r="I197" s="1093" t="s">
        <v>245</v>
      </c>
      <c r="J197" s="1093"/>
      <c r="K197" s="1104"/>
      <c r="L197" s="1094">
        <f>SUM(L185:L196)</f>
        <v>215525</v>
      </c>
      <c r="M197" s="1094">
        <f>SUM(M185:M196)</f>
        <v>84000</v>
      </c>
      <c r="N197" s="1096">
        <f>SUM(N185:N196)</f>
        <v>299525</v>
      </c>
      <c r="R197" s="90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2"/>
    </row>
    <row r="198" spans="1:30" ht="14.1" customHeight="1" x14ac:dyDescent="0.3">
      <c r="A198" s="1080"/>
      <c r="B198" s="1082"/>
      <c r="C198" s="1082"/>
      <c r="D198" s="1082"/>
      <c r="E198" s="1082"/>
      <c r="F198" s="1082"/>
      <c r="G198" s="1082"/>
      <c r="H198" s="1092"/>
      <c r="I198" s="1097" t="s">
        <v>512</v>
      </c>
      <c r="J198" s="1098"/>
      <c r="K198" s="1081"/>
      <c r="L198" s="1084"/>
      <c r="M198" s="1084"/>
      <c r="N198" s="1086">
        <f>N197*15%</f>
        <v>44928.75</v>
      </c>
      <c r="R198" s="90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2"/>
    </row>
    <row r="199" spans="1:30" ht="14.1" customHeight="1" x14ac:dyDescent="0.3">
      <c r="A199" s="1080"/>
      <c r="B199" s="1082"/>
      <c r="C199" s="1082"/>
      <c r="D199" s="1082"/>
      <c r="E199" s="1082"/>
      <c r="F199" s="1082"/>
      <c r="G199" s="1082"/>
      <c r="H199" s="1092"/>
      <c r="I199" s="1099" t="s">
        <v>247</v>
      </c>
      <c r="J199" s="1100"/>
      <c r="K199" s="1101"/>
      <c r="L199" s="1102"/>
      <c r="M199" s="1102"/>
      <c r="N199" s="1103">
        <f>N197+N198</f>
        <v>344453.75</v>
      </c>
      <c r="R199" s="90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2"/>
    </row>
    <row r="200" spans="1:30" ht="14.1" customHeight="1" x14ac:dyDescent="0.3">
      <c r="A200" s="1371">
        <v>1</v>
      </c>
      <c r="B200" s="1372" t="s">
        <v>1019</v>
      </c>
      <c r="C200" s="1373"/>
      <c r="D200" s="1373"/>
      <c r="E200" s="1373"/>
      <c r="F200" s="1373"/>
      <c r="G200" s="1373"/>
      <c r="H200" s="1373"/>
      <c r="I200" s="1373"/>
      <c r="J200" s="1374"/>
      <c r="K200" s="1374"/>
      <c r="L200" s="1374"/>
      <c r="M200" s="1374"/>
      <c r="N200" s="1375"/>
      <c r="R200" s="90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2"/>
    </row>
    <row r="201" spans="1:30" ht="14.1" customHeight="1" x14ac:dyDescent="0.3">
      <c r="A201" s="1376"/>
      <c r="B201" s="1377"/>
      <c r="C201" s="1378" t="s">
        <v>230</v>
      </c>
      <c r="D201" s="1378"/>
      <c r="E201" s="1378"/>
      <c r="F201" s="1378"/>
      <c r="G201" s="1378"/>
      <c r="H201" s="1378"/>
      <c r="I201" s="1379" t="s">
        <v>37</v>
      </c>
      <c r="J201" s="1380">
        <v>1</v>
      </c>
      <c r="K201" s="1380"/>
      <c r="L201" s="1381"/>
      <c r="M201" s="1380"/>
      <c r="N201" s="1382"/>
      <c r="R201" s="90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2"/>
    </row>
    <row r="202" spans="1:30" ht="14.1" customHeight="1" x14ac:dyDescent="0.3">
      <c r="A202" s="1376"/>
      <c r="B202" s="1383" t="s">
        <v>231</v>
      </c>
      <c r="C202" s="1378" t="s">
        <v>232</v>
      </c>
      <c r="D202" s="1378"/>
      <c r="E202" s="1378"/>
      <c r="F202" s="1378"/>
      <c r="G202" s="1378"/>
      <c r="H202" s="1378"/>
      <c r="I202" s="1384" t="s">
        <v>37</v>
      </c>
      <c r="J202" s="1380">
        <f>J201</f>
        <v>1</v>
      </c>
      <c r="K202" s="1380">
        <f>'BOR 4"'!J100</f>
        <v>76548.329166666663</v>
      </c>
      <c r="L202" s="1381">
        <f>J202*K202</f>
        <v>76548.329166666663</v>
      </c>
      <c r="M202" s="1385" t="s">
        <v>233</v>
      </c>
      <c r="N202" s="1382">
        <f>L202+M202</f>
        <v>76548.329166666663</v>
      </c>
      <c r="R202" s="90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2"/>
    </row>
    <row r="203" spans="1:30" ht="14.1" customHeight="1" x14ac:dyDescent="0.3">
      <c r="A203" s="1376"/>
      <c r="B203" s="1383" t="s">
        <v>234</v>
      </c>
      <c r="C203" s="1378" t="s">
        <v>235</v>
      </c>
      <c r="D203" s="1378"/>
      <c r="E203" s="1378"/>
      <c r="F203" s="1378"/>
      <c r="G203" s="1378"/>
      <c r="H203" s="1378"/>
      <c r="I203" s="1384"/>
      <c r="J203" s="1380"/>
      <c r="K203" s="1380"/>
      <c r="L203" s="1381"/>
      <c r="M203" s="1380"/>
      <c r="N203" s="1382"/>
      <c r="R203" s="90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2"/>
    </row>
    <row r="204" spans="1:30" ht="14.1" customHeight="1" x14ac:dyDescent="0.3">
      <c r="A204" s="1376"/>
      <c r="B204" s="1377"/>
      <c r="C204" s="1386" t="s">
        <v>236</v>
      </c>
      <c r="D204" s="1378">
        <v>1</v>
      </c>
      <c r="E204" s="1378" t="s">
        <v>237</v>
      </c>
      <c r="F204" s="1387" t="s">
        <v>238</v>
      </c>
      <c r="G204" s="1381">
        <f>J202</f>
        <v>1</v>
      </c>
      <c r="H204" s="1388" t="s">
        <v>37</v>
      </c>
      <c r="I204" s="1387" t="s">
        <v>239</v>
      </c>
      <c r="J204" s="1380">
        <f t="shared" ref="J204:J209" si="58">D204*G204</f>
        <v>1</v>
      </c>
      <c r="K204" s="1380">
        <f>K190</f>
        <v>83500</v>
      </c>
      <c r="L204" s="1381">
        <f t="shared" ref="L204:L209" si="59">J204*K204</f>
        <v>83500</v>
      </c>
      <c r="M204" s="1385" t="s">
        <v>233</v>
      </c>
      <c r="N204" s="1382">
        <f t="shared" ref="N204:N209" si="60">L204+M204</f>
        <v>83500</v>
      </c>
      <c r="R204" s="90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2"/>
    </row>
    <row r="205" spans="1:30" ht="14.1" customHeight="1" x14ac:dyDescent="0.3">
      <c r="A205" s="1376"/>
      <c r="B205" s="1377"/>
      <c r="C205" s="1386" t="s">
        <v>240</v>
      </c>
      <c r="D205" s="1378">
        <v>1</v>
      </c>
      <c r="E205" s="1378" t="s">
        <v>237</v>
      </c>
      <c r="F205" s="1387" t="s">
        <v>238</v>
      </c>
      <c r="G205" s="1381">
        <f>G204</f>
        <v>1</v>
      </c>
      <c r="H205" s="1388" t="s">
        <v>37</v>
      </c>
      <c r="I205" s="1387" t="s">
        <v>239</v>
      </c>
      <c r="J205" s="1380">
        <f t="shared" si="58"/>
        <v>1</v>
      </c>
      <c r="K205" s="1380">
        <f t="shared" ref="K205:K206" si="61">K191</f>
        <v>68500</v>
      </c>
      <c r="L205" s="1381">
        <f t="shared" si="59"/>
        <v>68500</v>
      </c>
      <c r="M205" s="1385" t="s">
        <v>233</v>
      </c>
      <c r="N205" s="1382">
        <f t="shared" si="60"/>
        <v>68500</v>
      </c>
      <c r="R205" s="90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2"/>
    </row>
    <row r="206" spans="1:30" ht="14.1" customHeight="1" x14ac:dyDescent="0.3">
      <c r="A206" s="1376"/>
      <c r="B206" s="1377"/>
      <c r="C206" s="1386" t="s">
        <v>241</v>
      </c>
      <c r="D206" s="1378">
        <v>1</v>
      </c>
      <c r="E206" s="1378" t="s">
        <v>237</v>
      </c>
      <c r="F206" s="1387" t="s">
        <v>238</v>
      </c>
      <c r="G206" s="1381">
        <f t="shared" ref="G206:G209" si="62">G205</f>
        <v>1</v>
      </c>
      <c r="H206" s="1388" t="s">
        <v>37</v>
      </c>
      <c r="I206" s="1387" t="s">
        <v>239</v>
      </c>
      <c r="J206" s="1380">
        <f t="shared" si="58"/>
        <v>1</v>
      </c>
      <c r="K206" s="1380">
        <f t="shared" si="61"/>
        <v>63500</v>
      </c>
      <c r="L206" s="1381">
        <f t="shared" si="59"/>
        <v>63500</v>
      </c>
      <c r="M206" s="1385" t="s">
        <v>233</v>
      </c>
      <c r="N206" s="1382">
        <f t="shared" si="60"/>
        <v>63500</v>
      </c>
      <c r="R206" s="90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2"/>
    </row>
    <row r="207" spans="1:30" ht="14.1" customHeight="1" x14ac:dyDescent="0.3">
      <c r="A207" s="1376"/>
      <c r="B207" s="1377"/>
      <c r="C207" s="1386" t="s">
        <v>242</v>
      </c>
      <c r="D207" s="1378">
        <v>1</v>
      </c>
      <c r="E207" s="1378" t="s">
        <v>237</v>
      </c>
      <c r="F207" s="1387" t="s">
        <v>238</v>
      </c>
      <c r="G207" s="1381">
        <f t="shared" si="62"/>
        <v>1</v>
      </c>
      <c r="H207" s="1388" t="s">
        <v>37</v>
      </c>
      <c r="I207" s="1387" t="s">
        <v>239</v>
      </c>
      <c r="J207" s="1380">
        <f t="shared" si="58"/>
        <v>1</v>
      </c>
      <c r="K207" s="1380">
        <f>K194</f>
        <v>54500</v>
      </c>
      <c r="L207" s="1381">
        <f t="shared" si="59"/>
        <v>54500</v>
      </c>
      <c r="M207" s="1385" t="s">
        <v>233</v>
      </c>
      <c r="N207" s="1382">
        <f t="shared" si="60"/>
        <v>54500</v>
      </c>
      <c r="R207" s="90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2"/>
    </row>
    <row r="208" spans="1:30" ht="14.1" customHeight="1" x14ac:dyDescent="0.3">
      <c r="A208" s="1376"/>
      <c r="B208" s="1377"/>
      <c r="C208" s="1386" t="s">
        <v>243</v>
      </c>
      <c r="D208" s="1378">
        <v>1</v>
      </c>
      <c r="E208" s="1378" t="s">
        <v>237</v>
      </c>
      <c r="F208" s="1387" t="s">
        <v>238</v>
      </c>
      <c r="G208" s="1381">
        <f t="shared" si="62"/>
        <v>1</v>
      </c>
      <c r="H208" s="1388" t="s">
        <v>37</v>
      </c>
      <c r="I208" s="1387" t="s">
        <v>239</v>
      </c>
      <c r="J208" s="1380">
        <f t="shared" si="58"/>
        <v>1</v>
      </c>
      <c r="K208" s="1380">
        <f t="shared" ref="K208:K209" si="63">K195</f>
        <v>52000</v>
      </c>
      <c r="L208" s="1381">
        <f t="shared" si="59"/>
        <v>52000</v>
      </c>
      <c r="M208" s="1385" t="s">
        <v>233</v>
      </c>
      <c r="N208" s="1382">
        <f t="shared" si="60"/>
        <v>52000</v>
      </c>
      <c r="R208" s="90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2"/>
    </row>
    <row r="209" spans="1:30" ht="14.1" customHeight="1" x14ac:dyDescent="0.3">
      <c r="A209" s="1376"/>
      <c r="B209" s="1377"/>
      <c r="C209" s="1386" t="s">
        <v>244</v>
      </c>
      <c r="D209" s="1378">
        <v>4</v>
      </c>
      <c r="E209" s="1378" t="s">
        <v>237</v>
      </c>
      <c r="F209" s="1387" t="s">
        <v>238</v>
      </c>
      <c r="G209" s="1381">
        <f t="shared" si="62"/>
        <v>1</v>
      </c>
      <c r="H209" s="1388" t="s">
        <v>37</v>
      </c>
      <c r="I209" s="1387" t="s">
        <v>239</v>
      </c>
      <c r="J209" s="1380">
        <f t="shared" si="58"/>
        <v>4</v>
      </c>
      <c r="K209" s="1380">
        <f t="shared" si="63"/>
        <v>36500</v>
      </c>
      <c r="L209" s="1381">
        <f t="shared" si="59"/>
        <v>146000</v>
      </c>
      <c r="M209" s="1385" t="s">
        <v>233</v>
      </c>
      <c r="N209" s="1382">
        <f t="shared" si="60"/>
        <v>146000</v>
      </c>
      <c r="R209" s="90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2"/>
    </row>
    <row r="210" spans="1:30" ht="14.1" customHeight="1" x14ac:dyDescent="0.3">
      <c r="A210" s="1376"/>
      <c r="B210" s="1378"/>
      <c r="C210" s="1378"/>
      <c r="D210" s="1378"/>
      <c r="E210" s="1378"/>
      <c r="F210" s="1378"/>
      <c r="G210" s="1378"/>
      <c r="H210" s="1388"/>
      <c r="I210" s="1389" t="s">
        <v>245</v>
      </c>
      <c r="J210" s="1389"/>
      <c r="K210" s="1389"/>
      <c r="L210" s="1390">
        <f>SUM(L202:L209)</f>
        <v>544548.3291666666</v>
      </c>
      <c r="M210" s="1391" t="s">
        <v>233</v>
      </c>
      <c r="N210" s="1392">
        <f>SUM(N202:N209)</f>
        <v>544548.3291666666</v>
      </c>
      <c r="R210" s="90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2"/>
    </row>
    <row r="211" spans="1:30" ht="14.1" customHeight="1" x14ac:dyDescent="0.3">
      <c r="A211" s="1376"/>
      <c r="B211" s="1378"/>
      <c r="C211" s="1378"/>
      <c r="D211" s="1378"/>
      <c r="E211" s="1378"/>
      <c r="F211" s="1378"/>
      <c r="G211" s="1378"/>
      <c r="H211" s="1388"/>
      <c r="I211" s="1393" t="s">
        <v>512</v>
      </c>
      <c r="J211" s="1394"/>
      <c r="K211" s="1377"/>
      <c r="L211" s="1380"/>
      <c r="M211" s="1380"/>
      <c r="N211" s="1382">
        <f>N210*15%</f>
        <v>81682.249374999985</v>
      </c>
      <c r="R211" s="90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2"/>
    </row>
    <row r="212" spans="1:30" ht="14.1" customHeight="1" x14ac:dyDescent="0.3">
      <c r="A212" s="1376"/>
      <c r="B212" s="1378"/>
      <c r="C212" s="1378"/>
      <c r="D212" s="1378"/>
      <c r="E212" s="1378"/>
      <c r="F212" s="1378"/>
      <c r="G212" s="1378"/>
      <c r="H212" s="1388"/>
      <c r="I212" s="1395" t="s">
        <v>247</v>
      </c>
      <c r="J212" s="1396"/>
      <c r="K212" s="1397"/>
      <c r="L212" s="1398"/>
      <c r="M212" s="1398"/>
      <c r="N212" s="1399">
        <f>N210+N211</f>
        <v>626230.57854166662</v>
      </c>
      <c r="R212" s="90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2"/>
    </row>
    <row r="213" spans="1:30" ht="14.1" customHeight="1" x14ac:dyDescent="0.3">
      <c r="A213" s="1371">
        <f>A200+1</f>
        <v>2</v>
      </c>
      <c r="B213" s="1372" t="s">
        <v>1020</v>
      </c>
      <c r="C213" s="1373"/>
      <c r="D213" s="1373"/>
      <c r="E213" s="1373"/>
      <c r="F213" s="1373"/>
      <c r="G213" s="1373"/>
      <c r="H213" s="1373"/>
      <c r="I213" s="1373"/>
      <c r="J213" s="1374"/>
      <c r="K213" s="1374"/>
      <c r="L213" s="1374"/>
      <c r="M213" s="1374"/>
      <c r="N213" s="1375"/>
      <c r="R213" s="90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2"/>
    </row>
    <row r="214" spans="1:30" ht="14.1" customHeight="1" x14ac:dyDescent="0.3">
      <c r="A214" s="1376"/>
      <c r="B214" s="1377"/>
      <c r="C214" s="1378" t="s">
        <v>230</v>
      </c>
      <c r="D214" s="1378"/>
      <c r="E214" s="1378"/>
      <c r="F214" s="1378"/>
      <c r="G214" s="1381"/>
      <c r="H214" s="1388"/>
      <c r="I214" s="1387" t="s">
        <v>37</v>
      </c>
      <c r="J214" s="1380">
        <f>J204*0.8</f>
        <v>0.8</v>
      </c>
      <c r="K214" s="1380"/>
      <c r="L214" s="1381"/>
      <c r="M214" s="1380"/>
      <c r="N214" s="1382"/>
      <c r="R214" s="90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2"/>
    </row>
    <row r="215" spans="1:30" ht="14.1" customHeight="1" x14ac:dyDescent="0.3">
      <c r="A215" s="1376"/>
      <c r="B215" s="1383" t="s">
        <v>231</v>
      </c>
      <c r="C215" s="1378" t="s">
        <v>232</v>
      </c>
      <c r="D215" s="1378"/>
      <c r="E215" s="1378"/>
      <c r="F215" s="1378"/>
      <c r="G215" s="1381"/>
      <c r="H215" s="1388"/>
      <c r="I215" s="1387" t="s">
        <v>37</v>
      </c>
      <c r="J215" s="1380">
        <f>J214</f>
        <v>0.8</v>
      </c>
      <c r="K215" s="1380">
        <f>K202</f>
        <v>76548.329166666663</v>
      </c>
      <c r="L215" s="1381">
        <f>J215*K215</f>
        <v>61238.66333333333</v>
      </c>
      <c r="M215" s="1385" t="s">
        <v>233</v>
      </c>
      <c r="N215" s="1382">
        <f>L215+M215</f>
        <v>61238.66333333333</v>
      </c>
      <c r="R215" s="90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2"/>
    </row>
    <row r="216" spans="1:30" ht="14.1" customHeight="1" x14ac:dyDescent="0.3">
      <c r="A216" s="1376"/>
      <c r="B216" s="1383" t="s">
        <v>234</v>
      </c>
      <c r="C216" s="1378" t="s">
        <v>235</v>
      </c>
      <c r="D216" s="1378"/>
      <c r="E216" s="1378"/>
      <c r="F216" s="1378"/>
      <c r="G216" s="1378"/>
      <c r="H216" s="1388"/>
      <c r="I216" s="1378"/>
      <c r="J216" s="1380"/>
      <c r="K216" s="1380"/>
      <c r="L216" s="1381"/>
      <c r="M216" s="1380"/>
      <c r="N216" s="1382"/>
      <c r="R216" s="90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2"/>
    </row>
    <row r="217" spans="1:30" ht="14.1" customHeight="1" x14ac:dyDescent="0.3">
      <c r="A217" s="1376"/>
      <c r="B217" s="1377"/>
      <c r="C217" s="1386" t="s">
        <v>236</v>
      </c>
      <c r="D217" s="1378">
        <v>1</v>
      </c>
      <c r="E217" s="1378" t="s">
        <v>237</v>
      </c>
      <c r="F217" s="1387" t="s">
        <v>238</v>
      </c>
      <c r="G217" s="1381">
        <f>J215</f>
        <v>0.8</v>
      </c>
      <c r="H217" s="1388" t="s">
        <v>37</v>
      </c>
      <c r="I217" s="1387" t="s">
        <v>239</v>
      </c>
      <c r="J217" s="1380">
        <f t="shared" ref="J217:J222" si="64">D217*G217</f>
        <v>0.8</v>
      </c>
      <c r="K217" s="1380">
        <f t="shared" ref="K217:K222" si="65">K204</f>
        <v>83500</v>
      </c>
      <c r="L217" s="1381">
        <f t="shared" ref="L217:L222" si="66">J217*K217</f>
        <v>66800</v>
      </c>
      <c r="M217" s="1385" t="s">
        <v>233</v>
      </c>
      <c r="N217" s="1382">
        <f t="shared" ref="N217:N222" si="67">L217+M217</f>
        <v>66800</v>
      </c>
      <c r="R217" s="90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2"/>
    </row>
    <row r="218" spans="1:30" ht="14.1" customHeight="1" x14ac:dyDescent="0.3">
      <c r="A218" s="1376"/>
      <c r="B218" s="1377"/>
      <c r="C218" s="1386" t="s">
        <v>240</v>
      </c>
      <c r="D218" s="1378">
        <v>1</v>
      </c>
      <c r="E218" s="1378" t="s">
        <v>237</v>
      </c>
      <c r="F218" s="1387" t="s">
        <v>238</v>
      </c>
      <c r="G218" s="1381">
        <f>G217</f>
        <v>0.8</v>
      </c>
      <c r="H218" s="1388" t="s">
        <v>37</v>
      </c>
      <c r="I218" s="1387" t="s">
        <v>239</v>
      </c>
      <c r="J218" s="1380">
        <f t="shared" si="64"/>
        <v>0.8</v>
      </c>
      <c r="K218" s="1380">
        <f t="shared" si="65"/>
        <v>68500</v>
      </c>
      <c r="L218" s="1381">
        <f t="shared" si="66"/>
        <v>54800</v>
      </c>
      <c r="M218" s="1385" t="s">
        <v>233</v>
      </c>
      <c r="N218" s="1382">
        <f t="shared" si="67"/>
        <v>54800</v>
      </c>
      <c r="R218" s="90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2"/>
    </row>
    <row r="219" spans="1:30" ht="14.1" customHeight="1" x14ac:dyDescent="0.3">
      <c r="A219" s="1376"/>
      <c r="B219" s="1377"/>
      <c r="C219" s="1386" t="s">
        <v>241</v>
      </c>
      <c r="D219" s="1378">
        <v>1</v>
      </c>
      <c r="E219" s="1378" t="s">
        <v>237</v>
      </c>
      <c r="F219" s="1387" t="s">
        <v>238</v>
      </c>
      <c r="G219" s="1381">
        <f t="shared" ref="G219:G222" si="68">G218</f>
        <v>0.8</v>
      </c>
      <c r="H219" s="1388" t="s">
        <v>37</v>
      </c>
      <c r="I219" s="1387" t="s">
        <v>239</v>
      </c>
      <c r="J219" s="1380">
        <f t="shared" si="64"/>
        <v>0.8</v>
      </c>
      <c r="K219" s="1380">
        <f t="shared" si="65"/>
        <v>63500</v>
      </c>
      <c r="L219" s="1381">
        <f t="shared" si="66"/>
        <v>50800</v>
      </c>
      <c r="M219" s="1385" t="s">
        <v>233</v>
      </c>
      <c r="N219" s="1382">
        <f t="shared" si="67"/>
        <v>50800</v>
      </c>
      <c r="R219" s="90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2"/>
    </row>
    <row r="220" spans="1:30" ht="14.1" customHeight="1" x14ac:dyDescent="0.3">
      <c r="A220" s="1376"/>
      <c r="B220" s="1377"/>
      <c r="C220" s="1386" t="s">
        <v>242</v>
      </c>
      <c r="D220" s="1378">
        <v>1</v>
      </c>
      <c r="E220" s="1378" t="s">
        <v>237</v>
      </c>
      <c r="F220" s="1387" t="s">
        <v>238</v>
      </c>
      <c r="G220" s="1381">
        <f t="shared" si="68"/>
        <v>0.8</v>
      </c>
      <c r="H220" s="1388" t="s">
        <v>37</v>
      </c>
      <c r="I220" s="1387" t="s">
        <v>239</v>
      </c>
      <c r="J220" s="1380">
        <f t="shared" si="64"/>
        <v>0.8</v>
      </c>
      <c r="K220" s="1380">
        <f t="shared" si="65"/>
        <v>54500</v>
      </c>
      <c r="L220" s="1381">
        <f t="shared" si="66"/>
        <v>43600</v>
      </c>
      <c r="M220" s="1385" t="s">
        <v>233</v>
      </c>
      <c r="N220" s="1382">
        <f t="shared" si="67"/>
        <v>43600</v>
      </c>
      <c r="R220" s="90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2"/>
    </row>
    <row r="221" spans="1:30" ht="14.1" customHeight="1" x14ac:dyDescent="0.3">
      <c r="A221" s="1376"/>
      <c r="B221" s="1377"/>
      <c r="C221" s="1386" t="s">
        <v>243</v>
      </c>
      <c r="D221" s="1378">
        <v>1</v>
      </c>
      <c r="E221" s="1378" t="s">
        <v>237</v>
      </c>
      <c r="F221" s="1387" t="s">
        <v>238</v>
      </c>
      <c r="G221" s="1381">
        <f t="shared" si="68"/>
        <v>0.8</v>
      </c>
      <c r="H221" s="1388" t="s">
        <v>37</v>
      </c>
      <c r="I221" s="1387" t="s">
        <v>239</v>
      </c>
      <c r="J221" s="1380">
        <f t="shared" si="64"/>
        <v>0.8</v>
      </c>
      <c r="K221" s="1380">
        <f t="shared" si="65"/>
        <v>52000</v>
      </c>
      <c r="L221" s="1381">
        <f t="shared" si="66"/>
        <v>41600</v>
      </c>
      <c r="M221" s="1385" t="s">
        <v>233</v>
      </c>
      <c r="N221" s="1382">
        <f t="shared" si="67"/>
        <v>41600</v>
      </c>
      <c r="R221" s="90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2"/>
    </row>
    <row r="222" spans="1:30" ht="14.1" customHeight="1" x14ac:dyDescent="0.3">
      <c r="A222" s="1376"/>
      <c r="B222" s="1377"/>
      <c r="C222" s="1386" t="s">
        <v>244</v>
      </c>
      <c r="D222" s="1378">
        <v>4</v>
      </c>
      <c r="E222" s="1378" t="s">
        <v>237</v>
      </c>
      <c r="F222" s="1387" t="s">
        <v>238</v>
      </c>
      <c r="G222" s="1381">
        <f t="shared" si="68"/>
        <v>0.8</v>
      </c>
      <c r="H222" s="1388" t="s">
        <v>37</v>
      </c>
      <c r="I222" s="1387" t="s">
        <v>239</v>
      </c>
      <c r="J222" s="1380">
        <f t="shared" si="64"/>
        <v>3.2</v>
      </c>
      <c r="K222" s="1380">
        <f t="shared" si="65"/>
        <v>36500</v>
      </c>
      <c r="L222" s="1381">
        <f t="shared" si="66"/>
        <v>116800</v>
      </c>
      <c r="M222" s="1385" t="s">
        <v>233</v>
      </c>
      <c r="N222" s="1382">
        <f t="shared" si="67"/>
        <v>116800</v>
      </c>
      <c r="R222" s="90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2"/>
    </row>
    <row r="223" spans="1:30" ht="14.1" customHeight="1" x14ac:dyDescent="0.3">
      <c r="A223" s="1376"/>
      <c r="B223" s="1378"/>
      <c r="C223" s="1378"/>
      <c r="D223" s="1378"/>
      <c r="E223" s="1378"/>
      <c r="F223" s="1378"/>
      <c r="G223" s="1378"/>
      <c r="H223" s="1388"/>
      <c r="I223" s="1389" t="s">
        <v>245</v>
      </c>
      <c r="J223" s="1389"/>
      <c r="K223" s="1400"/>
      <c r="L223" s="1389">
        <f>SUM(L215:L222)</f>
        <v>435638.66333333333</v>
      </c>
      <c r="M223" s="1391" t="s">
        <v>233</v>
      </c>
      <c r="N223" s="1392">
        <f>SUM(N215:N222)</f>
        <v>435638.66333333333</v>
      </c>
      <c r="R223" s="90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2"/>
    </row>
    <row r="224" spans="1:30" ht="14.1" customHeight="1" x14ac:dyDescent="0.3">
      <c r="A224" s="1376"/>
      <c r="B224" s="1378"/>
      <c r="C224" s="1378"/>
      <c r="D224" s="1378"/>
      <c r="E224" s="1378"/>
      <c r="F224" s="1378"/>
      <c r="G224" s="1378"/>
      <c r="H224" s="1388"/>
      <c r="I224" s="1393" t="s">
        <v>512</v>
      </c>
      <c r="J224" s="1394"/>
      <c r="K224" s="1377"/>
      <c r="L224" s="1380"/>
      <c r="M224" s="1380"/>
      <c r="N224" s="1382">
        <f>N223*15%</f>
        <v>65345.799499999994</v>
      </c>
      <c r="R224" s="90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2"/>
    </row>
    <row r="225" spans="1:30" ht="14.1" customHeight="1" x14ac:dyDescent="0.3">
      <c r="A225" s="1376"/>
      <c r="B225" s="1378"/>
      <c r="C225" s="1378"/>
      <c r="D225" s="1378"/>
      <c r="E225" s="1378"/>
      <c r="F225" s="1378"/>
      <c r="G225" s="1378"/>
      <c r="H225" s="1388"/>
      <c r="I225" s="1395" t="s">
        <v>247</v>
      </c>
      <c r="J225" s="1396"/>
      <c r="K225" s="1397"/>
      <c r="L225" s="1398"/>
      <c r="M225" s="1398"/>
      <c r="N225" s="1399">
        <f>N223+N224</f>
        <v>500984.46283333329</v>
      </c>
      <c r="R225" s="90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2"/>
    </row>
    <row r="226" spans="1:30" ht="14.1" customHeight="1" x14ac:dyDescent="0.3">
      <c r="A226" s="1371">
        <f>A187+1</f>
        <v>1</v>
      </c>
      <c r="B226" s="1372" t="s">
        <v>1021</v>
      </c>
      <c r="C226" s="1373"/>
      <c r="D226" s="1373"/>
      <c r="E226" s="1373"/>
      <c r="F226" s="1373"/>
      <c r="G226" s="1373"/>
      <c r="H226" s="1373"/>
      <c r="I226" s="1373"/>
      <c r="J226" s="1374"/>
      <c r="K226" s="1374"/>
      <c r="L226" s="1374"/>
      <c r="M226" s="1374"/>
      <c r="N226" s="1375"/>
      <c r="R226" s="90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2"/>
    </row>
    <row r="227" spans="1:30" ht="14.1" customHeight="1" x14ac:dyDescent="0.3">
      <c r="A227" s="1376"/>
      <c r="B227" s="1377"/>
      <c r="C227" s="1378" t="s">
        <v>248</v>
      </c>
      <c r="D227" s="1378"/>
      <c r="E227" s="1378"/>
      <c r="F227" s="1378"/>
      <c r="G227" s="1381"/>
      <c r="H227" s="1388"/>
      <c r="I227" s="1387" t="s">
        <v>37</v>
      </c>
      <c r="J227" s="1380">
        <v>0.3</v>
      </c>
      <c r="K227" s="1380"/>
      <c r="L227" s="1381"/>
      <c r="M227" s="1380"/>
      <c r="N227" s="1382"/>
      <c r="R227" s="90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2"/>
    </row>
    <row r="228" spans="1:30" ht="14.1" customHeight="1" x14ac:dyDescent="0.3">
      <c r="A228" s="1376"/>
      <c r="B228" s="1383" t="s">
        <v>231</v>
      </c>
      <c r="C228" s="1378" t="s">
        <v>232</v>
      </c>
      <c r="D228" s="1378"/>
      <c r="E228" s="1378"/>
      <c r="F228" s="1378"/>
      <c r="G228" s="1381"/>
      <c r="H228" s="1388"/>
      <c r="I228" s="1387" t="s">
        <v>37</v>
      </c>
      <c r="J228" s="1380">
        <f>J227</f>
        <v>0.3</v>
      </c>
      <c r="K228" s="1380">
        <f>K215</f>
        <v>76548.329166666663</v>
      </c>
      <c r="L228" s="1381">
        <f>J228*K228</f>
        <v>22964.498749999999</v>
      </c>
      <c r="M228" s="1385" t="s">
        <v>233</v>
      </c>
      <c r="N228" s="1382">
        <f>L228+M228</f>
        <v>22964.498749999999</v>
      </c>
      <c r="R228" s="90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2"/>
    </row>
    <row r="229" spans="1:30" ht="14.1" customHeight="1" x14ac:dyDescent="0.3">
      <c r="A229" s="1376"/>
      <c r="B229" s="1383" t="s">
        <v>234</v>
      </c>
      <c r="C229" s="1378" t="s">
        <v>249</v>
      </c>
      <c r="D229" s="1378"/>
      <c r="E229" s="1378"/>
      <c r="F229" s="1378"/>
      <c r="G229" s="1381"/>
      <c r="H229" s="1388"/>
      <c r="I229" s="1387" t="s">
        <v>250</v>
      </c>
      <c r="J229" s="1380">
        <v>1</v>
      </c>
      <c r="K229" s="1380">
        <f>K170</f>
        <v>2500</v>
      </c>
      <c r="L229" s="1381">
        <f>J229*K229</f>
        <v>2500</v>
      </c>
      <c r="M229" s="1385" t="s">
        <v>233</v>
      </c>
      <c r="N229" s="1382">
        <f>L229+M229</f>
        <v>2500</v>
      </c>
      <c r="R229" s="90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2"/>
    </row>
    <row r="230" spans="1:30" ht="14.1" customHeight="1" x14ac:dyDescent="0.3">
      <c r="A230" s="1376"/>
      <c r="B230" s="1383" t="s">
        <v>251</v>
      </c>
      <c r="C230" s="1378" t="s">
        <v>252</v>
      </c>
      <c r="D230" s="1378"/>
      <c r="E230" s="1378"/>
      <c r="F230" s="1378"/>
      <c r="G230" s="1381"/>
      <c r="H230" s="1388"/>
      <c r="I230" s="1387" t="s">
        <v>15</v>
      </c>
      <c r="J230" s="1380">
        <v>1</v>
      </c>
      <c r="K230" s="1380">
        <f>'UPAH BAHAN'!H126</f>
        <v>52500</v>
      </c>
      <c r="L230" s="1401" t="s">
        <v>233</v>
      </c>
      <c r="M230" s="1380">
        <f>J230*K230</f>
        <v>52500</v>
      </c>
      <c r="N230" s="1382">
        <f>L230+M230</f>
        <v>52500</v>
      </c>
      <c r="R230" s="90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2"/>
    </row>
    <row r="231" spans="1:30" ht="14.1" customHeight="1" x14ac:dyDescent="0.3">
      <c r="A231" s="1376"/>
      <c r="B231" s="1383" t="s">
        <v>253</v>
      </c>
      <c r="C231" s="1378" t="s">
        <v>235</v>
      </c>
      <c r="D231" s="1378"/>
      <c r="E231" s="1378"/>
      <c r="F231" s="1378"/>
      <c r="G231" s="1378"/>
      <c r="H231" s="1388"/>
      <c r="I231" s="1378"/>
      <c r="J231" s="1380"/>
      <c r="K231" s="1380"/>
      <c r="L231" s="1381"/>
      <c r="M231" s="1380"/>
      <c r="N231" s="1382"/>
      <c r="R231" s="90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2"/>
    </row>
    <row r="232" spans="1:30" ht="14.1" customHeight="1" x14ac:dyDescent="0.3">
      <c r="A232" s="1376"/>
      <c r="B232" s="1377"/>
      <c r="C232" s="1386" t="s">
        <v>236</v>
      </c>
      <c r="D232" s="1378">
        <v>1</v>
      </c>
      <c r="E232" s="1378" t="s">
        <v>237</v>
      </c>
      <c r="F232" s="1387" t="s">
        <v>238</v>
      </c>
      <c r="G232" s="1381">
        <f>J228</f>
        <v>0.3</v>
      </c>
      <c r="H232" s="1388" t="s">
        <v>37</v>
      </c>
      <c r="I232" s="1387" t="s">
        <v>239</v>
      </c>
      <c r="J232" s="1380">
        <f t="shared" ref="J232:J238" si="69">D232*G232</f>
        <v>0.3</v>
      </c>
      <c r="K232" s="1380">
        <f>K173</f>
        <v>83500</v>
      </c>
      <c r="L232" s="1381">
        <f t="shared" ref="L232:L238" si="70">J232*K232</f>
        <v>25050</v>
      </c>
      <c r="M232" s="1385" t="s">
        <v>233</v>
      </c>
      <c r="N232" s="1382">
        <f t="shared" ref="N232:N238" si="71">L232+M232</f>
        <v>25050</v>
      </c>
      <c r="R232" s="90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2"/>
    </row>
    <row r="233" spans="1:30" ht="14.1" customHeight="1" x14ac:dyDescent="0.3">
      <c r="A233" s="1376"/>
      <c r="B233" s="1377"/>
      <c r="C233" s="1386" t="s">
        <v>240</v>
      </c>
      <c r="D233" s="1378">
        <v>1</v>
      </c>
      <c r="E233" s="1378" t="s">
        <v>237</v>
      </c>
      <c r="F233" s="1387" t="s">
        <v>238</v>
      </c>
      <c r="G233" s="1381">
        <f>G232</f>
        <v>0.3</v>
      </c>
      <c r="H233" s="1388" t="s">
        <v>37</v>
      </c>
      <c r="I233" s="1387" t="s">
        <v>239</v>
      </c>
      <c r="J233" s="1380">
        <f t="shared" si="69"/>
        <v>0.3</v>
      </c>
      <c r="K233" s="1380">
        <f t="shared" ref="K233:K238" si="72">K174</f>
        <v>68500</v>
      </c>
      <c r="L233" s="1381">
        <f t="shared" si="70"/>
        <v>20550</v>
      </c>
      <c r="M233" s="1385" t="s">
        <v>233</v>
      </c>
      <c r="N233" s="1382">
        <f t="shared" si="71"/>
        <v>20550</v>
      </c>
      <c r="R233" s="90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2"/>
    </row>
    <row r="234" spans="1:30" ht="14.1" customHeight="1" x14ac:dyDescent="0.3">
      <c r="A234" s="1376"/>
      <c r="B234" s="1377"/>
      <c r="C234" s="1386" t="s">
        <v>241</v>
      </c>
      <c r="D234" s="1378">
        <v>1</v>
      </c>
      <c r="E234" s="1378" t="s">
        <v>237</v>
      </c>
      <c r="F234" s="1387" t="s">
        <v>238</v>
      </c>
      <c r="G234" s="1381">
        <f t="shared" ref="G234:G238" si="73">G233</f>
        <v>0.3</v>
      </c>
      <c r="H234" s="1388" t="s">
        <v>37</v>
      </c>
      <c r="I234" s="1387" t="s">
        <v>239</v>
      </c>
      <c r="J234" s="1380">
        <f t="shared" si="69"/>
        <v>0.3</v>
      </c>
      <c r="K234" s="1380">
        <f t="shared" si="72"/>
        <v>63500</v>
      </c>
      <c r="L234" s="1381">
        <f t="shared" si="70"/>
        <v>19050</v>
      </c>
      <c r="M234" s="1385" t="s">
        <v>233</v>
      </c>
      <c r="N234" s="1382">
        <f t="shared" si="71"/>
        <v>19050</v>
      </c>
      <c r="R234" s="90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2"/>
    </row>
    <row r="235" spans="1:30" ht="14.1" customHeight="1" x14ac:dyDescent="0.3">
      <c r="A235" s="1376"/>
      <c r="B235" s="1377"/>
      <c r="C235" s="1386" t="s">
        <v>254</v>
      </c>
      <c r="D235" s="1378">
        <v>1</v>
      </c>
      <c r="E235" s="1378" t="s">
        <v>237</v>
      </c>
      <c r="F235" s="1387" t="s">
        <v>238</v>
      </c>
      <c r="G235" s="1381">
        <f t="shared" si="73"/>
        <v>0.3</v>
      </c>
      <c r="H235" s="1388" t="s">
        <v>37</v>
      </c>
      <c r="I235" s="1387" t="s">
        <v>239</v>
      </c>
      <c r="J235" s="1380">
        <f t="shared" si="69"/>
        <v>0.3</v>
      </c>
      <c r="K235" s="1380">
        <f t="shared" si="72"/>
        <v>54500</v>
      </c>
      <c r="L235" s="1381">
        <f t="shared" si="70"/>
        <v>16350</v>
      </c>
      <c r="M235" s="1385" t="s">
        <v>233</v>
      </c>
      <c r="N235" s="1382">
        <f t="shared" si="71"/>
        <v>16350</v>
      </c>
      <c r="R235" s="90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2"/>
    </row>
    <row r="236" spans="1:30" ht="14.1" customHeight="1" x14ac:dyDescent="0.3">
      <c r="A236" s="1376"/>
      <c r="B236" s="1377"/>
      <c r="C236" s="1386" t="s">
        <v>242</v>
      </c>
      <c r="D236" s="1378">
        <v>1</v>
      </c>
      <c r="E236" s="1378" t="s">
        <v>237</v>
      </c>
      <c r="F236" s="1387" t="s">
        <v>238</v>
      </c>
      <c r="G236" s="1381">
        <f t="shared" si="73"/>
        <v>0.3</v>
      </c>
      <c r="H236" s="1388" t="s">
        <v>37</v>
      </c>
      <c r="I236" s="1387" t="s">
        <v>239</v>
      </c>
      <c r="J236" s="1380">
        <f t="shared" si="69"/>
        <v>0.3</v>
      </c>
      <c r="K236" s="1380">
        <f t="shared" si="72"/>
        <v>54500</v>
      </c>
      <c r="L236" s="1381">
        <f t="shared" si="70"/>
        <v>16350</v>
      </c>
      <c r="M236" s="1385" t="s">
        <v>233</v>
      </c>
      <c r="N236" s="1382">
        <f t="shared" si="71"/>
        <v>16350</v>
      </c>
      <c r="R236" s="90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2"/>
    </row>
    <row r="237" spans="1:30" ht="14.1" customHeight="1" x14ac:dyDescent="0.3">
      <c r="A237" s="1376"/>
      <c r="B237" s="1377"/>
      <c r="C237" s="1386" t="s">
        <v>243</v>
      </c>
      <c r="D237" s="1378">
        <v>1</v>
      </c>
      <c r="E237" s="1378" t="s">
        <v>237</v>
      </c>
      <c r="F237" s="1387" t="s">
        <v>238</v>
      </c>
      <c r="G237" s="1381">
        <f t="shared" si="73"/>
        <v>0.3</v>
      </c>
      <c r="H237" s="1388" t="s">
        <v>37</v>
      </c>
      <c r="I237" s="1387" t="s">
        <v>239</v>
      </c>
      <c r="J237" s="1380">
        <f t="shared" si="69"/>
        <v>0.3</v>
      </c>
      <c r="K237" s="1380">
        <f t="shared" si="72"/>
        <v>52000</v>
      </c>
      <c r="L237" s="1381">
        <f t="shared" si="70"/>
        <v>15600</v>
      </c>
      <c r="M237" s="1385" t="s">
        <v>233</v>
      </c>
      <c r="N237" s="1382">
        <f t="shared" si="71"/>
        <v>15600</v>
      </c>
      <c r="R237" s="90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2"/>
    </row>
    <row r="238" spans="1:30" ht="14.1" customHeight="1" x14ac:dyDescent="0.3">
      <c r="A238" s="1376"/>
      <c r="B238" s="1377"/>
      <c r="C238" s="1386" t="s">
        <v>244</v>
      </c>
      <c r="D238" s="1378">
        <v>4</v>
      </c>
      <c r="E238" s="1378" t="s">
        <v>237</v>
      </c>
      <c r="F238" s="1387" t="s">
        <v>238</v>
      </c>
      <c r="G238" s="1381">
        <f t="shared" si="73"/>
        <v>0.3</v>
      </c>
      <c r="H238" s="1388" t="s">
        <v>37</v>
      </c>
      <c r="I238" s="1387" t="s">
        <v>239</v>
      </c>
      <c r="J238" s="1380">
        <f t="shared" si="69"/>
        <v>1.2</v>
      </c>
      <c r="K238" s="1380">
        <f t="shared" si="72"/>
        <v>36500</v>
      </c>
      <c r="L238" s="1381">
        <f t="shared" si="70"/>
        <v>43800</v>
      </c>
      <c r="M238" s="1385" t="s">
        <v>233</v>
      </c>
      <c r="N238" s="1382">
        <f t="shared" si="71"/>
        <v>43800</v>
      </c>
      <c r="R238" s="90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2"/>
    </row>
    <row r="239" spans="1:30" ht="14.1" customHeight="1" x14ac:dyDescent="0.3">
      <c r="A239" s="1376"/>
      <c r="B239" s="1378"/>
      <c r="C239" s="1378"/>
      <c r="D239" s="1378"/>
      <c r="E239" s="1378"/>
      <c r="F239" s="1378"/>
      <c r="G239" s="1378"/>
      <c r="H239" s="1388"/>
      <c r="I239" s="1389" t="s">
        <v>245</v>
      </c>
      <c r="J239" s="1389"/>
      <c r="K239" s="1400"/>
      <c r="L239" s="1390">
        <f>SUM(L228:L238)</f>
        <v>182214.49875</v>
      </c>
      <c r="M239" s="1390">
        <f>SUM(M228:M238)</f>
        <v>52500</v>
      </c>
      <c r="N239" s="1392">
        <f>SUM(N228:N238)</f>
        <v>234714.49875</v>
      </c>
      <c r="R239" s="90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2"/>
    </row>
    <row r="240" spans="1:30" ht="14.1" customHeight="1" x14ac:dyDescent="0.3">
      <c r="A240" s="1376"/>
      <c r="B240" s="1378"/>
      <c r="C240" s="1378"/>
      <c r="D240" s="1378"/>
      <c r="E240" s="1378"/>
      <c r="F240" s="1378"/>
      <c r="G240" s="1378"/>
      <c r="H240" s="1388"/>
      <c r="I240" s="1402" t="s">
        <v>246</v>
      </c>
      <c r="J240" s="1394"/>
      <c r="K240" s="1377"/>
      <c r="L240" s="1380"/>
      <c r="M240" s="1380"/>
      <c r="N240" s="1382">
        <f>N239*10%</f>
        <v>23471.449875000002</v>
      </c>
      <c r="R240" s="90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2"/>
    </row>
    <row r="241" spans="1:30" ht="14.1" customHeight="1" x14ac:dyDescent="0.3">
      <c r="A241" s="1376"/>
      <c r="B241" s="1378"/>
      <c r="C241" s="1378"/>
      <c r="D241" s="1378"/>
      <c r="E241" s="1378"/>
      <c r="F241" s="1378"/>
      <c r="G241" s="1378"/>
      <c r="H241" s="1388"/>
      <c r="I241" s="1395" t="s">
        <v>247</v>
      </c>
      <c r="J241" s="1396"/>
      <c r="K241" s="1397"/>
      <c r="L241" s="1398"/>
      <c r="M241" s="1398"/>
      <c r="N241" s="1399">
        <f>N239+N240</f>
        <v>258185.94862499999</v>
      </c>
      <c r="R241" s="90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2"/>
    </row>
    <row r="242" spans="1:30" ht="14.1" customHeight="1" x14ac:dyDescent="0.3">
      <c r="A242" s="1371">
        <f>A226+1</f>
        <v>2</v>
      </c>
      <c r="B242" s="1372" t="s">
        <v>1022</v>
      </c>
      <c r="C242" s="1373"/>
      <c r="D242" s="1373"/>
      <c r="E242" s="1373"/>
      <c r="F242" s="1373"/>
      <c r="G242" s="1373"/>
      <c r="H242" s="1373"/>
      <c r="I242" s="1373"/>
      <c r="J242" s="1374"/>
      <c r="K242" s="1374"/>
      <c r="L242" s="1374"/>
      <c r="M242" s="1374"/>
      <c r="N242" s="1375"/>
      <c r="R242" s="90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2"/>
    </row>
    <row r="243" spans="1:30" ht="14.1" customHeight="1" x14ac:dyDescent="0.3">
      <c r="A243" s="1376"/>
      <c r="B243" s="1377"/>
      <c r="C243" s="1378" t="s">
        <v>248</v>
      </c>
      <c r="D243" s="1378"/>
      <c r="E243" s="1378"/>
      <c r="F243" s="1378"/>
      <c r="G243" s="1381"/>
      <c r="H243" s="1388"/>
      <c r="I243" s="1387" t="s">
        <v>37</v>
      </c>
      <c r="J243" s="1380">
        <f>J227</f>
        <v>0.3</v>
      </c>
      <c r="K243" s="1380"/>
      <c r="L243" s="1381"/>
      <c r="M243" s="1380"/>
      <c r="N243" s="1382"/>
      <c r="R243" s="90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2"/>
    </row>
    <row r="244" spans="1:30" ht="14.1" customHeight="1" x14ac:dyDescent="0.3">
      <c r="A244" s="1376"/>
      <c r="B244" s="1383" t="s">
        <v>231</v>
      </c>
      <c r="C244" s="1378" t="s">
        <v>232</v>
      </c>
      <c r="D244" s="1378"/>
      <c r="E244" s="1378"/>
      <c r="F244" s="1378"/>
      <c r="G244" s="1381"/>
      <c r="H244" s="1388"/>
      <c r="I244" s="1387" t="s">
        <v>37</v>
      </c>
      <c r="J244" s="1380">
        <f>J243</f>
        <v>0.3</v>
      </c>
      <c r="K244" s="1380">
        <f>K228</f>
        <v>76548.329166666663</v>
      </c>
      <c r="L244" s="1381">
        <f>J244*K244</f>
        <v>22964.498749999999</v>
      </c>
      <c r="M244" s="1385" t="s">
        <v>233</v>
      </c>
      <c r="N244" s="1382">
        <f>L244+M244</f>
        <v>22964.498749999999</v>
      </c>
      <c r="R244" s="90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2"/>
    </row>
    <row r="245" spans="1:30" ht="14.1" customHeight="1" x14ac:dyDescent="0.3">
      <c r="A245" s="1376"/>
      <c r="B245" s="1383" t="s">
        <v>234</v>
      </c>
      <c r="C245" s="1378" t="s">
        <v>249</v>
      </c>
      <c r="D245" s="1378"/>
      <c r="E245" s="1378"/>
      <c r="F245" s="1378"/>
      <c r="G245" s="1381"/>
      <c r="H245" s="1388"/>
      <c r="I245" s="1387" t="s">
        <v>250</v>
      </c>
      <c r="J245" s="1380">
        <v>1</v>
      </c>
      <c r="K245" s="1380">
        <f>$K$49</f>
        <v>2500</v>
      </c>
      <c r="L245" s="1381">
        <f>J245*K245</f>
        <v>2500</v>
      </c>
      <c r="M245" s="1385" t="s">
        <v>233</v>
      </c>
      <c r="N245" s="1382">
        <f>L245+M245</f>
        <v>2500</v>
      </c>
      <c r="R245" s="90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2"/>
    </row>
    <row r="246" spans="1:30" ht="14.1" customHeight="1" x14ac:dyDescent="0.3">
      <c r="A246" s="1376"/>
      <c r="B246" s="1383" t="s">
        <v>251</v>
      </c>
      <c r="C246" s="1378" t="s">
        <v>252</v>
      </c>
      <c r="D246" s="1378"/>
      <c r="E246" s="1378"/>
      <c r="F246" s="1378"/>
      <c r="G246" s="1381"/>
      <c r="H246" s="1388"/>
      <c r="I246" s="1387" t="s">
        <v>15</v>
      </c>
      <c r="J246" s="1380">
        <v>1</v>
      </c>
      <c r="K246" s="1380">
        <f>+K230</f>
        <v>52500</v>
      </c>
      <c r="L246" s="1401" t="s">
        <v>233</v>
      </c>
      <c r="M246" s="1380">
        <f>J246*K246</f>
        <v>52500</v>
      </c>
      <c r="N246" s="1382">
        <f>L246+M246</f>
        <v>52500</v>
      </c>
      <c r="R246" s="90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2"/>
    </row>
    <row r="247" spans="1:30" ht="14.1" customHeight="1" x14ac:dyDescent="0.3">
      <c r="A247" s="1376"/>
      <c r="B247" s="1383" t="s">
        <v>253</v>
      </c>
      <c r="C247" s="1378" t="s">
        <v>255</v>
      </c>
      <c r="D247" s="1378"/>
      <c r="E247" s="1378"/>
      <c r="F247" s="1378"/>
      <c r="G247" s="1381"/>
      <c r="H247" s="1388"/>
      <c r="I247" s="1387" t="s">
        <v>250</v>
      </c>
      <c r="J247" s="1380">
        <v>1</v>
      </c>
      <c r="K247" s="1380">
        <f>$K$49</f>
        <v>2500</v>
      </c>
      <c r="L247" s="1381">
        <f>J247*K247</f>
        <v>2500</v>
      </c>
      <c r="M247" s="1385" t="s">
        <v>233</v>
      </c>
      <c r="N247" s="1382">
        <f>L247+M247</f>
        <v>2500</v>
      </c>
      <c r="R247" s="90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2"/>
    </row>
    <row r="248" spans="1:30" ht="14.1" customHeight="1" x14ac:dyDescent="0.3">
      <c r="A248" s="1376"/>
      <c r="B248" s="1383" t="s">
        <v>253</v>
      </c>
      <c r="C248" s="1378" t="s">
        <v>235</v>
      </c>
      <c r="D248" s="1378"/>
      <c r="E248" s="1378"/>
      <c r="F248" s="1378"/>
      <c r="G248" s="1378"/>
      <c r="H248" s="1388"/>
      <c r="I248" s="1378"/>
      <c r="J248" s="1380"/>
      <c r="K248" s="1380"/>
      <c r="L248" s="1381"/>
      <c r="M248" s="1380"/>
      <c r="N248" s="1382"/>
      <c r="R248" s="90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2"/>
    </row>
    <row r="249" spans="1:30" ht="14.1" customHeight="1" x14ac:dyDescent="0.3">
      <c r="A249" s="1376"/>
      <c r="B249" s="1377"/>
      <c r="C249" s="1386" t="s">
        <v>236</v>
      </c>
      <c r="D249" s="1378">
        <v>1</v>
      </c>
      <c r="E249" s="1378" t="s">
        <v>237</v>
      </c>
      <c r="F249" s="1387" t="s">
        <v>238</v>
      </c>
      <c r="G249" s="1381">
        <f>J244</f>
        <v>0.3</v>
      </c>
      <c r="H249" s="1388" t="s">
        <v>37</v>
      </c>
      <c r="I249" s="1387" t="s">
        <v>239</v>
      </c>
      <c r="J249" s="1380">
        <f t="shared" ref="J249:J255" si="74">D249*G249</f>
        <v>0.3</v>
      </c>
      <c r="K249" s="1380">
        <f>K232</f>
        <v>83500</v>
      </c>
      <c r="L249" s="1381">
        <f t="shared" ref="L249:L255" si="75">J249*K249</f>
        <v>25050</v>
      </c>
      <c r="M249" s="1385" t="s">
        <v>233</v>
      </c>
      <c r="N249" s="1382">
        <f t="shared" ref="N249:N255" si="76">L249+M249</f>
        <v>25050</v>
      </c>
      <c r="R249" s="90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2"/>
    </row>
    <row r="250" spans="1:30" ht="14.1" customHeight="1" x14ac:dyDescent="0.3">
      <c r="A250" s="1376"/>
      <c r="B250" s="1377"/>
      <c r="C250" s="1386" t="s">
        <v>240</v>
      </c>
      <c r="D250" s="1378">
        <v>1</v>
      </c>
      <c r="E250" s="1378" t="s">
        <v>237</v>
      </c>
      <c r="F250" s="1387" t="s">
        <v>238</v>
      </c>
      <c r="G250" s="1381">
        <f>G249</f>
        <v>0.3</v>
      </c>
      <c r="H250" s="1388" t="s">
        <v>37</v>
      </c>
      <c r="I250" s="1387" t="s">
        <v>239</v>
      </c>
      <c r="J250" s="1380">
        <f t="shared" si="74"/>
        <v>0.3</v>
      </c>
      <c r="K250" s="1380">
        <f t="shared" ref="K250:K255" si="77">K233</f>
        <v>68500</v>
      </c>
      <c r="L250" s="1381">
        <f t="shared" si="75"/>
        <v>20550</v>
      </c>
      <c r="M250" s="1385" t="s">
        <v>233</v>
      </c>
      <c r="N250" s="1382">
        <f t="shared" si="76"/>
        <v>20550</v>
      </c>
      <c r="R250" s="90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2"/>
    </row>
    <row r="251" spans="1:30" ht="14.1" customHeight="1" x14ac:dyDescent="0.3">
      <c r="A251" s="1376"/>
      <c r="B251" s="1377"/>
      <c r="C251" s="1386" t="s">
        <v>241</v>
      </c>
      <c r="D251" s="1378">
        <v>1</v>
      </c>
      <c r="E251" s="1378" t="s">
        <v>237</v>
      </c>
      <c r="F251" s="1387" t="s">
        <v>238</v>
      </c>
      <c r="G251" s="1381">
        <f t="shared" ref="G251:G255" si="78">G250</f>
        <v>0.3</v>
      </c>
      <c r="H251" s="1388" t="s">
        <v>37</v>
      </c>
      <c r="I251" s="1387" t="s">
        <v>239</v>
      </c>
      <c r="J251" s="1380">
        <f t="shared" si="74"/>
        <v>0.3</v>
      </c>
      <c r="K251" s="1380">
        <f t="shared" si="77"/>
        <v>63500</v>
      </c>
      <c r="L251" s="1381">
        <f t="shared" si="75"/>
        <v>19050</v>
      </c>
      <c r="M251" s="1385" t="s">
        <v>233</v>
      </c>
      <c r="N251" s="1382">
        <f t="shared" si="76"/>
        <v>19050</v>
      </c>
      <c r="R251" s="90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2"/>
    </row>
    <row r="252" spans="1:30" ht="14.1" customHeight="1" x14ac:dyDescent="0.3">
      <c r="A252" s="1376"/>
      <c r="B252" s="1377"/>
      <c r="C252" s="1386" t="s">
        <v>254</v>
      </c>
      <c r="D252" s="1378">
        <v>1</v>
      </c>
      <c r="E252" s="1378" t="s">
        <v>237</v>
      </c>
      <c r="F252" s="1387" t="s">
        <v>238</v>
      </c>
      <c r="G252" s="1381">
        <f t="shared" si="78"/>
        <v>0.3</v>
      </c>
      <c r="H252" s="1388" t="s">
        <v>37</v>
      </c>
      <c r="I252" s="1387" t="s">
        <v>239</v>
      </c>
      <c r="J252" s="1380">
        <f t="shared" si="74"/>
        <v>0.3</v>
      </c>
      <c r="K252" s="1380">
        <f t="shared" si="77"/>
        <v>54500</v>
      </c>
      <c r="L252" s="1381">
        <f t="shared" si="75"/>
        <v>16350</v>
      </c>
      <c r="M252" s="1385" t="s">
        <v>233</v>
      </c>
      <c r="N252" s="1382">
        <f t="shared" si="76"/>
        <v>16350</v>
      </c>
      <c r="R252" s="90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2"/>
    </row>
    <row r="253" spans="1:30" ht="14.1" customHeight="1" x14ac:dyDescent="0.3">
      <c r="A253" s="1376"/>
      <c r="B253" s="1377"/>
      <c r="C253" s="1386" t="s">
        <v>242</v>
      </c>
      <c r="D253" s="1378">
        <v>1</v>
      </c>
      <c r="E253" s="1378" t="s">
        <v>237</v>
      </c>
      <c r="F253" s="1387" t="s">
        <v>238</v>
      </c>
      <c r="G253" s="1381">
        <f t="shared" si="78"/>
        <v>0.3</v>
      </c>
      <c r="H253" s="1388" t="s">
        <v>37</v>
      </c>
      <c r="I253" s="1387" t="s">
        <v>239</v>
      </c>
      <c r="J253" s="1380">
        <f t="shared" si="74"/>
        <v>0.3</v>
      </c>
      <c r="K253" s="1380">
        <f t="shared" si="77"/>
        <v>54500</v>
      </c>
      <c r="L253" s="1381">
        <f t="shared" si="75"/>
        <v>16350</v>
      </c>
      <c r="M253" s="1385" t="s">
        <v>233</v>
      </c>
      <c r="N253" s="1382">
        <f t="shared" si="76"/>
        <v>16350</v>
      </c>
      <c r="R253" s="90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2"/>
    </row>
    <row r="254" spans="1:30" ht="14.1" customHeight="1" x14ac:dyDescent="0.3">
      <c r="A254" s="1376"/>
      <c r="B254" s="1377"/>
      <c r="C254" s="1386" t="s">
        <v>243</v>
      </c>
      <c r="D254" s="1378">
        <v>1</v>
      </c>
      <c r="E254" s="1378" t="s">
        <v>237</v>
      </c>
      <c r="F254" s="1387" t="s">
        <v>238</v>
      </c>
      <c r="G254" s="1381">
        <f t="shared" si="78"/>
        <v>0.3</v>
      </c>
      <c r="H254" s="1388" t="s">
        <v>37</v>
      </c>
      <c r="I254" s="1387" t="s">
        <v>239</v>
      </c>
      <c r="J254" s="1380">
        <f t="shared" si="74"/>
        <v>0.3</v>
      </c>
      <c r="K254" s="1380">
        <f t="shared" si="77"/>
        <v>52000</v>
      </c>
      <c r="L254" s="1381">
        <f t="shared" si="75"/>
        <v>15600</v>
      </c>
      <c r="M254" s="1385" t="s">
        <v>233</v>
      </c>
      <c r="N254" s="1382">
        <f t="shared" si="76"/>
        <v>15600</v>
      </c>
      <c r="R254" s="90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2"/>
    </row>
    <row r="255" spans="1:30" ht="14.1" customHeight="1" x14ac:dyDescent="0.3">
      <c r="A255" s="1376"/>
      <c r="B255" s="1377"/>
      <c r="C255" s="1386" t="s">
        <v>244</v>
      </c>
      <c r="D255" s="1378">
        <v>4</v>
      </c>
      <c r="E255" s="1378" t="s">
        <v>237</v>
      </c>
      <c r="F255" s="1387" t="s">
        <v>238</v>
      </c>
      <c r="G255" s="1381">
        <f t="shared" si="78"/>
        <v>0.3</v>
      </c>
      <c r="H255" s="1388" t="s">
        <v>37</v>
      </c>
      <c r="I255" s="1387" t="s">
        <v>239</v>
      </c>
      <c r="J255" s="1380">
        <f t="shared" si="74"/>
        <v>1.2</v>
      </c>
      <c r="K255" s="1380">
        <f t="shared" si="77"/>
        <v>36500</v>
      </c>
      <c r="L255" s="1381">
        <f t="shared" si="75"/>
        <v>43800</v>
      </c>
      <c r="M255" s="1385" t="s">
        <v>233</v>
      </c>
      <c r="N255" s="1382">
        <f t="shared" si="76"/>
        <v>43800</v>
      </c>
      <c r="R255" s="90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2"/>
    </row>
    <row r="256" spans="1:30" ht="14.1" customHeight="1" x14ac:dyDescent="0.3">
      <c r="A256" s="1376"/>
      <c r="B256" s="1378"/>
      <c r="C256" s="1378"/>
      <c r="D256" s="1378"/>
      <c r="E256" s="1378"/>
      <c r="F256" s="1378"/>
      <c r="G256" s="1378"/>
      <c r="H256" s="1388"/>
      <c r="I256" s="1389" t="s">
        <v>245</v>
      </c>
      <c r="J256" s="1389"/>
      <c r="K256" s="1400"/>
      <c r="L256" s="1390">
        <f>SUM(L244:L255)</f>
        <v>184714.49875</v>
      </c>
      <c r="M256" s="1390">
        <f>SUM(M244:M255)</f>
        <v>52500</v>
      </c>
      <c r="N256" s="1392">
        <f>SUM(N244:N255)</f>
        <v>237214.49875</v>
      </c>
      <c r="R256" s="90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2"/>
    </row>
    <row r="257" spans="1:30" ht="14.1" customHeight="1" x14ac:dyDescent="0.3">
      <c r="A257" s="1376"/>
      <c r="B257" s="1378"/>
      <c r="C257" s="1378"/>
      <c r="D257" s="1378"/>
      <c r="E257" s="1378"/>
      <c r="F257" s="1378"/>
      <c r="G257" s="1378"/>
      <c r="H257" s="1388"/>
      <c r="I257" s="1393" t="s">
        <v>512</v>
      </c>
      <c r="J257" s="1394"/>
      <c r="K257" s="1377"/>
      <c r="L257" s="1380"/>
      <c r="M257" s="1380"/>
      <c r="N257" s="1382">
        <f>N256*15%</f>
        <v>35582.174812500001</v>
      </c>
      <c r="R257" s="90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2"/>
    </row>
    <row r="258" spans="1:30" ht="14.1" customHeight="1" x14ac:dyDescent="0.3">
      <c r="A258" s="1497"/>
      <c r="B258" s="1415"/>
      <c r="C258" s="1415"/>
      <c r="D258" s="1415"/>
      <c r="E258" s="1415"/>
      <c r="F258" s="1415"/>
      <c r="G258" s="1415"/>
      <c r="H258" s="1416"/>
      <c r="I258" s="1395" t="s">
        <v>247</v>
      </c>
      <c r="J258" s="1396"/>
      <c r="K258" s="1397"/>
      <c r="L258" s="1398"/>
      <c r="M258" s="1398"/>
      <c r="N258" s="1399">
        <f>N256+N257</f>
        <v>272796.67356249999</v>
      </c>
      <c r="R258" s="90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2"/>
    </row>
    <row r="259" spans="1:30" ht="14.1" customHeight="1" thickBot="1" x14ac:dyDescent="0.35">
      <c r="A259" s="1403"/>
      <c r="B259" s="1378"/>
      <c r="C259" s="1378"/>
      <c r="D259" s="1378"/>
      <c r="E259" s="1378"/>
      <c r="F259" s="1378"/>
      <c r="G259" s="1378"/>
      <c r="H259" s="1404"/>
      <c r="I259" s="1405"/>
      <c r="J259" s="1406"/>
      <c r="K259" s="1407"/>
      <c r="L259" s="1408"/>
      <c r="M259" s="1408"/>
      <c r="N259" s="1408"/>
      <c r="R259" s="90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2"/>
    </row>
    <row r="260" spans="1:30" ht="14.1" customHeight="1" x14ac:dyDescent="0.3">
      <c r="A260" s="119"/>
      <c r="B260" s="120"/>
      <c r="C260" s="120"/>
      <c r="D260" s="120"/>
      <c r="E260" s="120"/>
      <c r="F260" s="120"/>
      <c r="G260" s="120"/>
      <c r="H260" s="120"/>
      <c r="I260" s="120"/>
      <c r="J260" s="121"/>
      <c r="K260" s="121"/>
      <c r="L260" s="121"/>
      <c r="M260" s="121"/>
      <c r="N260" s="121"/>
      <c r="R260" s="90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2"/>
    </row>
    <row r="261" spans="1:30" ht="14.1" customHeight="1" thickBot="1" x14ac:dyDescent="0.35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3" t="s">
        <v>256</v>
      </c>
      <c r="R261" s="90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2"/>
    </row>
    <row r="262" spans="1:30" ht="14.1" customHeight="1" x14ac:dyDescent="0.3">
      <c r="A262" s="1589" t="s">
        <v>9</v>
      </c>
      <c r="B262" s="1592" t="s">
        <v>10</v>
      </c>
      <c r="C262" s="1592"/>
      <c r="D262" s="1592"/>
      <c r="E262" s="1592"/>
      <c r="F262" s="1592"/>
      <c r="G262" s="1592"/>
      <c r="H262" s="1593"/>
      <c r="I262" s="1543" t="s">
        <v>210</v>
      </c>
      <c r="J262" s="1543" t="s">
        <v>211</v>
      </c>
      <c r="K262" s="73" t="s">
        <v>212</v>
      </c>
      <c r="L262" s="1598" t="s">
        <v>12</v>
      </c>
      <c r="M262" s="1599"/>
      <c r="N262" s="1600"/>
      <c r="R262" s="90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2"/>
    </row>
    <row r="263" spans="1:30" ht="14.1" customHeight="1" x14ac:dyDescent="0.3">
      <c r="A263" s="1590"/>
      <c r="B263" s="1594"/>
      <c r="C263" s="1594"/>
      <c r="D263" s="1594"/>
      <c r="E263" s="1594"/>
      <c r="F263" s="1594"/>
      <c r="G263" s="1594"/>
      <c r="H263" s="1595"/>
      <c r="I263" s="1544"/>
      <c r="J263" s="1544"/>
      <c r="K263" s="75" t="s">
        <v>11</v>
      </c>
      <c r="L263" s="75" t="s">
        <v>217</v>
      </c>
      <c r="M263" s="75" t="s">
        <v>218</v>
      </c>
      <c r="N263" s="76" t="s">
        <v>219</v>
      </c>
      <c r="R263" s="90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2"/>
    </row>
    <row r="264" spans="1:30" ht="14.1" customHeight="1" x14ac:dyDescent="0.3">
      <c r="A264" s="1591"/>
      <c r="B264" s="1596"/>
      <c r="C264" s="1596"/>
      <c r="D264" s="1596"/>
      <c r="E264" s="1596"/>
      <c r="F264" s="1596"/>
      <c r="G264" s="1596"/>
      <c r="H264" s="1597"/>
      <c r="I264" s="1545"/>
      <c r="J264" s="1545"/>
      <c r="K264" s="81" t="s">
        <v>228</v>
      </c>
      <c r="L264" s="81" t="s">
        <v>228</v>
      </c>
      <c r="M264" s="81" t="s">
        <v>228</v>
      </c>
      <c r="N264" s="82" t="s">
        <v>228</v>
      </c>
      <c r="R264" s="90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2"/>
    </row>
    <row r="265" spans="1:30" ht="14.1" customHeight="1" x14ac:dyDescent="0.3">
      <c r="A265" s="86"/>
      <c r="B265" s="12"/>
      <c r="C265" s="12"/>
      <c r="D265" s="12"/>
      <c r="E265" s="12"/>
      <c r="F265" s="12"/>
      <c r="G265" s="12"/>
      <c r="H265" s="75"/>
      <c r="I265" s="12"/>
      <c r="J265" s="87"/>
      <c r="K265" s="75"/>
      <c r="L265" s="75"/>
      <c r="M265" s="75"/>
      <c r="N265" s="88"/>
      <c r="R265" s="90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2"/>
    </row>
    <row r="266" spans="1:30" ht="14.1" customHeight="1" x14ac:dyDescent="0.3">
      <c r="A266" s="93">
        <f>A62+1</f>
        <v>5</v>
      </c>
      <c r="B266" s="95" t="s">
        <v>257</v>
      </c>
      <c r="C266" s="95"/>
      <c r="D266" s="95"/>
      <c r="E266" s="95"/>
      <c r="F266" s="95"/>
      <c r="G266" s="124"/>
      <c r="H266" s="95"/>
      <c r="I266" s="125"/>
      <c r="J266" s="96"/>
      <c r="K266" s="96"/>
      <c r="L266" s="96"/>
      <c r="M266" s="96"/>
      <c r="N266" s="97"/>
      <c r="R266" s="90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2"/>
    </row>
    <row r="267" spans="1:30" ht="14.1" customHeight="1" x14ac:dyDescent="0.3">
      <c r="A267" s="102"/>
      <c r="C267" s="1" t="s">
        <v>258</v>
      </c>
      <c r="D267" s="1"/>
      <c r="E267" s="1"/>
      <c r="F267" s="1"/>
      <c r="G267" s="126"/>
      <c r="H267" s="7"/>
      <c r="I267" s="106" t="s">
        <v>37</v>
      </c>
      <c r="J267" s="99">
        <v>0.5</v>
      </c>
      <c r="K267" s="99"/>
      <c r="L267" s="100"/>
      <c r="M267" s="99"/>
      <c r="N267" s="101"/>
      <c r="R267" s="90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2"/>
    </row>
    <row r="268" spans="1:30" ht="14.1" customHeight="1" x14ac:dyDescent="0.3">
      <c r="A268" s="102"/>
      <c r="B268" s="103" t="s">
        <v>231</v>
      </c>
      <c r="C268" s="1" t="s">
        <v>232</v>
      </c>
      <c r="D268" s="1"/>
      <c r="E268" s="1"/>
      <c r="F268" s="1"/>
      <c r="G268" s="126"/>
      <c r="H268" s="7"/>
      <c r="I268" s="106" t="s">
        <v>37</v>
      </c>
      <c r="J268" s="99">
        <f>J267</f>
        <v>0.5</v>
      </c>
      <c r="K268" s="99">
        <f>K64</f>
        <v>173955.92499999999</v>
      </c>
      <c r="L268" s="100">
        <f>J268*K268</f>
        <v>86977.962499999994</v>
      </c>
      <c r="M268" s="104" t="s">
        <v>233</v>
      </c>
      <c r="N268" s="101">
        <f>L268+M268</f>
        <v>86977.962499999994</v>
      </c>
      <c r="R268" s="90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2"/>
    </row>
    <row r="269" spans="1:30" ht="14.1" customHeight="1" x14ac:dyDescent="0.3">
      <c r="A269" s="102"/>
      <c r="B269" s="103" t="s">
        <v>234</v>
      </c>
      <c r="C269" s="1" t="s">
        <v>252</v>
      </c>
      <c r="D269" s="1"/>
      <c r="E269" s="1"/>
      <c r="F269" s="1"/>
      <c r="G269" s="126"/>
      <c r="H269" s="7"/>
      <c r="I269" s="106" t="s">
        <v>17</v>
      </c>
      <c r="J269" s="99">
        <v>1</v>
      </c>
      <c r="K269" s="99">
        <f>[33]HARSAT!$H$37</f>
        <v>145000</v>
      </c>
      <c r="L269" s="118" t="s">
        <v>233</v>
      </c>
      <c r="M269" s="99">
        <f>J269*K269</f>
        <v>145000</v>
      </c>
      <c r="N269" s="101">
        <f>L269+M269</f>
        <v>145000</v>
      </c>
      <c r="R269" s="90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2"/>
    </row>
    <row r="270" spans="1:30" ht="14.1" customHeight="1" x14ac:dyDescent="0.3">
      <c r="A270" s="102"/>
      <c r="B270" s="103" t="s">
        <v>251</v>
      </c>
      <c r="C270" s="1" t="s">
        <v>235</v>
      </c>
      <c r="D270" s="1"/>
      <c r="E270" s="1"/>
      <c r="F270" s="1"/>
      <c r="G270" s="126"/>
      <c r="H270" s="7"/>
      <c r="I270" s="106"/>
      <c r="J270" s="99"/>
      <c r="K270" s="99"/>
      <c r="L270" s="100"/>
      <c r="M270" s="99"/>
      <c r="N270" s="101"/>
      <c r="R270" s="90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2"/>
    </row>
    <row r="271" spans="1:30" ht="14.1" customHeight="1" x14ac:dyDescent="0.3">
      <c r="A271" s="102"/>
      <c r="B271" s="103"/>
      <c r="C271" s="105" t="s">
        <v>236</v>
      </c>
      <c r="D271" s="1">
        <v>1</v>
      </c>
      <c r="E271" s="1" t="s">
        <v>237</v>
      </c>
      <c r="F271" s="106" t="s">
        <v>238</v>
      </c>
      <c r="G271" s="126">
        <f t="shared" ref="G271:G276" si="79">$J$267</f>
        <v>0.5</v>
      </c>
      <c r="H271" s="7" t="s">
        <v>37</v>
      </c>
      <c r="I271" s="106" t="s">
        <v>239</v>
      </c>
      <c r="J271" s="99">
        <f t="shared" ref="J271:J276" si="80">D271*G271</f>
        <v>0.5</v>
      </c>
      <c r="K271" s="99">
        <f t="shared" ref="K271:K276" si="81">K37</f>
        <v>83500</v>
      </c>
      <c r="L271" s="100">
        <f t="shared" ref="L271:L276" si="82">J271*K271</f>
        <v>41750</v>
      </c>
      <c r="M271" s="104" t="s">
        <v>233</v>
      </c>
      <c r="N271" s="101">
        <f t="shared" ref="N271:N276" si="83">L271+M271</f>
        <v>41750</v>
      </c>
      <c r="R271" s="90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2"/>
    </row>
    <row r="272" spans="1:30" ht="14.1" customHeight="1" x14ac:dyDescent="0.3">
      <c r="A272" s="102"/>
      <c r="B272" s="103"/>
      <c r="C272" s="105" t="s">
        <v>240</v>
      </c>
      <c r="D272" s="1">
        <v>1</v>
      </c>
      <c r="E272" s="1" t="s">
        <v>237</v>
      </c>
      <c r="F272" s="106" t="s">
        <v>238</v>
      </c>
      <c r="G272" s="126">
        <f t="shared" si="79"/>
        <v>0.5</v>
      </c>
      <c r="H272" s="7" t="s">
        <v>37</v>
      </c>
      <c r="I272" s="106" t="s">
        <v>239</v>
      </c>
      <c r="J272" s="99">
        <f t="shared" si="80"/>
        <v>0.5</v>
      </c>
      <c r="K272" s="99">
        <f t="shared" si="81"/>
        <v>68500</v>
      </c>
      <c r="L272" s="100">
        <f t="shared" si="82"/>
        <v>34250</v>
      </c>
      <c r="M272" s="104" t="s">
        <v>233</v>
      </c>
      <c r="N272" s="101">
        <f t="shared" si="83"/>
        <v>34250</v>
      </c>
      <c r="R272" s="90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2"/>
    </row>
    <row r="273" spans="1:30" ht="14.1" customHeight="1" x14ac:dyDescent="0.3">
      <c r="A273" s="102"/>
      <c r="B273" s="103"/>
      <c r="C273" s="105" t="s">
        <v>241</v>
      </c>
      <c r="D273" s="1">
        <v>1</v>
      </c>
      <c r="E273" s="1" t="s">
        <v>237</v>
      </c>
      <c r="F273" s="106" t="s">
        <v>238</v>
      </c>
      <c r="G273" s="126">
        <f t="shared" si="79"/>
        <v>0.5</v>
      </c>
      <c r="H273" s="7" t="s">
        <v>37</v>
      </c>
      <c r="I273" s="106" t="s">
        <v>239</v>
      </c>
      <c r="J273" s="99">
        <f t="shared" si="80"/>
        <v>0.5</v>
      </c>
      <c r="K273" s="99">
        <f t="shared" si="81"/>
        <v>63500</v>
      </c>
      <c r="L273" s="100">
        <f t="shared" si="82"/>
        <v>31750</v>
      </c>
      <c r="M273" s="104" t="s">
        <v>233</v>
      </c>
      <c r="N273" s="101">
        <f t="shared" si="83"/>
        <v>31750</v>
      </c>
      <c r="R273" s="90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2"/>
    </row>
    <row r="274" spans="1:30" ht="14.1" customHeight="1" x14ac:dyDescent="0.3">
      <c r="A274" s="102"/>
      <c r="B274" s="103"/>
      <c r="C274" s="105" t="s">
        <v>242</v>
      </c>
      <c r="D274" s="1">
        <v>1</v>
      </c>
      <c r="E274" s="1" t="s">
        <v>237</v>
      </c>
      <c r="F274" s="106" t="s">
        <v>238</v>
      </c>
      <c r="G274" s="126">
        <f t="shared" si="79"/>
        <v>0.5</v>
      </c>
      <c r="H274" s="7" t="s">
        <v>37</v>
      </c>
      <c r="I274" s="106" t="s">
        <v>239</v>
      </c>
      <c r="J274" s="99">
        <f t="shared" si="80"/>
        <v>0.5</v>
      </c>
      <c r="K274" s="99">
        <f t="shared" si="81"/>
        <v>54500</v>
      </c>
      <c r="L274" s="100">
        <f t="shared" si="82"/>
        <v>27250</v>
      </c>
      <c r="M274" s="104" t="s">
        <v>233</v>
      </c>
      <c r="N274" s="101">
        <f t="shared" si="83"/>
        <v>27250</v>
      </c>
      <c r="R274" s="90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2"/>
    </row>
    <row r="275" spans="1:30" ht="14.1" customHeight="1" x14ac:dyDescent="0.3">
      <c r="A275" s="102"/>
      <c r="B275" s="103"/>
      <c r="C275" s="105" t="s">
        <v>243</v>
      </c>
      <c r="D275" s="1">
        <v>1</v>
      </c>
      <c r="E275" s="1" t="s">
        <v>237</v>
      </c>
      <c r="F275" s="106" t="s">
        <v>238</v>
      </c>
      <c r="G275" s="126">
        <f t="shared" si="79"/>
        <v>0.5</v>
      </c>
      <c r="H275" s="7" t="s">
        <v>37</v>
      </c>
      <c r="I275" s="106" t="s">
        <v>239</v>
      </c>
      <c r="J275" s="99">
        <f t="shared" si="80"/>
        <v>0.5</v>
      </c>
      <c r="K275" s="99">
        <f t="shared" si="81"/>
        <v>52000</v>
      </c>
      <c r="L275" s="100">
        <f t="shared" si="82"/>
        <v>26000</v>
      </c>
      <c r="M275" s="104" t="s">
        <v>233</v>
      </c>
      <c r="N275" s="101">
        <f t="shared" si="83"/>
        <v>26000</v>
      </c>
      <c r="R275" s="90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2"/>
    </row>
    <row r="276" spans="1:30" ht="14.1" customHeight="1" x14ac:dyDescent="0.3">
      <c r="A276" s="102"/>
      <c r="B276" s="103"/>
      <c r="C276" s="105" t="s">
        <v>244</v>
      </c>
      <c r="D276" s="1">
        <v>4</v>
      </c>
      <c r="E276" s="1" t="s">
        <v>237</v>
      </c>
      <c r="F276" s="106" t="s">
        <v>238</v>
      </c>
      <c r="G276" s="126">
        <f t="shared" si="79"/>
        <v>0.5</v>
      </c>
      <c r="H276" s="7" t="s">
        <v>37</v>
      </c>
      <c r="I276" s="106" t="s">
        <v>239</v>
      </c>
      <c r="J276" s="99">
        <f t="shared" si="80"/>
        <v>2</v>
      </c>
      <c r="K276" s="99">
        <f t="shared" si="81"/>
        <v>36500</v>
      </c>
      <c r="L276" s="100">
        <f t="shared" si="82"/>
        <v>73000</v>
      </c>
      <c r="M276" s="104" t="s">
        <v>233</v>
      </c>
      <c r="N276" s="101">
        <f t="shared" si="83"/>
        <v>73000</v>
      </c>
      <c r="R276" s="90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2"/>
    </row>
    <row r="277" spans="1:30" ht="14.1" customHeight="1" x14ac:dyDescent="0.3">
      <c r="A277" s="102"/>
      <c r="B277" s="1"/>
      <c r="C277" s="1"/>
      <c r="D277" s="1"/>
      <c r="E277" s="1"/>
      <c r="F277" s="1"/>
      <c r="G277" s="1"/>
      <c r="H277" s="7"/>
      <c r="I277" s="107" t="s">
        <v>245</v>
      </c>
      <c r="J277" s="107"/>
      <c r="K277" s="117"/>
      <c r="L277" s="108">
        <f>SUM(L268:L276)</f>
        <v>320977.96250000002</v>
      </c>
      <c r="M277" s="108">
        <f>SUM(M268:M276)</f>
        <v>145000</v>
      </c>
      <c r="N277" s="109">
        <f>SUM(N268:N276)</f>
        <v>465977.96250000002</v>
      </c>
      <c r="R277" s="90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2"/>
    </row>
    <row r="278" spans="1:30" ht="14.1" customHeight="1" x14ac:dyDescent="0.3">
      <c r="A278" s="102"/>
      <c r="B278" s="1"/>
      <c r="C278" s="1"/>
      <c r="D278" s="1"/>
      <c r="E278" s="1"/>
      <c r="F278" s="1"/>
      <c r="G278" s="1"/>
      <c r="H278" s="7"/>
      <c r="I278" s="288" t="s">
        <v>512</v>
      </c>
      <c r="J278" s="111"/>
      <c r="L278" s="99"/>
      <c r="M278" s="99"/>
      <c r="N278" s="101">
        <f>N277*15%</f>
        <v>69896.694375000006</v>
      </c>
      <c r="R278" s="90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2"/>
    </row>
    <row r="279" spans="1:30" ht="14.1" customHeight="1" x14ac:dyDescent="0.3">
      <c r="A279" s="102"/>
      <c r="B279" s="1"/>
      <c r="C279" s="1"/>
      <c r="D279" s="1"/>
      <c r="E279" s="1"/>
      <c r="F279" s="1"/>
      <c r="G279" s="1"/>
      <c r="H279" s="7"/>
      <c r="I279" s="112" t="s">
        <v>247</v>
      </c>
      <c r="J279" s="113"/>
      <c r="K279" s="114"/>
      <c r="L279" s="115"/>
      <c r="M279" s="115"/>
      <c r="N279" s="116">
        <f>N277+N278</f>
        <v>535874.65687499999</v>
      </c>
      <c r="R279" s="90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2"/>
    </row>
    <row r="280" spans="1:30" ht="14.1" customHeight="1" x14ac:dyDescent="0.3">
      <c r="A280" s="93">
        <f>A266+1</f>
        <v>6</v>
      </c>
      <c r="B280" s="95" t="s">
        <v>259</v>
      </c>
      <c r="C280" s="95"/>
      <c r="D280" s="95"/>
      <c r="E280" s="95"/>
      <c r="F280" s="95"/>
      <c r="G280" s="95"/>
      <c r="H280" s="95"/>
      <c r="I280" s="125"/>
      <c r="J280" s="96"/>
      <c r="K280" s="96"/>
      <c r="L280" s="96"/>
      <c r="M280" s="96"/>
      <c r="N280" s="97"/>
      <c r="R280" s="90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2"/>
    </row>
    <row r="281" spans="1:30" ht="14.1" customHeight="1" x14ac:dyDescent="0.3">
      <c r="A281" s="127"/>
      <c r="C281" s="1" t="s">
        <v>260</v>
      </c>
      <c r="D281" s="1"/>
      <c r="E281" s="1"/>
      <c r="F281" s="1"/>
      <c r="G281" s="100"/>
      <c r="H281" s="7"/>
      <c r="I281" s="106" t="s">
        <v>37</v>
      </c>
      <c r="J281" s="99">
        <v>2.5</v>
      </c>
      <c r="K281" s="99"/>
      <c r="L281" s="100"/>
      <c r="M281" s="99"/>
      <c r="N281" s="101"/>
      <c r="R281" s="90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2"/>
    </row>
    <row r="282" spans="1:30" ht="14.1" customHeight="1" x14ac:dyDescent="0.3">
      <c r="A282" s="127"/>
      <c r="B282" s="103" t="s">
        <v>231</v>
      </c>
      <c r="C282" s="1" t="s">
        <v>261</v>
      </c>
      <c r="D282" s="1"/>
      <c r="E282" s="1"/>
      <c r="F282" s="1"/>
      <c r="G282" s="100"/>
      <c r="H282" s="7"/>
      <c r="I282" s="106" t="s">
        <v>153</v>
      </c>
      <c r="J282" s="99">
        <v>25</v>
      </c>
      <c r="K282" s="99">
        <f>'UPAH BAHAN'!H41</f>
        <v>56000</v>
      </c>
      <c r="L282" s="118" t="s">
        <v>233</v>
      </c>
      <c r="M282" s="99">
        <f>J282*K282</f>
        <v>1400000</v>
      </c>
      <c r="N282" s="101">
        <f>L282+M282</f>
        <v>1400000</v>
      </c>
      <c r="R282" s="90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2"/>
    </row>
    <row r="283" spans="1:30" ht="14.1" customHeight="1" x14ac:dyDescent="0.3">
      <c r="A283" s="127"/>
      <c r="B283" s="103" t="s">
        <v>234</v>
      </c>
      <c r="C283" s="1" t="s">
        <v>262</v>
      </c>
      <c r="D283" s="1"/>
      <c r="E283" s="1"/>
      <c r="F283" s="1"/>
      <c r="G283" s="100"/>
      <c r="H283" s="7"/>
      <c r="I283" s="106" t="s">
        <v>263</v>
      </c>
      <c r="J283" s="99">
        <v>3</v>
      </c>
      <c r="K283" s="99">
        <f>'UPAH BAHAN'!H99</f>
        <v>32500</v>
      </c>
      <c r="L283" s="118" t="s">
        <v>233</v>
      </c>
      <c r="M283" s="99">
        <f>J283*K283</f>
        <v>97500</v>
      </c>
      <c r="N283" s="101">
        <f>L283+M283</f>
        <v>97500</v>
      </c>
      <c r="R283" s="90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2"/>
    </row>
    <row r="284" spans="1:30" ht="14.1" customHeight="1" x14ac:dyDescent="0.3">
      <c r="A284" s="127"/>
      <c r="B284" s="103" t="s">
        <v>251</v>
      </c>
      <c r="C284" s="1" t="s">
        <v>235</v>
      </c>
      <c r="D284" s="1"/>
      <c r="E284" s="1"/>
      <c r="F284" s="1"/>
      <c r="G284" s="1"/>
      <c r="H284" s="7"/>
      <c r="I284" s="106"/>
      <c r="J284" s="99"/>
      <c r="K284" s="99"/>
      <c r="L284" s="100"/>
      <c r="M284" s="99"/>
      <c r="N284" s="101"/>
      <c r="R284" s="90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2"/>
    </row>
    <row r="285" spans="1:30" ht="14.1" customHeight="1" x14ac:dyDescent="0.3">
      <c r="A285" s="127"/>
      <c r="B285" s="103"/>
      <c r="C285" s="105" t="s">
        <v>236</v>
      </c>
      <c r="D285" s="1">
        <v>1</v>
      </c>
      <c r="E285" s="1" t="s">
        <v>237</v>
      </c>
      <c r="F285" s="106" t="s">
        <v>238</v>
      </c>
      <c r="G285" s="100">
        <f t="shared" ref="G285:G290" si="84">$J$281</f>
        <v>2.5</v>
      </c>
      <c r="H285" s="7" t="s">
        <v>37</v>
      </c>
      <c r="I285" s="106" t="s">
        <v>239</v>
      </c>
      <c r="J285" s="99">
        <f t="shared" ref="J285:J290" si="85">D285*G285</f>
        <v>2.5</v>
      </c>
      <c r="K285" s="99">
        <f t="shared" ref="K285:K290" si="86">K271</f>
        <v>83500</v>
      </c>
      <c r="L285" s="100">
        <f t="shared" ref="L285:L290" si="87">J285*K285</f>
        <v>208750</v>
      </c>
      <c r="M285" s="104" t="s">
        <v>233</v>
      </c>
      <c r="N285" s="101">
        <f t="shared" ref="N285:N290" si="88">L285+M285</f>
        <v>208750</v>
      </c>
      <c r="R285" s="90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2"/>
    </row>
    <row r="286" spans="1:30" ht="14.1" customHeight="1" x14ac:dyDescent="0.3">
      <c r="A286" s="127"/>
      <c r="B286" s="103"/>
      <c r="C286" s="105" t="s">
        <v>240</v>
      </c>
      <c r="D286" s="1">
        <v>1</v>
      </c>
      <c r="E286" s="1" t="s">
        <v>237</v>
      </c>
      <c r="F286" s="106" t="s">
        <v>238</v>
      </c>
      <c r="G286" s="100">
        <f t="shared" si="84"/>
        <v>2.5</v>
      </c>
      <c r="H286" s="7" t="s">
        <v>37</v>
      </c>
      <c r="I286" s="106" t="s">
        <v>239</v>
      </c>
      <c r="J286" s="99">
        <f t="shared" si="85"/>
        <v>2.5</v>
      </c>
      <c r="K286" s="99">
        <f t="shared" si="86"/>
        <v>68500</v>
      </c>
      <c r="L286" s="100">
        <f t="shared" si="87"/>
        <v>171250</v>
      </c>
      <c r="M286" s="104" t="s">
        <v>233</v>
      </c>
      <c r="N286" s="101">
        <f t="shared" si="88"/>
        <v>171250</v>
      </c>
      <c r="R286" s="90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2"/>
    </row>
    <row r="287" spans="1:30" ht="14.1" customHeight="1" x14ac:dyDescent="0.3">
      <c r="A287" s="127"/>
      <c r="B287" s="103"/>
      <c r="C287" s="105" t="s">
        <v>241</v>
      </c>
      <c r="D287" s="1">
        <v>1</v>
      </c>
      <c r="E287" s="1" t="s">
        <v>237</v>
      </c>
      <c r="F287" s="106" t="s">
        <v>238</v>
      </c>
      <c r="G287" s="100">
        <f t="shared" si="84"/>
        <v>2.5</v>
      </c>
      <c r="H287" s="7" t="s">
        <v>37</v>
      </c>
      <c r="I287" s="106" t="s">
        <v>239</v>
      </c>
      <c r="J287" s="99">
        <f t="shared" si="85"/>
        <v>2.5</v>
      </c>
      <c r="K287" s="99">
        <f t="shared" si="86"/>
        <v>63500</v>
      </c>
      <c r="L287" s="100">
        <f t="shared" si="87"/>
        <v>158750</v>
      </c>
      <c r="M287" s="104" t="s">
        <v>233</v>
      </c>
      <c r="N287" s="101">
        <f t="shared" si="88"/>
        <v>158750</v>
      </c>
      <c r="R287" s="90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2"/>
    </row>
    <row r="288" spans="1:30" ht="14.1" customHeight="1" x14ac:dyDescent="0.3">
      <c r="A288" s="127"/>
      <c r="B288" s="103"/>
      <c r="C288" s="105" t="s">
        <v>242</v>
      </c>
      <c r="D288" s="1">
        <v>1</v>
      </c>
      <c r="E288" s="1" t="s">
        <v>237</v>
      </c>
      <c r="F288" s="106" t="s">
        <v>238</v>
      </c>
      <c r="G288" s="100">
        <f t="shared" si="84"/>
        <v>2.5</v>
      </c>
      <c r="H288" s="7" t="s">
        <v>37</v>
      </c>
      <c r="I288" s="106" t="s">
        <v>239</v>
      </c>
      <c r="J288" s="99">
        <f t="shared" si="85"/>
        <v>2.5</v>
      </c>
      <c r="K288" s="99">
        <f t="shared" si="86"/>
        <v>54500</v>
      </c>
      <c r="L288" s="100">
        <f t="shared" si="87"/>
        <v>136250</v>
      </c>
      <c r="M288" s="104" t="s">
        <v>233</v>
      </c>
      <c r="N288" s="101">
        <f t="shared" si="88"/>
        <v>136250</v>
      </c>
      <c r="R288" s="90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2"/>
    </row>
    <row r="289" spans="1:30" ht="14.1" customHeight="1" x14ac:dyDescent="0.3">
      <c r="A289" s="127"/>
      <c r="B289" s="103"/>
      <c r="C289" s="105" t="s">
        <v>243</v>
      </c>
      <c r="D289" s="1">
        <v>1</v>
      </c>
      <c r="E289" s="1" t="s">
        <v>237</v>
      </c>
      <c r="F289" s="106" t="s">
        <v>238</v>
      </c>
      <c r="G289" s="100">
        <f t="shared" si="84"/>
        <v>2.5</v>
      </c>
      <c r="H289" s="7" t="s">
        <v>37</v>
      </c>
      <c r="I289" s="106" t="s">
        <v>239</v>
      </c>
      <c r="J289" s="99">
        <f t="shared" si="85"/>
        <v>2.5</v>
      </c>
      <c r="K289" s="99">
        <f t="shared" si="86"/>
        <v>52000</v>
      </c>
      <c r="L289" s="100">
        <f t="shared" si="87"/>
        <v>130000</v>
      </c>
      <c r="M289" s="104" t="s">
        <v>233</v>
      </c>
      <c r="N289" s="101">
        <f t="shared" si="88"/>
        <v>130000</v>
      </c>
      <c r="R289" s="90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2"/>
    </row>
    <row r="290" spans="1:30" ht="14.1" customHeight="1" x14ac:dyDescent="0.3">
      <c r="A290" s="127"/>
      <c r="B290" s="103"/>
      <c r="C290" s="105" t="s">
        <v>244</v>
      </c>
      <c r="D290" s="1">
        <v>4</v>
      </c>
      <c r="E290" s="1" t="s">
        <v>237</v>
      </c>
      <c r="F290" s="106" t="s">
        <v>238</v>
      </c>
      <c r="G290" s="100">
        <f t="shared" si="84"/>
        <v>2.5</v>
      </c>
      <c r="H290" s="7" t="s">
        <v>37</v>
      </c>
      <c r="I290" s="106" t="s">
        <v>239</v>
      </c>
      <c r="J290" s="99">
        <f t="shared" si="85"/>
        <v>10</v>
      </c>
      <c r="K290" s="99">
        <f t="shared" si="86"/>
        <v>36500</v>
      </c>
      <c r="L290" s="100">
        <f t="shared" si="87"/>
        <v>365000</v>
      </c>
      <c r="M290" s="104" t="s">
        <v>233</v>
      </c>
      <c r="N290" s="101">
        <f t="shared" si="88"/>
        <v>365000</v>
      </c>
      <c r="R290" s="90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2"/>
    </row>
    <row r="291" spans="1:30" ht="14.1" customHeight="1" x14ac:dyDescent="0.3">
      <c r="A291" s="127"/>
      <c r="B291" s="1"/>
      <c r="C291" s="1"/>
      <c r="D291" s="1"/>
      <c r="E291" s="1"/>
      <c r="F291" s="1"/>
      <c r="G291" s="1"/>
      <c r="H291" s="7"/>
      <c r="I291" s="107" t="s">
        <v>245</v>
      </c>
      <c r="J291" s="107"/>
      <c r="K291" s="117"/>
      <c r="L291" s="108">
        <f>SUM(L282:L290)</f>
        <v>1170000</v>
      </c>
      <c r="M291" s="108">
        <f>SUM(M282:M290)</f>
        <v>1497500</v>
      </c>
      <c r="N291" s="109">
        <f>SUM(N282:N290)</f>
        <v>2667500</v>
      </c>
      <c r="R291" s="90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2"/>
    </row>
    <row r="292" spans="1:30" ht="14.1" customHeight="1" x14ac:dyDescent="0.3">
      <c r="A292" s="127"/>
      <c r="B292" s="1"/>
      <c r="C292" s="1"/>
      <c r="D292" s="1"/>
      <c r="E292" s="1"/>
      <c r="F292" s="1"/>
      <c r="G292" s="1"/>
      <c r="H292" s="7"/>
      <c r="I292" s="288" t="s">
        <v>512</v>
      </c>
      <c r="J292" s="111"/>
      <c r="L292" s="99"/>
      <c r="M292" s="99"/>
      <c r="N292" s="101">
        <f>N291*15%</f>
        <v>400125</v>
      </c>
      <c r="R292" s="90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2"/>
    </row>
    <row r="293" spans="1:30" ht="14.1" customHeight="1" x14ac:dyDescent="0.3">
      <c r="A293" s="127"/>
      <c r="B293" s="1"/>
      <c r="C293" s="1"/>
      <c r="D293" s="1"/>
      <c r="E293" s="1"/>
      <c r="F293" s="1"/>
      <c r="G293" s="1"/>
      <c r="H293" s="7"/>
      <c r="I293" s="112" t="s">
        <v>247</v>
      </c>
      <c r="J293" s="113"/>
      <c r="K293" s="114"/>
      <c r="L293" s="115"/>
      <c r="M293" s="115"/>
      <c r="N293" s="116">
        <f>N291+N292</f>
        <v>3067625</v>
      </c>
      <c r="R293" s="90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2"/>
    </row>
    <row r="294" spans="1:30" ht="14.1" customHeight="1" x14ac:dyDescent="0.3">
      <c r="A294" s="128">
        <f>A280+1</f>
        <v>7</v>
      </c>
      <c r="B294" s="95" t="s">
        <v>264</v>
      </c>
      <c r="C294" s="95"/>
      <c r="D294" s="95"/>
      <c r="E294" s="95"/>
      <c r="F294" s="95"/>
      <c r="G294" s="95"/>
      <c r="H294" s="95"/>
      <c r="I294" s="125"/>
      <c r="J294" s="96"/>
      <c r="K294" s="96"/>
      <c r="L294" s="96"/>
      <c r="M294" s="96"/>
      <c r="N294" s="97"/>
      <c r="R294" s="90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2"/>
    </row>
    <row r="295" spans="1:30" ht="14.1" customHeight="1" x14ac:dyDescent="0.3">
      <c r="A295" s="129"/>
      <c r="C295" s="1" t="s">
        <v>265</v>
      </c>
      <c r="D295" s="1"/>
      <c r="E295" s="1"/>
      <c r="F295" s="1"/>
      <c r="G295" s="100"/>
      <c r="H295" s="7"/>
      <c r="I295" s="106" t="s">
        <v>37</v>
      </c>
      <c r="J295" s="99">
        <v>1</v>
      </c>
      <c r="K295" s="99"/>
      <c r="L295" s="100"/>
      <c r="M295" s="99"/>
      <c r="N295" s="101"/>
      <c r="R295" s="90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2"/>
    </row>
    <row r="296" spans="1:30" ht="14.1" customHeight="1" x14ac:dyDescent="0.3">
      <c r="A296" s="129"/>
      <c r="B296" s="103" t="s">
        <v>231</v>
      </c>
      <c r="C296" s="1" t="s">
        <v>266</v>
      </c>
      <c r="D296" s="1"/>
      <c r="E296" s="1"/>
      <c r="F296" s="1"/>
      <c r="G296" s="100"/>
      <c r="H296" s="7"/>
      <c r="I296" s="106" t="s">
        <v>37</v>
      </c>
      <c r="J296" s="99">
        <f>J295</f>
        <v>1</v>
      </c>
      <c r="K296" s="99">
        <f>'BOR 8"'!J70</f>
        <v>133379.58333333334</v>
      </c>
      <c r="L296" s="100">
        <f>J296*K296</f>
        <v>133379.58333333334</v>
      </c>
      <c r="M296" s="104" t="s">
        <v>233</v>
      </c>
      <c r="N296" s="101">
        <f>L296+M296</f>
        <v>133379.58333333334</v>
      </c>
      <c r="R296" s="90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2"/>
    </row>
    <row r="297" spans="1:30" ht="14.1" customHeight="1" x14ac:dyDescent="0.3">
      <c r="A297" s="129"/>
      <c r="B297" s="103" t="s">
        <v>234</v>
      </c>
      <c r="C297" s="1" t="s">
        <v>267</v>
      </c>
      <c r="D297" s="1"/>
      <c r="E297" s="1"/>
      <c r="F297" s="1"/>
      <c r="G297" s="100"/>
      <c r="H297" s="7"/>
      <c r="I297" s="106" t="s">
        <v>37</v>
      </c>
      <c r="J297" s="99">
        <f>J295</f>
        <v>1</v>
      </c>
      <c r="K297" s="99">
        <f>50000-20000+5000</f>
        <v>35000</v>
      </c>
      <c r="L297" s="118" t="s">
        <v>233</v>
      </c>
      <c r="M297" s="99">
        <f>J297*K297</f>
        <v>35000</v>
      </c>
      <c r="N297" s="101">
        <f>L297+M297</f>
        <v>35000</v>
      </c>
      <c r="R297" s="90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2"/>
    </row>
    <row r="298" spans="1:30" ht="14.1" customHeight="1" x14ac:dyDescent="0.3">
      <c r="A298" s="129"/>
      <c r="B298" s="103" t="s">
        <v>251</v>
      </c>
      <c r="C298" s="1" t="s">
        <v>235</v>
      </c>
      <c r="D298" s="1"/>
      <c r="E298" s="1"/>
      <c r="F298" s="1"/>
      <c r="G298" s="1"/>
      <c r="H298" s="7"/>
      <c r="I298" s="106"/>
      <c r="J298" s="99"/>
      <c r="K298" s="99"/>
      <c r="L298" s="100"/>
      <c r="M298" s="99"/>
      <c r="N298" s="101"/>
      <c r="R298" s="90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2"/>
    </row>
    <row r="299" spans="1:30" ht="14.1" customHeight="1" x14ac:dyDescent="0.3">
      <c r="A299" s="129"/>
      <c r="B299" s="103"/>
      <c r="C299" s="105" t="s">
        <v>236</v>
      </c>
      <c r="D299" s="1">
        <v>1</v>
      </c>
      <c r="E299" s="1" t="s">
        <v>237</v>
      </c>
      <c r="F299" s="106" t="s">
        <v>238</v>
      </c>
      <c r="G299" s="100">
        <f t="shared" ref="G299:G305" si="89">$J$295</f>
        <v>1</v>
      </c>
      <c r="H299" s="7" t="s">
        <v>37</v>
      </c>
      <c r="I299" s="106" t="s">
        <v>239</v>
      </c>
      <c r="J299" s="99">
        <f t="shared" ref="J299:J305" si="90">D299*G299</f>
        <v>1</v>
      </c>
      <c r="K299" s="99">
        <f>K285</f>
        <v>83500</v>
      </c>
      <c r="L299" s="100">
        <f t="shared" ref="L299:L305" si="91">J299*K299</f>
        <v>83500</v>
      </c>
      <c r="M299" s="104" t="s">
        <v>233</v>
      </c>
      <c r="N299" s="101">
        <f t="shared" ref="N299:N305" si="92">L299+M299</f>
        <v>83500</v>
      </c>
      <c r="R299" s="90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2"/>
    </row>
    <row r="300" spans="1:30" ht="14.1" customHeight="1" x14ac:dyDescent="0.3">
      <c r="A300" s="129"/>
      <c r="B300" s="103"/>
      <c r="C300" s="105" t="s">
        <v>240</v>
      </c>
      <c r="D300" s="1">
        <v>1</v>
      </c>
      <c r="E300" s="1" t="s">
        <v>237</v>
      </c>
      <c r="F300" s="106" t="s">
        <v>238</v>
      </c>
      <c r="G300" s="100">
        <f t="shared" si="89"/>
        <v>1</v>
      </c>
      <c r="H300" s="7" t="s">
        <v>37</v>
      </c>
      <c r="I300" s="106" t="s">
        <v>239</v>
      </c>
      <c r="J300" s="99">
        <f t="shared" si="90"/>
        <v>1</v>
      </c>
      <c r="K300" s="99">
        <f>K286</f>
        <v>68500</v>
      </c>
      <c r="L300" s="100">
        <f t="shared" si="91"/>
        <v>68500</v>
      </c>
      <c r="M300" s="104" t="s">
        <v>233</v>
      </c>
      <c r="N300" s="101">
        <f t="shared" si="92"/>
        <v>68500</v>
      </c>
      <c r="R300" s="90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2"/>
    </row>
    <row r="301" spans="1:30" ht="14.1" customHeight="1" x14ac:dyDescent="0.3">
      <c r="A301" s="129"/>
      <c r="B301" s="103"/>
      <c r="C301" s="105" t="s">
        <v>268</v>
      </c>
      <c r="D301" s="1">
        <v>1</v>
      </c>
      <c r="E301" s="1" t="s">
        <v>237</v>
      </c>
      <c r="F301" s="106" t="s">
        <v>238</v>
      </c>
      <c r="G301" s="100">
        <f t="shared" si="89"/>
        <v>1</v>
      </c>
      <c r="H301" s="7" t="s">
        <v>37</v>
      </c>
      <c r="I301" s="106" t="s">
        <v>239</v>
      </c>
      <c r="J301" s="99">
        <f t="shared" si="90"/>
        <v>1</v>
      </c>
      <c r="K301" s="99">
        <f>K287</f>
        <v>63500</v>
      </c>
      <c r="L301" s="100">
        <f t="shared" si="91"/>
        <v>63500</v>
      </c>
      <c r="M301" s="104" t="s">
        <v>233</v>
      </c>
      <c r="N301" s="101">
        <f t="shared" si="92"/>
        <v>63500</v>
      </c>
      <c r="R301" s="90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2"/>
    </row>
    <row r="302" spans="1:30" ht="14.1" customHeight="1" x14ac:dyDescent="0.3">
      <c r="A302" s="129"/>
      <c r="B302" s="103"/>
      <c r="C302" s="105" t="s">
        <v>242</v>
      </c>
      <c r="D302" s="1">
        <v>1</v>
      </c>
      <c r="E302" s="1" t="s">
        <v>237</v>
      </c>
      <c r="F302" s="106" t="s">
        <v>238</v>
      </c>
      <c r="G302" s="100">
        <f t="shared" si="89"/>
        <v>1</v>
      </c>
      <c r="H302" s="7" t="s">
        <v>37</v>
      </c>
      <c r="I302" s="106" t="s">
        <v>239</v>
      </c>
      <c r="J302" s="99">
        <f t="shared" si="90"/>
        <v>1</v>
      </c>
      <c r="K302" s="99">
        <f>K288</f>
        <v>54500</v>
      </c>
      <c r="L302" s="100">
        <f t="shared" si="91"/>
        <v>54500</v>
      </c>
      <c r="M302" s="104" t="s">
        <v>233</v>
      </c>
      <c r="N302" s="101">
        <f t="shared" si="92"/>
        <v>54500</v>
      </c>
      <c r="R302" s="90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2"/>
    </row>
    <row r="303" spans="1:30" ht="14.1" customHeight="1" x14ac:dyDescent="0.3">
      <c r="A303" s="129"/>
      <c r="B303" s="103"/>
      <c r="C303" s="105" t="s">
        <v>269</v>
      </c>
      <c r="D303" s="1">
        <v>1</v>
      </c>
      <c r="E303" s="1" t="s">
        <v>237</v>
      </c>
      <c r="F303" s="106" t="s">
        <v>238</v>
      </c>
      <c r="G303" s="100">
        <f t="shared" si="89"/>
        <v>1</v>
      </c>
      <c r="H303" s="7" t="s">
        <v>37</v>
      </c>
      <c r="I303" s="106" t="s">
        <v>239</v>
      </c>
      <c r="J303" s="99">
        <f t="shared" si="90"/>
        <v>1</v>
      </c>
      <c r="K303" s="99">
        <f>$K$301-750</f>
        <v>62750</v>
      </c>
      <c r="L303" s="100">
        <f t="shared" si="91"/>
        <v>62750</v>
      </c>
      <c r="M303" s="104" t="s">
        <v>233</v>
      </c>
      <c r="N303" s="101">
        <f t="shared" si="92"/>
        <v>62750</v>
      </c>
      <c r="R303" s="90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2"/>
    </row>
    <row r="304" spans="1:30" ht="14.1" customHeight="1" x14ac:dyDescent="0.3">
      <c r="A304" s="129"/>
      <c r="B304" s="103"/>
      <c r="C304" s="105" t="s">
        <v>243</v>
      </c>
      <c r="D304" s="1">
        <v>1</v>
      </c>
      <c r="E304" s="1" t="s">
        <v>237</v>
      </c>
      <c r="F304" s="106" t="s">
        <v>238</v>
      </c>
      <c r="G304" s="100">
        <f t="shared" si="89"/>
        <v>1</v>
      </c>
      <c r="H304" s="7" t="s">
        <v>37</v>
      </c>
      <c r="I304" s="106" t="s">
        <v>239</v>
      </c>
      <c r="J304" s="99">
        <f t="shared" si="90"/>
        <v>1</v>
      </c>
      <c r="K304" s="99">
        <f>K289</f>
        <v>52000</v>
      </c>
      <c r="L304" s="100">
        <f t="shared" si="91"/>
        <v>52000</v>
      </c>
      <c r="M304" s="104" t="s">
        <v>233</v>
      </c>
      <c r="N304" s="101">
        <f t="shared" si="92"/>
        <v>52000</v>
      </c>
      <c r="R304" s="90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2"/>
    </row>
    <row r="305" spans="1:30" ht="14.1" customHeight="1" x14ac:dyDescent="0.3">
      <c r="A305" s="129"/>
      <c r="B305" s="103"/>
      <c r="C305" s="105" t="s">
        <v>244</v>
      </c>
      <c r="D305" s="1">
        <f>6-2</f>
        <v>4</v>
      </c>
      <c r="E305" s="1" t="s">
        <v>237</v>
      </c>
      <c r="F305" s="106" t="s">
        <v>238</v>
      </c>
      <c r="G305" s="100">
        <f t="shared" si="89"/>
        <v>1</v>
      </c>
      <c r="H305" s="7" t="s">
        <v>37</v>
      </c>
      <c r="I305" s="106" t="s">
        <v>239</v>
      </c>
      <c r="J305" s="99">
        <f t="shared" si="90"/>
        <v>4</v>
      </c>
      <c r="K305" s="99">
        <f>K290</f>
        <v>36500</v>
      </c>
      <c r="L305" s="100">
        <f t="shared" si="91"/>
        <v>146000</v>
      </c>
      <c r="M305" s="104" t="s">
        <v>233</v>
      </c>
      <c r="N305" s="101">
        <f t="shared" si="92"/>
        <v>146000</v>
      </c>
      <c r="R305" s="90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2"/>
    </row>
    <row r="306" spans="1:30" ht="14.1" customHeight="1" x14ac:dyDescent="0.3">
      <c r="A306" s="129"/>
      <c r="B306" s="1"/>
      <c r="C306" s="1"/>
      <c r="D306" s="1"/>
      <c r="E306" s="1"/>
      <c r="F306" s="1"/>
      <c r="G306" s="1"/>
      <c r="H306" s="7"/>
      <c r="I306" s="107" t="s">
        <v>245</v>
      </c>
      <c r="J306" s="107"/>
      <c r="K306" s="117"/>
      <c r="L306" s="108">
        <f>SUM(L296:L305)</f>
        <v>664129.58333333337</v>
      </c>
      <c r="M306" s="108">
        <f>SUM(M296:M305)</f>
        <v>35000</v>
      </c>
      <c r="N306" s="109">
        <f>SUM(N296:N305)</f>
        <v>699129.58333333337</v>
      </c>
      <c r="R306" s="90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2"/>
    </row>
    <row r="307" spans="1:30" ht="14.1" customHeight="1" x14ac:dyDescent="0.3">
      <c r="A307" s="129"/>
      <c r="B307" s="1"/>
      <c r="C307" s="1"/>
      <c r="D307" s="1"/>
      <c r="E307" s="1"/>
      <c r="F307" s="1"/>
      <c r="G307" s="1"/>
      <c r="H307" s="7"/>
      <c r="I307" s="288" t="s">
        <v>512</v>
      </c>
      <c r="J307" s="111"/>
      <c r="L307" s="99"/>
      <c r="M307" s="99"/>
      <c r="N307" s="101">
        <f>N306*15%</f>
        <v>104869.4375</v>
      </c>
      <c r="R307" s="90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2"/>
    </row>
    <row r="308" spans="1:30" ht="14.1" customHeight="1" x14ac:dyDescent="0.3">
      <c r="A308" s="129"/>
      <c r="B308" s="1"/>
      <c r="C308" s="1"/>
      <c r="D308" s="1"/>
      <c r="E308" s="1"/>
      <c r="F308" s="1"/>
      <c r="G308" s="1"/>
      <c r="H308" s="7"/>
      <c r="I308" s="112" t="s">
        <v>247</v>
      </c>
      <c r="J308" s="113"/>
      <c r="K308" s="114"/>
      <c r="L308" s="115"/>
      <c r="M308" s="115"/>
      <c r="N308" s="116">
        <f>N306+N307</f>
        <v>803999.02083333337</v>
      </c>
      <c r="R308" s="90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2"/>
    </row>
    <row r="309" spans="1:30" ht="14.1" customHeight="1" x14ac:dyDescent="0.3">
      <c r="A309" s="1409">
        <f>A294+1</f>
        <v>8</v>
      </c>
      <c r="B309" s="1410" t="s">
        <v>1013</v>
      </c>
      <c r="C309" s="1410" t="s">
        <v>1029</v>
      </c>
      <c r="D309" s="1373"/>
      <c r="E309" s="1373"/>
      <c r="F309" s="1373"/>
      <c r="G309" s="1373"/>
      <c r="H309" s="1373"/>
      <c r="I309" s="1411"/>
      <c r="J309" s="1481"/>
      <c r="K309" s="1481"/>
      <c r="L309" s="1436" t="s">
        <v>1024</v>
      </c>
      <c r="M309" s="1374"/>
      <c r="N309" s="1375"/>
      <c r="R309" s="90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2"/>
    </row>
    <row r="310" spans="1:30" ht="14.1" customHeight="1" x14ac:dyDescent="0.3">
      <c r="A310" s="1412"/>
      <c r="B310" s="1377"/>
      <c r="C310" s="1378" t="s">
        <v>270</v>
      </c>
      <c r="D310" s="1378"/>
      <c r="E310" s="1378"/>
      <c r="F310" s="1378"/>
      <c r="G310" s="1381"/>
      <c r="H310" s="1388"/>
      <c r="I310" s="1387" t="s">
        <v>37</v>
      </c>
      <c r="J310" s="1380">
        <v>5</v>
      </c>
      <c r="K310" s="1380"/>
      <c r="L310" s="1381"/>
      <c r="M310" s="1380"/>
      <c r="N310" s="1382"/>
      <c r="R310" s="90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2"/>
    </row>
    <row r="311" spans="1:30" ht="14.1" customHeight="1" x14ac:dyDescent="0.3">
      <c r="A311" s="1412"/>
      <c r="B311" s="1383" t="s">
        <v>231</v>
      </c>
      <c r="C311" s="1378" t="s">
        <v>232</v>
      </c>
      <c r="D311" s="1378"/>
      <c r="E311" s="1378"/>
      <c r="F311" s="1378"/>
      <c r="G311" s="1381"/>
      <c r="H311" s="1388"/>
      <c r="I311" s="1387" t="s">
        <v>37</v>
      </c>
      <c r="J311" s="1380">
        <f>J310</f>
        <v>5</v>
      </c>
      <c r="K311" s="1380">
        <f>K244</f>
        <v>76548.329166666663</v>
      </c>
      <c r="L311" s="1381">
        <f>J311*K311</f>
        <v>382741.64583333331</v>
      </c>
      <c r="M311" s="1385" t="s">
        <v>233</v>
      </c>
      <c r="N311" s="1382">
        <f>L311+M311</f>
        <v>382741.64583333331</v>
      </c>
      <c r="R311" s="90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2"/>
    </row>
    <row r="312" spans="1:30" ht="14.1" customHeight="1" x14ac:dyDescent="0.3">
      <c r="A312" s="1412"/>
      <c r="B312" s="1383" t="s">
        <v>234</v>
      </c>
      <c r="C312" s="1378" t="s">
        <v>271</v>
      </c>
      <c r="D312" s="1378"/>
      <c r="E312" s="1378"/>
      <c r="F312" s="1378"/>
      <c r="G312" s="1381"/>
      <c r="H312" s="1388"/>
      <c r="I312" s="1387" t="s">
        <v>38</v>
      </c>
      <c r="J312" s="1380">
        <v>1</v>
      </c>
      <c r="K312" s="1380">
        <f>HARSAT!H79</f>
        <v>2420000</v>
      </c>
      <c r="L312" s="1401" t="s">
        <v>233</v>
      </c>
      <c r="M312" s="1380">
        <f>J312*K312</f>
        <v>2420000</v>
      </c>
      <c r="N312" s="1382">
        <f>L312+M312</f>
        <v>2420000</v>
      </c>
      <c r="R312" s="90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2"/>
    </row>
    <row r="313" spans="1:30" ht="14.1" customHeight="1" x14ac:dyDescent="0.3">
      <c r="A313" s="1412"/>
      <c r="B313" s="1383" t="s">
        <v>251</v>
      </c>
      <c r="C313" s="1378" t="s">
        <v>272</v>
      </c>
      <c r="D313" s="1378"/>
      <c r="E313" s="1378"/>
      <c r="F313" s="1378"/>
      <c r="G313" s="1381"/>
      <c r="H313" s="1388"/>
      <c r="I313" s="1387" t="s">
        <v>250</v>
      </c>
      <c r="J313" s="1380">
        <v>1</v>
      </c>
      <c r="K313" s="1380">
        <f>250000-150000+50000+50000+25000</f>
        <v>225000</v>
      </c>
      <c r="L313" s="1401"/>
      <c r="M313" s="1380">
        <f>J313*K313</f>
        <v>225000</v>
      </c>
      <c r="N313" s="1382">
        <f>L313+M313</f>
        <v>225000</v>
      </c>
      <c r="R313" s="90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2"/>
    </row>
    <row r="314" spans="1:30" ht="14.1" customHeight="1" x14ac:dyDescent="0.3">
      <c r="A314" s="1412"/>
      <c r="B314" s="1383" t="s">
        <v>253</v>
      </c>
      <c r="C314" s="1378" t="s">
        <v>235</v>
      </c>
      <c r="D314" s="1378"/>
      <c r="E314" s="1378"/>
      <c r="F314" s="1378"/>
      <c r="G314" s="1378"/>
      <c r="H314" s="1388"/>
      <c r="I314" s="1387"/>
      <c r="J314" s="1380"/>
      <c r="K314" s="1380"/>
      <c r="L314" s="1381"/>
      <c r="M314" s="1380"/>
      <c r="N314" s="1382"/>
      <c r="R314" s="90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2"/>
    </row>
    <row r="315" spans="1:30" ht="14.1" customHeight="1" x14ac:dyDescent="0.3">
      <c r="A315" s="1412"/>
      <c r="B315" s="1383"/>
      <c r="C315" s="1386" t="s">
        <v>240</v>
      </c>
      <c r="D315" s="1378">
        <v>1</v>
      </c>
      <c r="E315" s="1378" t="s">
        <v>237</v>
      </c>
      <c r="F315" s="1387" t="s">
        <v>238</v>
      </c>
      <c r="G315" s="1381">
        <f>$J$311</f>
        <v>5</v>
      </c>
      <c r="H315" s="1388" t="s">
        <v>37</v>
      </c>
      <c r="I315" s="1387" t="s">
        <v>239</v>
      </c>
      <c r="J315" s="1380">
        <f>D315*G315</f>
        <v>5</v>
      </c>
      <c r="K315" s="1380">
        <f>K300</f>
        <v>68500</v>
      </c>
      <c r="L315" s="1381">
        <f>J315*K315</f>
        <v>342500</v>
      </c>
      <c r="M315" s="1385" t="s">
        <v>233</v>
      </c>
      <c r="N315" s="1382">
        <f>L315+M315</f>
        <v>342500</v>
      </c>
      <c r="R315" s="90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2"/>
    </row>
    <row r="316" spans="1:30" ht="14.1" customHeight="1" x14ac:dyDescent="0.3">
      <c r="A316" s="1412"/>
      <c r="B316" s="1383"/>
      <c r="C316" s="1386" t="s">
        <v>243</v>
      </c>
      <c r="D316" s="1378">
        <v>1</v>
      </c>
      <c r="E316" s="1378" t="s">
        <v>237</v>
      </c>
      <c r="F316" s="1387" t="s">
        <v>238</v>
      </c>
      <c r="G316" s="1381">
        <f>$J$311</f>
        <v>5</v>
      </c>
      <c r="H316" s="1388" t="s">
        <v>37</v>
      </c>
      <c r="I316" s="1387" t="s">
        <v>239</v>
      </c>
      <c r="J316" s="1380">
        <f>D316*G316</f>
        <v>5</v>
      </c>
      <c r="K316" s="1380">
        <f>K304</f>
        <v>52000</v>
      </c>
      <c r="L316" s="1381">
        <f>J316*K316</f>
        <v>260000</v>
      </c>
      <c r="M316" s="1385" t="s">
        <v>233</v>
      </c>
      <c r="N316" s="1382">
        <f>L316+M316</f>
        <v>260000</v>
      </c>
      <c r="R316" s="90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2"/>
    </row>
    <row r="317" spans="1:30" ht="14.1" customHeight="1" x14ac:dyDescent="0.3">
      <c r="A317" s="1413"/>
      <c r="B317" s="1383"/>
      <c r="C317" s="1386" t="s">
        <v>244</v>
      </c>
      <c r="D317" s="1378">
        <v>2</v>
      </c>
      <c r="E317" s="1378" t="s">
        <v>237</v>
      </c>
      <c r="F317" s="1387" t="s">
        <v>238</v>
      </c>
      <c r="G317" s="1381">
        <f>$J$311</f>
        <v>5</v>
      </c>
      <c r="H317" s="1388" t="s">
        <v>37</v>
      </c>
      <c r="I317" s="1387" t="s">
        <v>239</v>
      </c>
      <c r="J317" s="1380">
        <f>D317*G317</f>
        <v>10</v>
      </c>
      <c r="K317" s="1380">
        <f>K305</f>
        <v>36500</v>
      </c>
      <c r="L317" s="1381">
        <f>J317*K317</f>
        <v>365000</v>
      </c>
      <c r="M317" s="1385" t="s">
        <v>233</v>
      </c>
      <c r="N317" s="1382">
        <f>L317+M317</f>
        <v>365000</v>
      </c>
      <c r="R317" s="90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2"/>
    </row>
    <row r="318" spans="1:30" ht="14.1" customHeight="1" x14ac:dyDescent="0.3">
      <c r="A318" s="1413"/>
      <c r="B318" s="1378"/>
      <c r="C318" s="1378"/>
      <c r="D318" s="1378"/>
      <c r="E318" s="1378"/>
      <c r="F318" s="1378"/>
      <c r="G318" s="1378"/>
      <c r="H318" s="1388"/>
      <c r="I318" s="1389" t="s">
        <v>245</v>
      </c>
      <c r="J318" s="1389"/>
      <c r="K318" s="1400"/>
      <c r="L318" s="1390">
        <f>SUM(L311:L317)</f>
        <v>1350241.6458333333</v>
      </c>
      <c r="M318" s="1390">
        <f>SUM(M311:M317)</f>
        <v>2645000</v>
      </c>
      <c r="N318" s="1392">
        <f>SUM(N311:N317)</f>
        <v>3995241.6458333335</v>
      </c>
      <c r="R318" s="90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2"/>
    </row>
    <row r="319" spans="1:30" ht="14.1" customHeight="1" x14ac:dyDescent="0.3">
      <c r="A319" s="1413"/>
      <c r="B319" s="1378"/>
      <c r="C319" s="1378"/>
      <c r="D319" s="1378"/>
      <c r="E319" s="1378"/>
      <c r="F319" s="1378"/>
      <c r="G319" s="1378"/>
      <c r="H319" s="1388"/>
      <c r="I319" s="1393" t="s">
        <v>512</v>
      </c>
      <c r="J319" s="1394"/>
      <c r="K319" s="1377"/>
      <c r="L319" s="1380"/>
      <c r="M319" s="1380"/>
      <c r="N319" s="1382">
        <f>N318*15%</f>
        <v>599286.24687499995</v>
      </c>
      <c r="R319" s="90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2"/>
    </row>
    <row r="320" spans="1:30" ht="14.1" customHeight="1" x14ac:dyDescent="0.3">
      <c r="A320" s="1413"/>
      <c r="B320" s="1378"/>
      <c r="C320" s="1378"/>
      <c r="D320" s="1378"/>
      <c r="E320" s="1378"/>
      <c r="F320" s="1378"/>
      <c r="G320" s="1378"/>
      <c r="H320" s="1388"/>
      <c r="I320" s="1395" t="s">
        <v>247</v>
      </c>
      <c r="J320" s="1396"/>
      <c r="K320" s="1397"/>
      <c r="L320" s="1398"/>
      <c r="M320" s="1398"/>
      <c r="N320" s="1399">
        <f>N318+N319</f>
        <v>4594527.8927083332</v>
      </c>
      <c r="R320" s="90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2"/>
    </row>
    <row r="321" spans="1:30" ht="14.1" customHeight="1" x14ac:dyDescent="0.3">
      <c r="A321" s="1414"/>
      <c r="B321" s="1415"/>
      <c r="C321" s="1415"/>
      <c r="D321" s="1415"/>
      <c r="E321" s="1415"/>
      <c r="F321" s="1415"/>
      <c r="G321" s="1415"/>
      <c r="H321" s="1416"/>
      <c r="I321" s="1417"/>
      <c r="J321" s="1417"/>
      <c r="K321" s="1417"/>
      <c r="L321" s="1418"/>
      <c r="M321" s="1419"/>
      <c r="N321" s="1399"/>
      <c r="R321" s="90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2"/>
    </row>
    <row r="322" spans="1:30" ht="14.1" customHeight="1" x14ac:dyDescent="0.3">
      <c r="A322" s="1420">
        <v>8</v>
      </c>
      <c r="B322" s="1421" t="s">
        <v>1013</v>
      </c>
      <c r="C322" s="1421" t="s">
        <v>1028</v>
      </c>
      <c r="D322" s="1077"/>
      <c r="E322" s="1077"/>
      <c r="F322" s="1077"/>
      <c r="G322" s="1077"/>
      <c r="H322" s="1077"/>
      <c r="I322" s="1422"/>
      <c r="J322" s="1480"/>
      <c r="K322" s="1480"/>
      <c r="L322" s="1480" t="s">
        <v>1023</v>
      </c>
      <c r="M322" s="1078"/>
      <c r="N322" s="1079"/>
      <c r="R322" s="90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2"/>
    </row>
    <row r="323" spans="1:30" ht="14.1" customHeight="1" x14ac:dyDescent="0.3">
      <c r="A323" s="1423"/>
      <c r="B323" s="1348"/>
      <c r="C323" s="1346" t="s">
        <v>270</v>
      </c>
      <c r="D323" s="1346"/>
      <c r="E323" s="1346"/>
      <c r="F323" s="1346"/>
      <c r="G323" s="1349"/>
      <c r="H323" s="1424"/>
      <c r="I323" s="1345" t="s">
        <v>37</v>
      </c>
      <c r="J323" s="1425">
        <v>7</v>
      </c>
      <c r="K323" s="1425"/>
      <c r="L323" s="1349"/>
      <c r="M323" s="1425"/>
      <c r="N323" s="1086"/>
      <c r="R323" s="90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2"/>
    </row>
    <row r="324" spans="1:30" ht="14.1" customHeight="1" x14ac:dyDescent="0.3">
      <c r="A324" s="1423"/>
      <c r="B324" s="1426" t="s">
        <v>231</v>
      </c>
      <c r="C324" s="1346" t="s">
        <v>232</v>
      </c>
      <c r="D324" s="1346"/>
      <c r="E324" s="1346"/>
      <c r="F324" s="1346"/>
      <c r="G324" s="1349"/>
      <c r="H324" s="1424"/>
      <c r="I324" s="1345" t="s">
        <v>37</v>
      </c>
      <c r="J324" s="1425">
        <v>7</v>
      </c>
      <c r="K324" s="1425">
        <f>K185</f>
        <v>79000</v>
      </c>
      <c r="L324" s="1085">
        <f>J324*K324</f>
        <v>553000</v>
      </c>
      <c r="M324" s="1089" t="s">
        <v>233</v>
      </c>
      <c r="N324" s="1086">
        <f>L324+M324</f>
        <v>553000</v>
      </c>
      <c r="R324" s="90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2"/>
    </row>
    <row r="325" spans="1:30" ht="14.1" customHeight="1" x14ac:dyDescent="0.3">
      <c r="A325" s="1423"/>
      <c r="B325" s="1426" t="s">
        <v>234</v>
      </c>
      <c r="C325" s="1346" t="s">
        <v>271</v>
      </c>
      <c r="D325" s="1346"/>
      <c r="E325" s="1346"/>
      <c r="F325" s="1346"/>
      <c r="G325" s="1349"/>
      <c r="H325" s="1424"/>
      <c r="I325" s="1345" t="s">
        <v>38</v>
      </c>
      <c r="J325" s="1425">
        <v>1</v>
      </c>
      <c r="K325" s="1425">
        <f>'UPAH BAHAN'!H84</f>
        <v>3150000</v>
      </c>
      <c r="L325" s="1343" t="s">
        <v>233</v>
      </c>
      <c r="M325" s="1084">
        <f>J325*K325</f>
        <v>3150000</v>
      </c>
      <c r="N325" s="1086">
        <f>L325+M325</f>
        <v>3150000</v>
      </c>
      <c r="R325" s="90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2"/>
    </row>
    <row r="326" spans="1:30" ht="14.1" customHeight="1" x14ac:dyDescent="0.3">
      <c r="A326" s="1423"/>
      <c r="B326" s="1426" t="s">
        <v>251</v>
      </c>
      <c r="C326" s="1346" t="s">
        <v>272</v>
      </c>
      <c r="D326" s="1346"/>
      <c r="E326" s="1346"/>
      <c r="F326" s="1346"/>
      <c r="G326" s="1349"/>
      <c r="H326" s="1424"/>
      <c r="I326" s="1345" t="s">
        <v>250</v>
      </c>
      <c r="J326" s="1425">
        <v>1</v>
      </c>
      <c r="K326" s="1425">
        <v>225000</v>
      </c>
      <c r="L326" s="1343" t="s">
        <v>233</v>
      </c>
      <c r="M326" s="1084">
        <f>J326*K326</f>
        <v>225000</v>
      </c>
      <c r="N326" s="1086">
        <f>L326+M326</f>
        <v>225000</v>
      </c>
      <c r="R326" s="90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2"/>
    </row>
    <row r="327" spans="1:30" ht="14.1" customHeight="1" x14ac:dyDescent="0.3">
      <c r="A327" s="1423"/>
      <c r="B327" s="1426" t="s">
        <v>253</v>
      </c>
      <c r="C327" s="1346" t="s">
        <v>235</v>
      </c>
      <c r="D327" s="1346"/>
      <c r="E327" s="1346"/>
      <c r="F327" s="1346"/>
      <c r="G327" s="1346"/>
      <c r="H327" s="1424"/>
      <c r="I327" s="1345"/>
      <c r="J327" s="1425"/>
      <c r="K327" s="1425"/>
      <c r="L327" s="1085"/>
      <c r="M327" s="1084"/>
      <c r="N327" s="1086"/>
      <c r="R327" s="90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2"/>
    </row>
    <row r="328" spans="1:30" ht="14.1" customHeight="1" x14ac:dyDescent="0.3">
      <c r="A328" s="1423"/>
      <c r="B328" s="1426"/>
      <c r="C328" s="1427" t="s">
        <v>240</v>
      </c>
      <c r="D328" s="1346">
        <v>1</v>
      </c>
      <c r="E328" s="1346" t="s">
        <v>237</v>
      </c>
      <c r="F328" s="1345" t="s">
        <v>238</v>
      </c>
      <c r="G328" s="1349">
        <v>7</v>
      </c>
      <c r="H328" s="1424" t="s">
        <v>37</v>
      </c>
      <c r="I328" s="1345" t="s">
        <v>239</v>
      </c>
      <c r="J328" s="1425">
        <v>7</v>
      </c>
      <c r="K328" s="1425">
        <v>68500</v>
      </c>
      <c r="L328" s="1085">
        <f>J328*K328</f>
        <v>479500</v>
      </c>
      <c r="M328" s="1089" t="s">
        <v>233</v>
      </c>
      <c r="N328" s="1086">
        <f>L328+M328</f>
        <v>479500</v>
      </c>
      <c r="R328" s="90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2"/>
    </row>
    <row r="329" spans="1:30" ht="14.1" customHeight="1" x14ac:dyDescent="0.3">
      <c r="A329" s="1423"/>
      <c r="B329" s="1426"/>
      <c r="C329" s="1427" t="s">
        <v>243</v>
      </c>
      <c r="D329" s="1346">
        <v>1</v>
      </c>
      <c r="E329" s="1346" t="s">
        <v>237</v>
      </c>
      <c r="F329" s="1345" t="s">
        <v>238</v>
      </c>
      <c r="G329" s="1349">
        <v>7</v>
      </c>
      <c r="H329" s="1424" t="s">
        <v>37</v>
      </c>
      <c r="I329" s="1345" t="s">
        <v>239</v>
      </c>
      <c r="J329" s="1425">
        <v>7</v>
      </c>
      <c r="K329" s="1425">
        <v>52000</v>
      </c>
      <c r="L329" s="1085">
        <f>J329*K329</f>
        <v>364000</v>
      </c>
      <c r="M329" s="1089" t="s">
        <v>233</v>
      </c>
      <c r="N329" s="1086">
        <f>L329+M329</f>
        <v>364000</v>
      </c>
      <c r="R329" s="90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2"/>
    </row>
    <row r="330" spans="1:30" ht="14.1" customHeight="1" x14ac:dyDescent="0.3">
      <c r="A330" s="1428"/>
      <c r="B330" s="1426"/>
      <c r="C330" s="1427" t="s">
        <v>244</v>
      </c>
      <c r="D330" s="1346">
        <v>2</v>
      </c>
      <c r="E330" s="1346" t="s">
        <v>237</v>
      </c>
      <c r="F330" s="1345" t="s">
        <v>238</v>
      </c>
      <c r="G330" s="1349">
        <v>7</v>
      </c>
      <c r="H330" s="1424" t="s">
        <v>37</v>
      </c>
      <c r="I330" s="1345" t="s">
        <v>239</v>
      </c>
      <c r="J330" s="1425">
        <v>14</v>
      </c>
      <c r="K330" s="1425">
        <v>36500</v>
      </c>
      <c r="L330" s="1085">
        <f>J330*K330</f>
        <v>511000</v>
      </c>
      <c r="M330" s="1089" t="s">
        <v>233</v>
      </c>
      <c r="N330" s="1086">
        <f>L330+M330</f>
        <v>511000</v>
      </c>
      <c r="R330" s="90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2"/>
    </row>
    <row r="331" spans="1:30" ht="14.1" customHeight="1" x14ac:dyDescent="0.3">
      <c r="A331" s="1428"/>
      <c r="B331" s="1346"/>
      <c r="C331" s="1346"/>
      <c r="D331" s="1346"/>
      <c r="E331" s="1346"/>
      <c r="F331" s="1346"/>
      <c r="G331" s="1346"/>
      <c r="H331" s="1424"/>
      <c r="I331" s="1093" t="s">
        <v>245</v>
      </c>
      <c r="J331" s="1093"/>
      <c r="K331" s="1104"/>
      <c r="L331" s="1094">
        <f>SUM(L324:L330)</f>
        <v>1907500</v>
      </c>
      <c r="M331" s="1094">
        <f>SUM(M324:M330)</f>
        <v>3375000</v>
      </c>
      <c r="N331" s="1096">
        <f>SUM(N324:N330)</f>
        <v>5282500</v>
      </c>
      <c r="R331" s="90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2"/>
    </row>
    <row r="332" spans="1:30" ht="14.1" customHeight="1" x14ac:dyDescent="0.3">
      <c r="A332" s="1428"/>
      <c r="B332" s="1346"/>
      <c r="C332" s="1346"/>
      <c r="D332" s="1346"/>
      <c r="E332" s="1346"/>
      <c r="F332" s="1346"/>
      <c r="G332" s="1346"/>
      <c r="H332" s="1424"/>
      <c r="I332" s="1429" t="s">
        <v>512</v>
      </c>
      <c r="J332" s="1347"/>
      <c r="K332" s="1348"/>
      <c r="L332" s="1425"/>
      <c r="M332" s="1084"/>
      <c r="N332" s="1086">
        <f>N331*15%</f>
        <v>792375</v>
      </c>
      <c r="R332" s="90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2"/>
    </row>
    <row r="333" spans="1:30" ht="14.1" customHeight="1" x14ac:dyDescent="0.3">
      <c r="A333" s="1428"/>
      <c r="B333" s="1346"/>
      <c r="C333" s="1346"/>
      <c r="D333" s="1346"/>
      <c r="E333" s="1346"/>
      <c r="F333" s="1346"/>
      <c r="G333" s="1346"/>
      <c r="H333" s="1424"/>
      <c r="I333" s="1099" t="s">
        <v>247</v>
      </c>
      <c r="J333" s="1100"/>
      <c r="K333" s="1101"/>
      <c r="L333" s="1102"/>
      <c r="M333" s="1102"/>
      <c r="N333" s="1103">
        <f>N331+N332</f>
        <v>6074875</v>
      </c>
      <c r="R333" s="90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2"/>
    </row>
    <row r="334" spans="1:30" ht="14.1" customHeight="1" x14ac:dyDescent="0.3">
      <c r="A334" s="1430"/>
      <c r="B334" s="1431"/>
      <c r="C334" s="1431"/>
      <c r="D334" s="1431"/>
      <c r="E334" s="1431"/>
      <c r="F334" s="1431"/>
      <c r="G334" s="1431"/>
      <c r="H334" s="1432"/>
      <c r="I334" s="1433"/>
      <c r="J334" s="1433"/>
      <c r="K334" s="1433"/>
      <c r="L334" s="1434"/>
      <c r="M334" s="1435"/>
      <c r="N334" s="1103"/>
      <c r="R334" s="90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2"/>
    </row>
    <row r="335" spans="1:30" ht="14.1" customHeight="1" x14ac:dyDescent="0.3">
      <c r="A335" s="1437">
        <v>8</v>
      </c>
      <c r="B335" s="1438" t="s">
        <v>1013</v>
      </c>
      <c r="C335" s="1438" t="s">
        <v>1028</v>
      </c>
      <c r="D335" s="1060"/>
      <c r="E335" s="1060"/>
      <c r="F335" s="1060"/>
      <c r="G335" s="1060"/>
      <c r="H335" s="1060"/>
      <c r="I335" s="1439"/>
      <c r="J335" s="1440"/>
      <c r="K335" s="1440"/>
      <c r="L335" s="1440" t="s">
        <v>1025</v>
      </c>
      <c r="M335" s="1440"/>
      <c r="N335" s="1061"/>
      <c r="R335" s="90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2"/>
    </row>
    <row r="336" spans="1:30" ht="14.1" customHeight="1" x14ac:dyDescent="0.3">
      <c r="A336" s="1441"/>
      <c r="B336" s="1442"/>
      <c r="C336" s="1443" t="s">
        <v>270</v>
      </c>
      <c r="D336" s="1443"/>
      <c r="E336" s="1443"/>
      <c r="F336" s="1443"/>
      <c r="G336" s="1444"/>
      <c r="H336" s="1445"/>
      <c r="I336" s="1446" t="s">
        <v>37</v>
      </c>
      <c r="J336" s="1447">
        <v>7</v>
      </c>
      <c r="K336" s="1447"/>
      <c r="L336" s="1444"/>
      <c r="M336" s="1447"/>
      <c r="N336" s="1064"/>
      <c r="R336" s="90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2"/>
    </row>
    <row r="337" spans="1:30" ht="14.1" customHeight="1" x14ac:dyDescent="0.3">
      <c r="A337" s="1441"/>
      <c r="B337" s="1448" t="s">
        <v>231</v>
      </c>
      <c r="C337" s="1443" t="s">
        <v>232</v>
      </c>
      <c r="D337" s="1443"/>
      <c r="E337" s="1443"/>
      <c r="F337" s="1443"/>
      <c r="G337" s="1444"/>
      <c r="H337" s="1445"/>
      <c r="I337" s="1446" t="s">
        <v>37</v>
      </c>
      <c r="J337" s="1447">
        <v>7</v>
      </c>
      <c r="K337" s="1447">
        <f>K126</f>
        <v>129955.92499999999</v>
      </c>
      <c r="L337" s="1063">
        <f>J337*K337</f>
        <v>909691.47499999986</v>
      </c>
      <c r="M337" s="1065" t="s">
        <v>233</v>
      </c>
      <c r="N337" s="1064">
        <f>L337+M337</f>
        <v>909691.47499999986</v>
      </c>
      <c r="R337" s="90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2"/>
    </row>
    <row r="338" spans="1:30" ht="14.1" customHeight="1" x14ac:dyDescent="0.3">
      <c r="A338" s="1441"/>
      <c r="B338" s="1448" t="s">
        <v>234</v>
      </c>
      <c r="C338" s="1443" t="s">
        <v>271</v>
      </c>
      <c r="D338" s="1443"/>
      <c r="E338" s="1443"/>
      <c r="F338" s="1443"/>
      <c r="G338" s="1444"/>
      <c r="H338" s="1445"/>
      <c r="I338" s="1446" t="s">
        <v>38</v>
      </c>
      <c r="J338" s="1447">
        <v>1</v>
      </c>
      <c r="K338" s="1447">
        <f>'UPAH BAHAN'!H84</f>
        <v>3150000</v>
      </c>
      <c r="L338" s="1449" t="s">
        <v>233</v>
      </c>
      <c r="M338" s="1062">
        <f>J338*K338</f>
        <v>3150000</v>
      </c>
      <c r="N338" s="1064">
        <f>L338+M338</f>
        <v>3150000</v>
      </c>
      <c r="R338" s="90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2"/>
    </row>
    <row r="339" spans="1:30" ht="14.1" customHeight="1" x14ac:dyDescent="0.3">
      <c r="A339" s="1441"/>
      <c r="B339" s="1448" t="s">
        <v>251</v>
      </c>
      <c r="C339" s="1443" t="s">
        <v>272</v>
      </c>
      <c r="D339" s="1443"/>
      <c r="E339" s="1443"/>
      <c r="F339" s="1443"/>
      <c r="G339" s="1444"/>
      <c r="H339" s="1445"/>
      <c r="I339" s="1446" t="s">
        <v>250</v>
      </c>
      <c r="J339" s="1447">
        <v>1</v>
      </c>
      <c r="K339" s="1447">
        <v>225000</v>
      </c>
      <c r="L339" s="1449" t="s">
        <v>233</v>
      </c>
      <c r="M339" s="1062">
        <f>J339*K339</f>
        <v>225000</v>
      </c>
      <c r="N339" s="1064">
        <f>L339+M339</f>
        <v>225000</v>
      </c>
      <c r="R339" s="90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2"/>
    </row>
    <row r="340" spans="1:30" ht="14.1" customHeight="1" x14ac:dyDescent="0.3">
      <c r="A340" s="1441"/>
      <c r="B340" s="1448" t="s">
        <v>253</v>
      </c>
      <c r="C340" s="1443" t="s">
        <v>235</v>
      </c>
      <c r="D340" s="1443"/>
      <c r="E340" s="1443"/>
      <c r="F340" s="1443"/>
      <c r="G340" s="1443"/>
      <c r="H340" s="1445"/>
      <c r="I340" s="1446"/>
      <c r="J340" s="1447"/>
      <c r="K340" s="1447"/>
      <c r="L340" s="1063"/>
      <c r="M340" s="1062"/>
      <c r="N340" s="1064"/>
      <c r="R340" s="90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2"/>
    </row>
    <row r="341" spans="1:30" ht="14.1" customHeight="1" x14ac:dyDescent="0.3">
      <c r="A341" s="1441"/>
      <c r="B341" s="1448"/>
      <c r="C341" s="1450" t="s">
        <v>240</v>
      </c>
      <c r="D341" s="1443">
        <v>1</v>
      </c>
      <c r="E341" s="1443" t="s">
        <v>237</v>
      </c>
      <c r="F341" s="1446" t="s">
        <v>238</v>
      </c>
      <c r="G341" s="1444">
        <v>7</v>
      </c>
      <c r="H341" s="1445" t="s">
        <v>37</v>
      </c>
      <c r="I341" s="1446" t="s">
        <v>239</v>
      </c>
      <c r="J341" s="1447">
        <v>7</v>
      </c>
      <c r="K341" s="1447">
        <v>68500</v>
      </c>
      <c r="L341" s="1063">
        <f>J341*K341</f>
        <v>479500</v>
      </c>
      <c r="M341" s="1065" t="s">
        <v>233</v>
      </c>
      <c r="N341" s="1064">
        <f>L341+M341</f>
        <v>479500</v>
      </c>
      <c r="R341" s="90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2"/>
    </row>
    <row r="342" spans="1:30" ht="14.1" customHeight="1" x14ac:dyDescent="0.3">
      <c r="A342" s="1441"/>
      <c r="B342" s="1448"/>
      <c r="C342" s="1450" t="s">
        <v>243</v>
      </c>
      <c r="D342" s="1443">
        <v>1</v>
      </c>
      <c r="E342" s="1443" t="s">
        <v>237</v>
      </c>
      <c r="F342" s="1446" t="s">
        <v>238</v>
      </c>
      <c r="G342" s="1444">
        <v>7</v>
      </c>
      <c r="H342" s="1445" t="s">
        <v>37</v>
      </c>
      <c r="I342" s="1446" t="s">
        <v>239</v>
      </c>
      <c r="J342" s="1447">
        <v>7</v>
      </c>
      <c r="K342" s="1447">
        <v>52000</v>
      </c>
      <c r="L342" s="1063">
        <f>J342*K342</f>
        <v>364000</v>
      </c>
      <c r="M342" s="1065" t="s">
        <v>233</v>
      </c>
      <c r="N342" s="1064">
        <f>L342+M342</f>
        <v>364000</v>
      </c>
      <c r="R342" s="90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2"/>
    </row>
    <row r="343" spans="1:30" ht="14.1" customHeight="1" x14ac:dyDescent="0.3">
      <c r="A343" s="1451"/>
      <c r="B343" s="1448"/>
      <c r="C343" s="1450" t="s">
        <v>244</v>
      </c>
      <c r="D343" s="1443">
        <v>2</v>
      </c>
      <c r="E343" s="1443" t="s">
        <v>237</v>
      </c>
      <c r="F343" s="1446" t="s">
        <v>238</v>
      </c>
      <c r="G343" s="1444">
        <v>7</v>
      </c>
      <c r="H343" s="1445" t="s">
        <v>37</v>
      </c>
      <c r="I343" s="1446" t="s">
        <v>239</v>
      </c>
      <c r="J343" s="1447">
        <v>14</v>
      </c>
      <c r="K343" s="1447">
        <v>36500</v>
      </c>
      <c r="L343" s="1063">
        <f>J343*K343</f>
        <v>511000</v>
      </c>
      <c r="M343" s="1065" t="s">
        <v>233</v>
      </c>
      <c r="N343" s="1064">
        <f>L343+M343</f>
        <v>511000</v>
      </c>
      <c r="R343" s="90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2"/>
    </row>
    <row r="344" spans="1:30" ht="14.1" customHeight="1" x14ac:dyDescent="0.3">
      <c r="A344" s="1451"/>
      <c r="B344" s="1443"/>
      <c r="C344" s="1443"/>
      <c r="D344" s="1443"/>
      <c r="E344" s="1443"/>
      <c r="F344" s="1443"/>
      <c r="G344" s="1443"/>
      <c r="H344" s="1445"/>
      <c r="I344" s="1066" t="s">
        <v>245</v>
      </c>
      <c r="J344" s="1066"/>
      <c r="K344" s="1074"/>
      <c r="L344" s="1067">
        <f>SUM(L337:L343)</f>
        <v>2264191.4749999996</v>
      </c>
      <c r="M344" s="1067">
        <f>SUM(M337:M343)</f>
        <v>3375000</v>
      </c>
      <c r="N344" s="1068">
        <f>SUM(N337:N343)</f>
        <v>5639191.4749999996</v>
      </c>
      <c r="R344" s="90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2"/>
    </row>
    <row r="345" spans="1:30" ht="14.1" customHeight="1" x14ac:dyDescent="0.3">
      <c r="A345" s="1451"/>
      <c r="B345" s="1443"/>
      <c r="C345" s="1443"/>
      <c r="D345" s="1443"/>
      <c r="E345" s="1443"/>
      <c r="F345" s="1443"/>
      <c r="G345" s="1443"/>
      <c r="H345" s="1445"/>
      <c r="I345" s="1452" t="s">
        <v>512</v>
      </c>
      <c r="J345" s="1453"/>
      <c r="K345" s="1442"/>
      <c r="L345" s="1447"/>
      <c r="M345" s="1062"/>
      <c r="N345" s="1064">
        <f>N344*15%</f>
        <v>845878.72124999994</v>
      </c>
      <c r="R345" s="90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2"/>
    </row>
    <row r="346" spans="1:30" ht="14.1" customHeight="1" x14ac:dyDescent="0.3">
      <c r="A346" s="1451"/>
      <c r="B346" s="1443"/>
      <c r="C346" s="1443"/>
      <c r="D346" s="1443"/>
      <c r="E346" s="1443"/>
      <c r="F346" s="1443"/>
      <c r="G346" s="1443"/>
      <c r="H346" s="1445"/>
      <c r="I346" s="1069" t="s">
        <v>247</v>
      </c>
      <c r="J346" s="1070"/>
      <c r="K346" s="1071"/>
      <c r="L346" s="1072"/>
      <c r="M346" s="1072"/>
      <c r="N346" s="1073">
        <f>N344+N345</f>
        <v>6485070.1962499991</v>
      </c>
      <c r="R346" s="90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2"/>
    </row>
    <row r="347" spans="1:30" ht="14.1" customHeight="1" x14ac:dyDescent="0.3">
      <c r="A347" s="1454"/>
      <c r="B347" s="1455"/>
      <c r="C347" s="1455"/>
      <c r="D347" s="1455"/>
      <c r="E347" s="1455"/>
      <c r="F347" s="1455"/>
      <c r="G347" s="1455"/>
      <c r="H347" s="1456"/>
      <c r="I347" s="1457"/>
      <c r="J347" s="1457"/>
      <c r="K347" s="1457"/>
      <c r="L347" s="1458"/>
      <c r="M347" s="1459"/>
      <c r="N347" s="1073"/>
      <c r="R347" s="90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2"/>
    </row>
    <row r="348" spans="1:30" ht="14.1" customHeight="1" x14ac:dyDescent="0.3">
      <c r="A348" s="1460">
        <v>8</v>
      </c>
      <c r="B348" s="1461" t="s">
        <v>1013</v>
      </c>
      <c r="C348" s="1461" t="s">
        <v>1027</v>
      </c>
      <c r="D348" s="1350"/>
      <c r="E348" s="1350"/>
      <c r="F348" s="1350"/>
      <c r="G348" s="1350"/>
      <c r="H348" s="1350"/>
      <c r="I348" s="1462"/>
      <c r="J348" s="1479"/>
      <c r="K348" s="1479"/>
      <c r="L348" s="1463" t="s">
        <v>1026</v>
      </c>
      <c r="M348" s="1463"/>
      <c r="N348" s="1351"/>
      <c r="R348" s="90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2"/>
    </row>
    <row r="349" spans="1:30" ht="14.1" customHeight="1" x14ac:dyDescent="0.3">
      <c r="A349" s="1464"/>
      <c r="B349" s="1369"/>
      <c r="C349" s="1367" t="s">
        <v>270</v>
      </c>
      <c r="D349" s="1367"/>
      <c r="E349" s="1367"/>
      <c r="F349" s="1367"/>
      <c r="G349" s="1370"/>
      <c r="H349" s="1465"/>
      <c r="I349" s="1366" t="s">
        <v>37</v>
      </c>
      <c r="J349" s="1466">
        <v>7</v>
      </c>
      <c r="K349" s="1466"/>
      <c r="L349" s="1370"/>
      <c r="M349" s="1466"/>
      <c r="N349" s="1354"/>
      <c r="R349" s="90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2"/>
    </row>
    <row r="350" spans="1:30" ht="14.1" customHeight="1" x14ac:dyDescent="0.3">
      <c r="A350" s="1464"/>
      <c r="B350" s="1467" t="s">
        <v>231</v>
      </c>
      <c r="C350" s="1367" t="s">
        <v>232</v>
      </c>
      <c r="D350" s="1367"/>
      <c r="E350" s="1367"/>
      <c r="F350" s="1367"/>
      <c r="G350" s="1370"/>
      <c r="H350" s="1465"/>
      <c r="I350" s="1366" t="s">
        <v>37</v>
      </c>
      <c r="J350" s="1466">
        <v>7</v>
      </c>
      <c r="K350" s="1466">
        <f>K64</f>
        <v>173955.92499999999</v>
      </c>
      <c r="L350" s="1353">
        <f>J350*K350</f>
        <v>1217691.4749999999</v>
      </c>
      <c r="M350" s="1355" t="s">
        <v>233</v>
      </c>
      <c r="N350" s="1354">
        <f>L350+M350</f>
        <v>1217691.4749999999</v>
      </c>
      <c r="R350" s="90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2"/>
    </row>
    <row r="351" spans="1:30" ht="14.1" customHeight="1" x14ac:dyDescent="0.3">
      <c r="A351" s="1464"/>
      <c r="B351" s="1467" t="s">
        <v>234</v>
      </c>
      <c r="C351" s="1367" t="s">
        <v>271</v>
      </c>
      <c r="D351" s="1367"/>
      <c r="E351" s="1367"/>
      <c r="F351" s="1367"/>
      <c r="G351" s="1370"/>
      <c r="H351" s="1465"/>
      <c r="I351" s="1366" t="s">
        <v>38</v>
      </c>
      <c r="J351" s="1466">
        <v>1</v>
      </c>
      <c r="K351" s="1466">
        <f>'UPAH BAHAN'!H85</f>
        <v>20150000</v>
      </c>
      <c r="L351" s="1365" t="s">
        <v>233</v>
      </c>
      <c r="M351" s="1352">
        <f>J351*K351</f>
        <v>20150000</v>
      </c>
      <c r="N351" s="1354">
        <f>L351+M351</f>
        <v>20150000</v>
      </c>
      <c r="R351" s="90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2"/>
    </row>
    <row r="352" spans="1:30" ht="14.1" customHeight="1" x14ac:dyDescent="0.3">
      <c r="A352" s="1464"/>
      <c r="B352" s="1467" t="s">
        <v>251</v>
      </c>
      <c r="C352" s="1367" t="s">
        <v>272</v>
      </c>
      <c r="D352" s="1367"/>
      <c r="E352" s="1367"/>
      <c r="F352" s="1367"/>
      <c r="G352" s="1370"/>
      <c r="H352" s="1465"/>
      <c r="I352" s="1366" t="s">
        <v>250</v>
      </c>
      <c r="J352" s="1466">
        <v>1</v>
      </c>
      <c r="K352" s="1466">
        <v>225000</v>
      </c>
      <c r="L352" s="1365" t="s">
        <v>233</v>
      </c>
      <c r="M352" s="1352">
        <f>J352*K352</f>
        <v>225000</v>
      </c>
      <c r="N352" s="1354">
        <f>L352+M352</f>
        <v>225000</v>
      </c>
      <c r="R352" s="90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2"/>
    </row>
    <row r="353" spans="1:30" ht="14.1" customHeight="1" x14ac:dyDescent="0.3">
      <c r="A353" s="1464"/>
      <c r="B353" s="1467" t="s">
        <v>253</v>
      </c>
      <c r="C353" s="1367" t="s">
        <v>235</v>
      </c>
      <c r="D353" s="1367"/>
      <c r="E353" s="1367"/>
      <c r="F353" s="1367"/>
      <c r="G353" s="1367"/>
      <c r="H353" s="1465"/>
      <c r="I353" s="1366"/>
      <c r="J353" s="1466"/>
      <c r="K353" s="1466"/>
      <c r="L353" s="1353"/>
      <c r="M353" s="1352"/>
      <c r="N353" s="1354"/>
      <c r="R353" s="90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2"/>
    </row>
    <row r="354" spans="1:30" ht="14.1" customHeight="1" x14ac:dyDescent="0.3">
      <c r="A354" s="1464"/>
      <c r="B354" s="1467"/>
      <c r="C354" s="1468" t="s">
        <v>240</v>
      </c>
      <c r="D354" s="1367">
        <v>1</v>
      </c>
      <c r="E354" s="1367" t="s">
        <v>237</v>
      </c>
      <c r="F354" s="1366" t="s">
        <v>238</v>
      </c>
      <c r="G354" s="1370">
        <v>7</v>
      </c>
      <c r="H354" s="1465" t="s">
        <v>37</v>
      </c>
      <c r="I354" s="1366" t="s">
        <v>239</v>
      </c>
      <c r="J354" s="1466">
        <v>7</v>
      </c>
      <c r="K354" s="1466">
        <v>68500</v>
      </c>
      <c r="L354" s="1353">
        <f>J354*K354</f>
        <v>479500</v>
      </c>
      <c r="M354" s="1355" t="s">
        <v>233</v>
      </c>
      <c r="N354" s="1354">
        <f>L354+M354</f>
        <v>479500</v>
      </c>
      <c r="R354" s="90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2"/>
    </row>
    <row r="355" spans="1:30" ht="14.1" customHeight="1" x14ac:dyDescent="0.3">
      <c r="A355" s="1464"/>
      <c r="B355" s="1467"/>
      <c r="C355" s="1468" t="s">
        <v>243</v>
      </c>
      <c r="D355" s="1367">
        <v>1</v>
      </c>
      <c r="E355" s="1367" t="s">
        <v>237</v>
      </c>
      <c r="F355" s="1366" t="s">
        <v>238</v>
      </c>
      <c r="G355" s="1370">
        <v>7</v>
      </c>
      <c r="H355" s="1465" t="s">
        <v>37</v>
      </c>
      <c r="I355" s="1366" t="s">
        <v>239</v>
      </c>
      <c r="J355" s="1466">
        <v>7</v>
      </c>
      <c r="K355" s="1466">
        <v>52000</v>
      </c>
      <c r="L355" s="1353">
        <f>J355*K355</f>
        <v>364000</v>
      </c>
      <c r="M355" s="1355" t="s">
        <v>233</v>
      </c>
      <c r="N355" s="1354">
        <f>L355+M355</f>
        <v>364000</v>
      </c>
      <c r="R355" s="90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2"/>
    </row>
    <row r="356" spans="1:30" ht="14.1" customHeight="1" x14ac:dyDescent="0.3">
      <c r="A356" s="1469"/>
      <c r="B356" s="1467"/>
      <c r="C356" s="1468" t="s">
        <v>244</v>
      </c>
      <c r="D356" s="1367">
        <v>2</v>
      </c>
      <c r="E356" s="1367" t="s">
        <v>237</v>
      </c>
      <c r="F356" s="1366" t="s">
        <v>238</v>
      </c>
      <c r="G356" s="1370">
        <v>7</v>
      </c>
      <c r="H356" s="1465" t="s">
        <v>37</v>
      </c>
      <c r="I356" s="1366" t="s">
        <v>239</v>
      </c>
      <c r="J356" s="1466">
        <v>14</v>
      </c>
      <c r="K356" s="1466">
        <v>36500</v>
      </c>
      <c r="L356" s="1353">
        <f>J356*K356</f>
        <v>511000</v>
      </c>
      <c r="M356" s="1355" t="s">
        <v>233</v>
      </c>
      <c r="N356" s="1354">
        <f>L356+M356</f>
        <v>511000</v>
      </c>
      <c r="R356" s="90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2"/>
    </row>
    <row r="357" spans="1:30" ht="14.1" customHeight="1" x14ac:dyDescent="0.3">
      <c r="A357" s="1469"/>
      <c r="B357" s="1367"/>
      <c r="C357" s="1367"/>
      <c r="D357" s="1367"/>
      <c r="E357" s="1367"/>
      <c r="F357" s="1367"/>
      <c r="G357" s="1367"/>
      <c r="H357" s="1465"/>
      <c r="I357" s="1356" t="s">
        <v>245</v>
      </c>
      <c r="J357" s="1356"/>
      <c r="K357" s="1364"/>
      <c r="L357" s="1357">
        <f>SUM(L350:L356)</f>
        <v>2572191.4749999996</v>
      </c>
      <c r="M357" s="1357">
        <f>SUM(M350:M356)</f>
        <v>20375000</v>
      </c>
      <c r="N357" s="1358">
        <f>SUM(N350:N356)</f>
        <v>22947191.475000001</v>
      </c>
      <c r="R357" s="90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2"/>
    </row>
    <row r="358" spans="1:30" ht="14.1" customHeight="1" x14ac:dyDescent="0.3">
      <c r="A358" s="1469"/>
      <c r="B358" s="1367"/>
      <c r="C358" s="1367"/>
      <c r="D358" s="1367"/>
      <c r="E358" s="1367"/>
      <c r="F358" s="1367"/>
      <c r="G358" s="1367"/>
      <c r="H358" s="1465"/>
      <c r="I358" s="1470" t="s">
        <v>512</v>
      </c>
      <c r="J358" s="1368"/>
      <c r="K358" s="1369"/>
      <c r="L358" s="1466"/>
      <c r="M358" s="1352"/>
      <c r="N358" s="1354">
        <f>N357*15%</f>
        <v>3442078.7212499999</v>
      </c>
      <c r="R358" s="90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2"/>
    </row>
    <row r="359" spans="1:30" ht="14.1" customHeight="1" x14ac:dyDescent="0.3">
      <c r="A359" s="1469"/>
      <c r="B359" s="1367"/>
      <c r="C359" s="1367"/>
      <c r="D359" s="1367"/>
      <c r="E359" s="1367"/>
      <c r="F359" s="1367"/>
      <c r="G359" s="1367"/>
      <c r="H359" s="1465"/>
      <c r="I359" s="1359" t="s">
        <v>247</v>
      </c>
      <c r="J359" s="1360"/>
      <c r="K359" s="1361"/>
      <c r="L359" s="1362"/>
      <c r="M359" s="1362"/>
      <c r="N359" s="1363">
        <f>N357+N358</f>
        <v>26389270.196250003</v>
      </c>
      <c r="R359" s="90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2"/>
    </row>
    <row r="360" spans="1:30" ht="14.1" customHeight="1" thickBot="1" x14ac:dyDescent="0.35">
      <c r="A360" s="1471"/>
      <c r="B360" s="1472"/>
      <c r="C360" s="1472"/>
      <c r="D360" s="1472"/>
      <c r="E360" s="1472"/>
      <c r="F360" s="1472"/>
      <c r="G360" s="1472"/>
      <c r="H360" s="1473"/>
      <c r="I360" s="1474"/>
      <c r="J360" s="1474"/>
      <c r="K360" s="1474"/>
      <c r="L360" s="1475"/>
      <c r="M360" s="1476"/>
      <c r="N360" s="1363"/>
      <c r="R360" s="90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2"/>
    </row>
    <row r="361" spans="1:30" ht="14.1" customHeight="1" x14ac:dyDescent="0.3">
      <c r="A361" s="119"/>
      <c r="B361" s="120"/>
      <c r="C361" s="120"/>
      <c r="D361" s="120"/>
      <c r="E361" s="120"/>
      <c r="F361" s="120"/>
      <c r="G361" s="120"/>
      <c r="H361" s="120"/>
      <c r="I361" s="120"/>
      <c r="J361" s="121"/>
      <c r="K361" s="121"/>
      <c r="L361" s="121"/>
      <c r="M361" s="121"/>
      <c r="N361" s="121"/>
      <c r="R361" s="90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2"/>
    </row>
    <row r="362" spans="1:30" ht="14.1" customHeight="1" thickBot="1" x14ac:dyDescent="0.35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3" t="s">
        <v>273</v>
      </c>
      <c r="R362" s="90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2"/>
    </row>
    <row r="363" spans="1:30" ht="14.1" customHeight="1" x14ac:dyDescent="0.3">
      <c r="A363" s="1589" t="s">
        <v>9</v>
      </c>
      <c r="B363" s="1592" t="s">
        <v>10</v>
      </c>
      <c r="C363" s="1592"/>
      <c r="D363" s="1592"/>
      <c r="E363" s="1592"/>
      <c r="F363" s="1592"/>
      <c r="G363" s="1592"/>
      <c r="H363" s="1593"/>
      <c r="I363" s="1543" t="s">
        <v>210</v>
      </c>
      <c r="J363" s="1543" t="s">
        <v>211</v>
      </c>
      <c r="K363" s="73" t="s">
        <v>212</v>
      </c>
      <c r="L363" s="1598" t="s">
        <v>12</v>
      </c>
      <c r="M363" s="1599"/>
      <c r="N363" s="1600"/>
      <c r="R363" s="90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2"/>
    </row>
    <row r="364" spans="1:30" ht="14.1" customHeight="1" x14ac:dyDescent="0.3">
      <c r="A364" s="1590"/>
      <c r="B364" s="1594"/>
      <c r="C364" s="1594"/>
      <c r="D364" s="1594"/>
      <c r="E364" s="1594"/>
      <c r="F364" s="1594"/>
      <c r="G364" s="1594"/>
      <c r="H364" s="1595"/>
      <c r="I364" s="1544"/>
      <c r="J364" s="1544"/>
      <c r="K364" s="75" t="s">
        <v>11</v>
      </c>
      <c r="L364" s="75" t="s">
        <v>217</v>
      </c>
      <c r="M364" s="75" t="s">
        <v>218</v>
      </c>
      <c r="N364" s="76" t="s">
        <v>219</v>
      </c>
      <c r="R364" s="90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2"/>
    </row>
    <row r="365" spans="1:30" ht="14.1" customHeight="1" x14ac:dyDescent="0.3">
      <c r="A365" s="1591"/>
      <c r="B365" s="1596"/>
      <c r="C365" s="1596"/>
      <c r="D365" s="1596"/>
      <c r="E365" s="1596"/>
      <c r="F365" s="1596"/>
      <c r="G365" s="1596"/>
      <c r="H365" s="1597"/>
      <c r="I365" s="1545"/>
      <c r="J365" s="1545"/>
      <c r="K365" s="81" t="s">
        <v>228</v>
      </c>
      <c r="L365" s="81" t="s">
        <v>228</v>
      </c>
      <c r="M365" s="81" t="s">
        <v>228</v>
      </c>
      <c r="N365" s="82" t="s">
        <v>228</v>
      </c>
      <c r="R365" s="90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2"/>
    </row>
    <row r="366" spans="1:30" ht="14.1" customHeight="1" x14ac:dyDescent="0.3">
      <c r="A366" s="86"/>
      <c r="B366" s="12"/>
      <c r="C366" s="12"/>
      <c r="D366" s="12"/>
      <c r="E366" s="12"/>
      <c r="F366" s="12"/>
      <c r="G366" s="12"/>
      <c r="H366" s="75"/>
      <c r="I366" s="12"/>
      <c r="J366" s="87"/>
      <c r="K366" s="75"/>
      <c r="L366" s="75"/>
      <c r="M366" s="75"/>
      <c r="N366" s="88"/>
      <c r="R366" s="90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2"/>
    </row>
    <row r="367" spans="1:30" ht="14.1" customHeight="1" x14ac:dyDescent="0.3">
      <c r="A367" s="130"/>
      <c r="B367" s="131" t="s">
        <v>274</v>
      </c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7"/>
      <c r="O367" s="525"/>
      <c r="P367" s="132"/>
      <c r="Q367" s="133"/>
      <c r="R367" s="133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5"/>
    </row>
    <row r="368" spans="1:30" ht="14.1" customHeight="1" x14ac:dyDescent="0.3">
      <c r="A368" s="98"/>
      <c r="B368" s="1"/>
      <c r="C368" s="1"/>
      <c r="D368" s="1"/>
      <c r="E368" s="1"/>
      <c r="F368" s="1"/>
      <c r="G368" s="1"/>
      <c r="H368" s="7"/>
      <c r="I368" s="1"/>
      <c r="J368" s="6"/>
      <c r="K368" s="7"/>
      <c r="L368" s="1"/>
      <c r="M368" s="6"/>
      <c r="N368" s="101"/>
      <c r="O368" s="525"/>
      <c r="P368" s="136"/>
      <c r="Q368" s="134"/>
      <c r="R368" s="134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8"/>
    </row>
    <row r="369" spans="1:30" ht="14.1" customHeight="1" thickBot="1" x14ac:dyDescent="0.35">
      <c r="A369" s="93">
        <v>1</v>
      </c>
      <c r="B369" s="95" t="s">
        <v>275</v>
      </c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7"/>
      <c r="O369" s="525"/>
      <c r="P369" s="139" t="str">
        <f>B369</f>
        <v>1 m' Pembuatan Bouwplank</v>
      </c>
      <c r="Q369" s="140"/>
      <c r="R369" s="133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8"/>
    </row>
    <row r="370" spans="1:30" ht="14.1" customHeight="1" x14ac:dyDescent="0.3">
      <c r="A370" s="98"/>
      <c r="B370" s="106" t="s">
        <v>233</v>
      </c>
      <c r="C370" s="1" t="s">
        <v>276</v>
      </c>
      <c r="D370" s="1"/>
      <c r="E370" s="1"/>
      <c r="F370" s="1"/>
      <c r="G370" s="1"/>
      <c r="H370" s="7"/>
      <c r="I370" s="141" t="s">
        <v>148</v>
      </c>
      <c r="J370" s="6">
        <v>0.01</v>
      </c>
      <c r="K370" s="142">
        <f>'UPAH BAHAN'!$H$54</f>
        <v>1800000</v>
      </c>
      <c r="L370" s="1"/>
      <c r="M370" s="99">
        <f>J370*K370</f>
        <v>18000</v>
      </c>
      <c r="N370" s="101">
        <f>L370+M370</f>
        <v>18000</v>
      </c>
      <c r="O370" s="525"/>
      <c r="P370" s="143" t="e">
        <f>[34]RAB!#REF!</f>
        <v>#REF!</v>
      </c>
      <c r="Q370" s="144" t="e">
        <f>[34]RAB!#REF!</f>
        <v>#REF!</v>
      </c>
      <c r="R370" s="145"/>
      <c r="S370" s="146"/>
      <c r="T370" s="146"/>
      <c r="U370" s="146"/>
      <c r="V370" s="146"/>
      <c r="W370" s="146"/>
      <c r="X370" s="146"/>
      <c r="Y370" s="146"/>
      <c r="Z370" s="146"/>
      <c r="AA370" s="146" t="e">
        <f>P370*J370</f>
        <v>#REF!</v>
      </c>
      <c r="AB370" s="146"/>
      <c r="AC370" s="146"/>
      <c r="AD370" s="147"/>
    </row>
    <row r="371" spans="1:30" ht="14.1" customHeight="1" x14ac:dyDescent="0.3">
      <c r="A371" s="98"/>
      <c r="B371" s="106" t="s">
        <v>233</v>
      </c>
      <c r="C371" s="1" t="s">
        <v>277</v>
      </c>
      <c r="D371" s="1"/>
      <c r="E371" s="1"/>
      <c r="F371" s="1"/>
      <c r="G371" s="1"/>
      <c r="H371" s="7"/>
      <c r="I371" s="106" t="s">
        <v>28</v>
      </c>
      <c r="J371" s="6">
        <v>0.03</v>
      </c>
      <c r="K371" s="142">
        <f>'UPAH BAHAN'!$H$50</f>
        <v>12100</v>
      </c>
      <c r="L371" s="1"/>
      <c r="M371" s="99">
        <f>J371*K371</f>
        <v>363</v>
      </c>
      <c r="N371" s="101">
        <f>L371+M371</f>
        <v>363</v>
      </c>
      <c r="O371" s="525"/>
      <c r="P371" s="132" t="e">
        <f>P370</f>
        <v>#REF!</v>
      </c>
      <c r="Q371" s="140" t="e">
        <f>Q370</f>
        <v>#REF!</v>
      </c>
      <c r="R371" s="133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8"/>
    </row>
    <row r="372" spans="1:30" ht="14.1" customHeight="1" thickBot="1" x14ac:dyDescent="0.35">
      <c r="A372" s="98"/>
      <c r="B372" s="106" t="s">
        <v>233</v>
      </c>
      <c r="C372" s="1" t="s">
        <v>278</v>
      </c>
      <c r="D372" s="1"/>
      <c r="E372" s="1"/>
      <c r="F372" s="1"/>
      <c r="G372" s="1"/>
      <c r="H372" s="7"/>
      <c r="I372" s="106" t="s">
        <v>250</v>
      </c>
      <c r="J372" s="6">
        <v>1</v>
      </c>
      <c r="K372" s="142">
        <v>500</v>
      </c>
      <c r="L372" s="100">
        <f>J372*K372</f>
        <v>500</v>
      </c>
      <c r="M372" s="148" t="s">
        <v>233</v>
      </c>
      <c r="N372" s="101">
        <f>L372+M372</f>
        <v>500</v>
      </c>
      <c r="O372" s="525"/>
      <c r="P372" s="132" t="e">
        <f>P371</f>
        <v>#REF!</v>
      </c>
      <c r="Q372" s="140" t="e">
        <f>Q371</f>
        <v>#REF!</v>
      </c>
      <c r="R372" s="133"/>
      <c r="S372" s="137"/>
      <c r="T372" s="137"/>
      <c r="U372" s="137"/>
      <c r="V372" s="137"/>
      <c r="W372" s="149"/>
      <c r="X372" s="149"/>
      <c r="Y372" s="137"/>
      <c r="Z372" s="137"/>
      <c r="AA372" s="137"/>
      <c r="AB372" s="137"/>
      <c r="AC372" s="137"/>
      <c r="AD372" s="138"/>
    </row>
    <row r="373" spans="1:30" ht="14.1" customHeight="1" thickBot="1" x14ac:dyDescent="0.35">
      <c r="A373" s="98"/>
      <c r="B373" s="1"/>
      <c r="C373" s="1"/>
      <c r="D373" s="1"/>
      <c r="E373" s="1"/>
      <c r="F373" s="1"/>
      <c r="G373" s="1"/>
      <c r="H373" s="7"/>
      <c r="I373" s="107"/>
      <c r="J373" s="107"/>
      <c r="K373" s="150" t="s">
        <v>279</v>
      </c>
      <c r="L373" s="107">
        <f>SUM(L370:L372)</f>
        <v>500</v>
      </c>
      <c r="M373" s="108">
        <f>SUM(M370:M372)</f>
        <v>18363</v>
      </c>
      <c r="N373" s="109">
        <f>SUM(N370:N372)</f>
        <v>18863</v>
      </c>
      <c r="O373" s="525"/>
      <c r="P373" s="151"/>
      <c r="Q373" s="152"/>
      <c r="R373" s="152">
        <f>SUM(R367:R372)</f>
        <v>0</v>
      </c>
      <c r="S373" s="152">
        <f t="shared" ref="S373:AC373" si="93">SUM(S367:S372)</f>
        <v>0</v>
      </c>
      <c r="T373" s="152">
        <f t="shared" si="93"/>
        <v>0</v>
      </c>
      <c r="U373" s="152">
        <f t="shared" si="93"/>
        <v>0</v>
      </c>
      <c r="V373" s="152">
        <f t="shared" si="93"/>
        <v>0</v>
      </c>
      <c r="W373" s="152">
        <f t="shared" si="93"/>
        <v>0</v>
      </c>
      <c r="X373" s="152">
        <f t="shared" si="93"/>
        <v>0</v>
      </c>
      <c r="Y373" s="152">
        <f t="shared" si="93"/>
        <v>0</v>
      </c>
      <c r="Z373" s="152">
        <f t="shared" si="93"/>
        <v>0</v>
      </c>
      <c r="AA373" s="152" t="e">
        <f t="shared" si="93"/>
        <v>#REF!</v>
      </c>
      <c r="AB373" s="152">
        <f t="shared" si="93"/>
        <v>0</v>
      </c>
      <c r="AC373" s="152">
        <f t="shared" si="93"/>
        <v>0</v>
      </c>
      <c r="AD373" s="153"/>
    </row>
    <row r="374" spans="1:30" ht="14.1" customHeight="1" x14ac:dyDescent="0.3">
      <c r="A374" s="98"/>
      <c r="B374" s="1"/>
      <c r="C374" s="1"/>
      <c r="D374" s="1"/>
      <c r="E374" s="1"/>
      <c r="F374" s="1"/>
      <c r="G374" s="1"/>
      <c r="H374" s="7"/>
      <c r="I374" s="100"/>
      <c r="J374" s="100"/>
      <c r="K374" s="289" t="s">
        <v>512</v>
      </c>
      <c r="L374" s="100"/>
      <c r="M374" s="99"/>
      <c r="N374" s="101">
        <f>N373*15%</f>
        <v>2829.45</v>
      </c>
      <c r="O374" s="52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</row>
    <row r="375" spans="1:30" ht="14.1" customHeight="1" thickBot="1" x14ac:dyDescent="0.35">
      <c r="A375" s="98"/>
      <c r="B375" s="1"/>
      <c r="C375" s="1"/>
      <c r="D375" s="1"/>
      <c r="E375" s="1"/>
      <c r="F375" s="1"/>
      <c r="G375" s="1"/>
      <c r="H375" s="7"/>
      <c r="I375" s="100"/>
      <c r="J375" s="100"/>
      <c r="K375" s="154" t="s">
        <v>247</v>
      </c>
      <c r="L375" s="100"/>
      <c r="M375" s="99"/>
      <c r="N375" s="101">
        <f>N373+N374</f>
        <v>21692.45</v>
      </c>
      <c r="O375" s="52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</row>
    <row r="376" spans="1:30" ht="14.1" customHeight="1" thickBot="1" x14ac:dyDescent="0.35">
      <c r="A376" s="93">
        <f>A369+1</f>
        <v>2</v>
      </c>
      <c r="B376" s="233" t="s">
        <v>466</v>
      </c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7"/>
      <c r="O376" s="525"/>
      <c r="P376" s="156" t="str">
        <f>B376</f>
        <v>1 m³ Galian tanah biasa sedalam &gt; 0 s.d 1 m</v>
      </c>
      <c r="Q376" s="157"/>
      <c r="R376" s="158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60"/>
    </row>
    <row r="377" spans="1:30" ht="14.1" customHeight="1" x14ac:dyDescent="0.3">
      <c r="A377" s="98"/>
      <c r="B377" s="106" t="s">
        <v>233</v>
      </c>
      <c r="C377" s="1" t="s">
        <v>128</v>
      </c>
      <c r="D377" s="1"/>
      <c r="E377" s="1"/>
      <c r="F377" s="1"/>
      <c r="G377" s="1"/>
      <c r="H377" s="7"/>
      <c r="I377" s="234" t="s">
        <v>467</v>
      </c>
      <c r="J377" s="235">
        <v>0.13500000000000001</v>
      </c>
      <c r="K377" s="142">
        <f>'UPAH BAHAN'!$H$19</f>
        <v>105000</v>
      </c>
      <c r="L377" s="100">
        <f>J377*K377</f>
        <v>14175.000000000002</v>
      </c>
      <c r="M377" s="148" t="s">
        <v>233</v>
      </c>
      <c r="N377" s="101">
        <f>L377+M377</f>
        <v>14175.000000000002</v>
      </c>
      <c r="O377" s="525"/>
      <c r="P377" s="89"/>
      <c r="Q377" s="162"/>
      <c r="R377" s="90">
        <f>P377*J377</f>
        <v>0</v>
      </c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92"/>
    </row>
    <row r="378" spans="1:30" ht="14.1" customHeight="1" x14ac:dyDescent="0.3">
      <c r="A378" s="98"/>
      <c r="B378" s="106" t="s">
        <v>233</v>
      </c>
      <c r="C378" s="1" t="s">
        <v>134</v>
      </c>
      <c r="D378" s="1"/>
      <c r="E378" s="1"/>
      <c r="F378" s="1"/>
      <c r="G378" s="1"/>
      <c r="H378" s="7"/>
      <c r="I378" s="234" t="s">
        <v>467</v>
      </c>
      <c r="J378" s="235">
        <v>1.35E-2</v>
      </c>
      <c r="K378" s="142">
        <f>'UPAH BAHAN'!$H$24</f>
        <v>165000</v>
      </c>
      <c r="L378" s="100">
        <f>J378*K378</f>
        <v>2227.5</v>
      </c>
      <c r="M378" s="148" t="s">
        <v>233</v>
      </c>
      <c r="N378" s="101">
        <f>L378+M378</f>
        <v>2227.5</v>
      </c>
      <c r="O378" s="525"/>
      <c r="P378" s="132"/>
      <c r="Q378" s="140"/>
      <c r="R378" s="133"/>
      <c r="S378" s="137"/>
      <c r="T378" s="137"/>
      <c r="U378" s="137">
        <f>P378*J378</f>
        <v>0</v>
      </c>
      <c r="V378" s="137"/>
      <c r="W378" s="137"/>
      <c r="X378" s="137"/>
      <c r="Y378" s="137"/>
      <c r="Z378" s="137"/>
      <c r="AA378" s="137"/>
      <c r="AB378" s="137"/>
      <c r="AC378" s="137"/>
      <c r="AD378" s="138"/>
    </row>
    <row r="379" spans="1:30" ht="14.1" customHeight="1" thickBot="1" x14ac:dyDescent="0.35">
      <c r="A379" s="98"/>
      <c r="B379" s="106" t="s">
        <v>233</v>
      </c>
      <c r="C379" s="249" t="s">
        <v>471</v>
      </c>
      <c r="D379" s="1"/>
      <c r="E379" s="1"/>
      <c r="F379" s="1"/>
      <c r="G379" s="1"/>
      <c r="H379" s="7"/>
      <c r="I379" s="234" t="s">
        <v>472</v>
      </c>
      <c r="J379" s="161">
        <v>4.4999999999999998E-2</v>
      </c>
      <c r="K379" s="142">
        <v>1000</v>
      </c>
      <c r="L379" s="100">
        <f>J379*K379</f>
        <v>45</v>
      </c>
      <c r="M379" s="148" t="s">
        <v>233</v>
      </c>
      <c r="N379" s="101">
        <f>L379+M379</f>
        <v>45</v>
      </c>
      <c r="O379" s="525"/>
      <c r="P379" s="164"/>
      <c r="Q379" s="165"/>
      <c r="R379" s="166"/>
      <c r="S379" s="167"/>
      <c r="T379" s="167"/>
      <c r="U379" s="167"/>
      <c r="V379" s="167"/>
      <c r="W379" s="168"/>
      <c r="X379" s="168"/>
      <c r="Y379" s="167"/>
      <c r="Z379" s="167"/>
      <c r="AA379" s="167"/>
      <c r="AB379" s="167"/>
      <c r="AC379" s="167"/>
      <c r="AD379" s="169"/>
    </row>
    <row r="380" spans="1:30" ht="14.1" customHeight="1" thickBot="1" x14ac:dyDescent="0.35">
      <c r="A380" s="98"/>
      <c r="B380" s="1"/>
      <c r="C380" s="1"/>
      <c r="D380" s="1"/>
      <c r="E380" s="1"/>
      <c r="F380" s="1"/>
      <c r="G380" s="1"/>
      <c r="H380" s="7"/>
      <c r="I380" s="107"/>
      <c r="J380" s="107"/>
      <c r="K380" s="150" t="s">
        <v>279</v>
      </c>
      <c r="L380" s="107">
        <f>SUM(L377:L379)</f>
        <v>16447.5</v>
      </c>
      <c r="M380" s="170" t="s">
        <v>233</v>
      </c>
      <c r="N380" s="109">
        <f>SUM(N377:N379)</f>
        <v>16447.5</v>
      </c>
      <c r="O380" s="525"/>
      <c r="P380" s="151"/>
      <c r="Q380" s="152"/>
      <c r="R380" s="152">
        <f>SUM(R377:R379)</f>
        <v>0</v>
      </c>
      <c r="S380" s="152">
        <f t="shared" ref="S380:AC380" si="94">SUM(S377:S379)</f>
        <v>0</v>
      </c>
      <c r="T380" s="152">
        <f t="shared" si="94"/>
        <v>0</v>
      </c>
      <c r="U380" s="152">
        <f t="shared" si="94"/>
        <v>0</v>
      </c>
      <c r="V380" s="152">
        <f t="shared" si="94"/>
        <v>0</v>
      </c>
      <c r="W380" s="152">
        <f t="shared" si="94"/>
        <v>0</v>
      </c>
      <c r="X380" s="152">
        <f t="shared" si="94"/>
        <v>0</v>
      </c>
      <c r="Y380" s="152">
        <f t="shared" si="94"/>
        <v>0</v>
      </c>
      <c r="Z380" s="152">
        <f t="shared" si="94"/>
        <v>0</v>
      </c>
      <c r="AA380" s="152">
        <f t="shared" si="94"/>
        <v>0</v>
      </c>
      <c r="AB380" s="152">
        <f t="shared" si="94"/>
        <v>0</v>
      </c>
      <c r="AC380" s="152">
        <f t="shared" si="94"/>
        <v>0</v>
      </c>
      <c r="AD380" s="153"/>
    </row>
    <row r="381" spans="1:30" ht="14.1" customHeight="1" x14ac:dyDescent="0.3">
      <c r="A381" s="98"/>
      <c r="B381" s="1"/>
      <c r="C381" s="1"/>
      <c r="D381" s="1"/>
      <c r="E381" s="1"/>
      <c r="F381" s="1"/>
      <c r="G381" s="1"/>
      <c r="H381" s="7"/>
      <c r="I381" s="100"/>
      <c r="J381" s="100"/>
      <c r="K381" s="289" t="s">
        <v>512</v>
      </c>
      <c r="L381" s="100"/>
      <c r="M381" s="99"/>
      <c r="N381" s="101">
        <f>N380*15%</f>
        <v>2467.125</v>
      </c>
      <c r="O381" s="52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</row>
    <row r="382" spans="1:30" ht="14.1" customHeight="1" thickBot="1" x14ac:dyDescent="0.35">
      <c r="A382" s="98"/>
      <c r="B382" s="1"/>
      <c r="C382" s="1"/>
      <c r="D382" s="1"/>
      <c r="E382" s="1"/>
      <c r="F382" s="1"/>
      <c r="G382" s="1"/>
      <c r="H382" s="7"/>
      <c r="I382" s="100"/>
      <c r="J382" s="100"/>
      <c r="K382" s="154" t="s">
        <v>247</v>
      </c>
      <c r="L382" s="100"/>
      <c r="M382" s="99"/>
      <c r="N382" s="101">
        <f>N380+N381</f>
        <v>18914.625</v>
      </c>
      <c r="O382" s="52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</row>
    <row r="383" spans="1:30" ht="14.1" customHeight="1" thickBot="1" x14ac:dyDescent="0.35">
      <c r="A383" s="93">
        <f>A376+1</f>
        <v>3</v>
      </c>
      <c r="B383" s="233" t="s">
        <v>468</v>
      </c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7"/>
      <c r="O383" s="525"/>
      <c r="P383" s="156" t="str">
        <f>B404</f>
        <v>1 m³ Galian tanah keras</v>
      </c>
      <c r="Q383" s="157"/>
      <c r="R383" s="158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60"/>
    </row>
    <row r="384" spans="1:30" ht="14.1" customHeight="1" x14ac:dyDescent="0.3">
      <c r="A384" s="98"/>
      <c r="B384" s="106" t="s">
        <v>233</v>
      </c>
      <c r="C384" s="1" t="s">
        <v>128</v>
      </c>
      <c r="D384" s="1"/>
      <c r="E384" s="1"/>
      <c r="F384" s="1"/>
      <c r="G384" s="1"/>
      <c r="H384" s="7"/>
      <c r="I384" s="234" t="s">
        <v>467</v>
      </c>
      <c r="J384" s="235">
        <v>0.188</v>
      </c>
      <c r="K384" s="142">
        <f>'UPAH BAHAN'!$H$19</f>
        <v>105000</v>
      </c>
      <c r="L384" s="100">
        <f>J384*K384</f>
        <v>19740</v>
      </c>
      <c r="M384" s="148" t="s">
        <v>233</v>
      </c>
      <c r="N384" s="101">
        <f>L384+M384</f>
        <v>19740</v>
      </c>
      <c r="O384" s="525"/>
      <c r="P384" s="89"/>
      <c r="Q384" s="162"/>
      <c r="R384" s="90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92"/>
    </row>
    <row r="385" spans="1:30" ht="14.1" customHeight="1" x14ac:dyDescent="0.3">
      <c r="A385" s="98"/>
      <c r="B385" s="106" t="s">
        <v>233</v>
      </c>
      <c r="C385" s="1" t="s">
        <v>134</v>
      </c>
      <c r="D385" s="1"/>
      <c r="E385" s="1"/>
      <c r="F385" s="1"/>
      <c r="G385" s="1"/>
      <c r="H385" s="7"/>
      <c r="I385" s="234" t="s">
        <v>467</v>
      </c>
      <c r="J385" s="235">
        <v>1.8800000000000001E-2</v>
      </c>
      <c r="K385" s="142">
        <f>'UPAH BAHAN'!$H$24</f>
        <v>165000</v>
      </c>
      <c r="L385" s="100">
        <f>J385*K385</f>
        <v>3102</v>
      </c>
      <c r="M385" s="148" t="s">
        <v>233</v>
      </c>
      <c r="N385" s="101">
        <f>L385+M385</f>
        <v>3102</v>
      </c>
      <c r="O385" s="525"/>
      <c r="P385" s="132"/>
      <c r="Q385" s="140"/>
      <c r="R385" s="133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8"/>
    </row>
    <row r="386" spans="1:30" ht="14.1" customHeight="1" thickBot="1" x14ac:dyDescent="0.35">
      <c r="A386" s="98"/>
      <c r="B386" s="106" t="s">
        <v>233</v>
      </c>
      <c r="C386" s="1" t="str">
        <f>C379</f>
        <v>Alat bantu (Jack Hammer)</v>
      </c>
      <c r="D386" s="1"/>
      <c r="E386" s="1"/>
      <c r="F386" s="1"/>
      <c r="G386" s="1"/>
      <c r="H386" s="7"/>
      <c r="I386" s="106" t="str">
        <f>I379</f>
        <v>Hari</v>
      </c>
      <c r="J386" s="161">
        <v>4.7E-2</v>
      </c>
      <c r="K386" s="142">
        <f>K379</f>
        <v>1000</v>
      </c>
      <c r="L386" s="100">
        <f>J386*K386</f>
        <v>47</v>
      </c>
      <c r="M386" s="148" t="s">
        <v>233</v>
      </c>
      <c r="N386" s="101">
        <f>L386+M386</f>
        <v>47</v>
      </c>
      <c r="O386" s="525"/>
      <c r="P386" s="164"/>
      <c r="Q386" s="165"/>
      <c r="R386" s="166"/>
      <c r="S386" s="167"/>
      <c r="T386" s="167"/>
      <c r="U386" s="167"/>
      <c r="V386" s="167"/>
      <c r="W386" s="168"/>
      <c r="X386" s="168"/>
      <c r="Y386" s="167"/>
      <c r="Z386" s="167"/>
      <c r="AA386" s="167"/>
      <c r="AB386" s="167"/>
      <c r="AC386" s="167"/>
      <c r="AD386" s="169"/>
    </row>
    <row r="387" spans="1:30" ht="14.1" customHeight="1" thickBot="1" x14ac:dyDescent="0.35">
      <c r="A387" s="98"/>
      <c r="B387" s="1"/>
      <c r="C387" s="1"/>
      <c r="D387" s="1"/>
      <c r="E387" s="1"/>
      <c r="F387" s="1"/>
      <c r="G387" s="1"/>
      <c r="H387" s="7"/>
      <c r="I387" s="107"/>
      <c r="J387" s="107"/>
      <c r="K387" s="150" t="s">
        <v>279</v>
      </c>
      <c r="L387" s="107">
        <f>SUM(L384:L386)</f>
        <v>22889</v>
      </c>
      <c r="M387" s="170" t="s">
        <v>233</v>
      </c>
      <c r="N387" s="109">
        <f>SUM(N384:N386)</f>
        <v>22889</v>
      </c>
      <c r="O387" s="525"/>
      <c r="P387" s="151"/>
      <c r="Q387" s="152"/>
      <c r="R387" s="152">
        <f t="shared" ref="R387:AC387" si="95">SUM(R384:R386)</f>
        <v>0</v>
      </c>
      <c r="S387" s="152">
        <f t="shared" si="95"/>
        <v>0</v>
      </c>
      <c r="T387" s="152">
        <f t="shared" si="95"/>
        <v>0</v>
      </c>
      <c r="U387" s="152">
        <f t="shared" si="95"/>
        <v>0</v>
      </c>
      <c r="V387" s="152">
        <f t="shared" si="95"/>
        <v>0</v>
      </c>
      <c r="W387" s="152">
        <f t="shared" si="95"/>
        <v>0</v>
      </c>
      <c r="X387" s="152">
        <f t="shared" si="95"/>
        <v>0</v>
      </c>
      <c r="Y387" s="152">
        <f t="shared" si="95"/>
        <v>0</v>
      </c>
      <c r="Z387" s="152">
        <f t="shared" si="95"/>
        <v>0</v>
      </c>
      <c r="AA387" s="152">
        <f t="shared" si="95"/>
        <v>0</v>
      </c>
      <c r="AB387" s="152">
        <f t="shared" si="95"/>
        <v>0</v>
      </c>
      <c r="AC387" s="152">
        <f t="shared" si="95"/>
        <v>0</v>
      </c>
      <c r="AD387" s="153"/>
    </row>
    <row r="388" spans="1:30" ht="14.1" customHeight="1" x14ac:dyDescent="0.3">
      <c r="A388" s="98"/>
      <c r="B388" s="1"/>
      <c r="C388" s="1"/>
      <c r="D388" s="1"/>
      <c r="E388" s="1"/>
      <c r="F388" s="1"/>
      <c r="G388" s="1"/>
      <c r="H388" s="7"/>
      <c r="I388" s="100"/>
      <c r="J388" s="100"/>
      <c r="K388" s="289" t="s">
        <v>512</v>
      </c>
      <c r="L388" s="100"/>
      <c r="M388" s="99"/>
      <c r="N388" s="101">
        <f>N387*15%</f>
        <v>3433.35</v>
      </c>
      <c r="O388" s="52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</row>
    <row r="389" spans="1:30" ht="14.1" customHeight="1" thickBot="1" x14ac:dyDescent="0.35">
      <c r="A389" s="98"/>
      <c r="B389" s="1"/>
      <c r="C389" s="1"/>
      <c r="D389" s="1"/>
      <c r="E389" s="1"/>
      <c r="F389" s="1"/>
      <c r="G389" s="1"/>
      <c r="H389" s="7"/>
      <c r="I389" s="100"/>
      <c r="J389" s="100"/>
      <c r="K389" s="154" t="s">
        <v>247</v>
      </c>
      <c r="L389" s="100"/>
      <c r="M389" s="99"/>
      <c r="N389" s="101">
        <f>N387+N388</f>
        <v>26322.35</v>
      </c>
      <c r="O389" s="52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</row>
    <row r="390" spans="1:30" ht="14.1" customHeight="1" thickBot="1" x14ac:dyDescent="0.35">
      <c r="A390" s="93">
        <f>A383+1</f>
        <v>4</v>
      </c>
      <c r="B390" s="233" t="s">
        <v>469</v>
      </c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7"/>
      <c r="O390" s="525"/>
      <c r="P390" s="156" t="str">
        <f>B411</f>
        <v>1 m³ Galian tanah berbatu, rabat dan aspal</v>
      </c>
      <c r="Q390" s="157"/>
      <c r="R390" s="158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60"/>
    </row>
    <row r="391" spans="1:30" ht="14.1" customHeight="1" x14ac:dyDescent="0.3">
      <c r="A391" s="98"/>
      <c r="B391" s="106" t="s">
        <v>233</v>
      </c>
      <c r="C391" s="1" t="s">
        <v>128</v>
      </c>
      <c r="D391" s="1"/>
      <c r="E391" s="1"/>
      <c r="F391" s="1"/>
      <c r="G391" s="1"/>
      <c r="H391" s="7"/>
      <c r="I391" s="234" t="s">
        <v>467</v>
      </c>
      <c r="J391" s="235">
        <v>0.255</v>
      </c>
      <c r="K391" s="142">
        <f>'UPAH BAHAN'!$H$19</f>
        <v>105000</v>
      </c>
      <c r="L391" s="100">
        <f>J391*K391</f>
        <v>26775</v>
      </c>
      <c r="M391" s="148" t="s">
        <v>233</v>
      </c>
      <c r="N391" s="101">
        <f>L391+M391</f>
        <v>26775</v>
      </c>
      <c r="O391" s="525"/>
      <c r="P391" s="132"/>
      <c r="Q391" s="140"/>
      <c r="R391" s="133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8"/>
    </row>
    <row r="392" spans="1:30" ht="14.1" customHeight="1" x14ac:dyDescent="0.3">
      <c r="A392" s="98"/>
      <c r="B392" s="106" t="s">
        <v>233</v>
      </c>
      <c r="C392" s="1" t="s">
        <v>134</v>
      </c>
      <c r="D392" s="1"/>
      <c r="E392" s="1"/>
      <c r="F392" s="1"/>
      <c r="G392" s="1"/>
      <c r="H392" s="7"/>
      <c r="I392" s="234" t="s">
        <v>467</v>
      </c>
      <c r="J392" s="235">
        <v>2.5000000000000001E-2</v>
      </c>
      <c r="K392" s="142">
        <f>'UPAH BAHAN'!$H$24</f>
        <v>165000</v>
      </c>
      <c r="L392" s="100">
        <f>J392*K392</f>
        <v>4125</v>
      </c>
      <c r="M392" s="148" t="s">
        <v>233</v>
      </c>
      <c r="N392" s="101">
        <f>L392+M392</f>
        <v>4125</v>
      </c>
      <c r="O392" s="525"/>
      <c r="P392" s="132"/>
      <c r="Q392" s="140"/>
      <c r="R392" s="133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8"/>
    </row>
    <row r="393" spans="1:30" ht="14.1" customHeight="1" thickBot="1" x14ac:dyDescent="0.35">
      <c r="A393" s="98"/>
      <c r="B393" s="106" t="s">
        <v>233</v>
      </c>
      <c r="C393" s="1" t="str">
        <f>C386</f>
        <v>Alat bantu (Jack Hammer)</v>
      </c>
      <c r="D393" s="1"/>
      <c r="E393" s="1"/>
      <c r="F393" s="1"/>
      <c r="G393" s="1"/>
      <c r="H393" s="7"/>
      <c r="I393" s="106" t="str">
        <f>I386</f>
        <v>Hari</v>
      </c>
      <c r="J393" s="161">
        <v>2.5000000000000001E-2</v>
      </c>
      <c r="K393" s="142">
        <f>K386</f>
        <v>1000</v>
      </c>
      <c r="L393" s="100">
        <f>J393*K393</f>
        <v>25</v>
      </c>
      <c r="M393" s="148" t="s">
        <v>233</v>
      </c>
      <c r="N393" s="101">
        <f>L393+M393</f>
        <v>25</v>
      </c>
      <c r="O393" s="525"/>
      <c r="P393" s="164"/>
      <c r="Q393" s="165"/>
      <c r="R393" s="166"/>
      <c r="S393" s="167"/>
      <c r="T393" s="167"/>
      <c r="U393" s="167"/>
      <c r="V393" s="167"/>
      <c r="W393" s="168"/>
      <c r="X393" s="168"/>
      <c r="Y393" s="167"/>
      <c r="Z393" s="167"/>
      <c r="AA393" s="167"/>
      <c r="AB393" s="167"/>
      <c r="AC393" s="167"/>
      <c r="AD393" s="169"/>
    </row>
    <row r="394" spans="1:30" ht="14.1" customHeight="1" thickBot="1" x14ac:dyDescent="0.35">
      <c r="A394" s="98"/>
      <c r="B394" s="1"/>
      <c r="C394" s="1"/>
      <c r="D394" s="1"/>
      <c r="E394" s="1"/>
      <c r="F394" s="1"/>
      <c r="G394" s="1"/>
      <c r="H394" s="7"/>
      <c r="I394" s="107"/>
      <c r="J394" s="107"/>
      <c r="K394" s="150" t="s">
        <v>279</v>
      </c>
      <c r="L394" s="107">
        <f>SUM(L391:L393)</f>
        <v>30925</v>
      </c>
      <c r="M394" s="170" t="s">
        <v>233</v>
      </c>
      <c r="N394" s="109">
        <f>SUM(N391:N393)</f>
        <v>30925</v>
      </c>
      <c r="O394" s="525"/>
      <c r="P394" s="151"/>
      <c r="Q394" s="152"/>
      <c r="R394" s="152">
        <f t="shared" ref="R394:AC394" si="96">SUM(R391:R393)</f>
        <v>0</v>
      </c>
      <c r="S394" s="152">
        <f t="shared" si="96"/>
        <v>0</v>
      </c>
      <c r="T394" s="152">
        <f t="shared" si="96"/>
        <v>0</v>
      </c>
      <c r="U394" s="152">
        <f t="shared" si="96"/>
        <v>0</v>
      </c>
      <c r="V394" s="152">
        <f t="shared" si="96"/>
        <v>0</v>
      </c>
      <c r="W394" s="152">
        <f t="shared" si="96"/>
        <v>0</v>
      </c>
      <c r="X394" s="152">
        <f t="shared" si="96"/>
        <v>0</v>
      </c>
      <c r="Y394" s="152">
        <f t="shared" si="96"/>
        <v>0</v>
      </c>
      <c r="Z394" s="152">
        <f t="shared" si="96"/>
        <v>0</v>
      </c>
      <c r="AA394" s="152">
        <f t="shared" si="96"/>
        <v>0</v>
      </c>
      <c r="AB394" s="152">
        <f t="shared" si="96"/>
        <v>0</v>
      </c>
      <c r="AC394" s="152">
        <f t="shared" si="96"/>
        <v>0</v>
      </c>
      <c r="AD394" s="153"/>
    </row>
    <row r="395" spans="1:30" ht="14.1" customHeight="1" x14ac:dyDescent="0.3">
      <c r="A395" s="98"/>
      <c r="B395" s="1"/>
      <c r="C395" s="1"/>
      <c r="D395" s="1"/>
      <c r="E395" s="1"/>
      <c r="F395" s="1"/>
      <c r="G395" s="1"/>
      <c r="H395" s="7"/>
      <c r="I395" s="100"/>
      <c r="J395" s="100"/>
      <c r="K395" s="289" t="s">
        <v>512</v>
      </c>
      <c r="L395" s="100"/>
      <c r="M395" s="99"/>
      <c r="N395" s="101">
        <f>N394*15%</f>
        <v>4638.75</v>
      </c>
      <c r="O395" s="525"/>
    </row>
    <row r="396" spans="1:30" ht="14.1" customHeight="1" thickBot="1" x14ac:dyDescent="0.35">
      <c r="A396" s="98"/>
      <c r="B396" s="1"/>
      <c r="C396" s="1"/>
      <c r="D396" s="1"/>
      <c r="E396" s="1"/>
      <c r="F396" s="1"/>
      <c r="G396" s="1"/>
      <c r="H396" s="7"/>
      <c r="I396" s="100"/>
      <c r="J396" s="100"/>
      <c r="K396" s="154" t="s">
        <v>247</v>
      </c>
      <c r="L396" s="100"/>
      <c r="M396" s="99"/>
      <c r="N396" s="101">
        <f>N394+N395</f>
        <v>35563.75</v>
      </c>
      <c r="O396" s="525"/>
    </row>
    <row r="397" spans="1:30" ht="14.1" customHeight="1" thickBot="1" x14ac:dyDescent="0.35">
      <c r="A397" s="93">
        <f>A390+1</f>
        <v>5</v>
      </c>
      <c r="B397" s="233" t="s">
        <v>470</v>
      </c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7"/>
      <c r="O397" s="525"/>
      <c r="P397" s="156" t="str">
        <f>B418</f>
        <v>1 m³ Urugan pasir dipadatkan</v>
      </c>
      <c r="Q397" s="157"/>
      <c r="R397" s="158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60"/>
    </row>
    <row r="398" spans="1:30" ht="14.1" customHeight="1" x14ac:dyDescent="0.3">
      <c r="A398" s="98"/>
      <c r="B398" s="106" t="s">
        <v>233</v>
      </c>
      <c r="C398" s="1" t="s">
        <v>128</v>
      </c>
      <c r="D398" s="1"/>
      <c r="E398" s="1"/>
      <c r="F398" s="1"/>
      <c r="G398" s="1"/>
      <c r="H398" s="7"/>
      <c r="I398" s="234" t="s">
        <v>467</v>
      </c>
      <c r="J398" s="235">
        <v>0.375</v>
      </c>
      <c r="K398" s="142">
        <f>'UPAH BAHAN'!$H$19</f>
        <v>105000</v>
      </c>
      <c r="L398" s="100">
        <f>J398*K398</f>
        <v>39375</v>
      </c>
      <c r="M398" s="148" t="s">
        <v>233</v>
      </c>
      <c r="N398" s="101">
        <f>L398+M398</f>
        <v>39375</v>
      </c>
      <c r="O398" s="525"/>
      <c r="P398" s="132"/>
      <c r="Q398" s="140"/>
      <c r="R398" s="133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8"/>
    </row>
    <row r="399" spans="1:30" ht="14.1" customHeight="1" x14ac:dyDescent="0.3">
      <c r="A399" s="98"/>
      <c r="B399" s="106" t="s">
        <v>233</v>
      </c>
      <c r="C399" s="1" t="s">
        <v>134</v>
      </c>
      <c r="D399" s="1"/>
      <c r="E399" s="1"/>
      <c r="F399" s="1"/>
      <c r="G399" s="1"/>
      <c r="H399" s="7"/>
      <c r="I399" s="234" t="s">
        <v>467</v>
      </c>
      <c r="J399" s="235">
        <v>3.7499999999999999E-2</v>
      </c>
      <c r="K399" s="142">
        <f>'UPAH BAHAN'!$H$24</f>
        <v>165000</v>
      </c>
      <c r="L399" s="100">
        <f>J399*K399</f>
        <v>6187.5</v>
      </c>
      <c r="M399" s="148" t="s">
        <v>233</v>
      </c>
      <c r="N399" s="101">
        <f>L399+M399</f>
        <v>6187.5</v>
      </c>
      <c r="O399" s="525"/>
      <c r="P399" s="132"/>
      <c r="Q399" s="140"/>
      <c r="R399" s="133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8"/>
    </row>
    <row r="400" spans="1:30" ht="14.1" customHeight="1" x14ac:dyDescent="0.3">
      <c r="A400" s="98"/>
      <c r="B400" s="106" t="s">
        <v>233</v>
      </c>
      <c r="C400" s="1" t="str">
        <f>C393</f>
        <v>Alat bantu (Jack Hammer)</v>
      </c>
      <c r="D400" s="1"/>
      <c r="E400" s="1"/>
      <c r="F400" s="1"/>
      <c r="G400" s="1"/>
      <c r="H400" s="7"/>
      <c r="I400" s="106" t="str">
        <f>I393</f>
        <v>Hari</v>
      </c>
      <c r="J400" s="161">
        <v>3.6999999999999998E-2</v>
      </c>
      <c r="K400" s="142">
        <f>K393</f>
        <v>1000</v>
      </c>
      <c r="L400" s="100">
        <f>J400*K400</f>
        <v>37</v>
      </c>
      <c r="M400" s="148" t="s">
        <v>233</v>
      </c>
      <c r="N400" s="101">
        <f>L400+M400</f>
        <v>37</v>
      </c>
      <c r="O400" s="525"/>
      <c r="P400" s="132"/>
      <c r="Q400" s="140"/>
      <c r="R400" s="133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8"/>
    </row>
    <row r="401" spans="1:30" ht="14.1" customHeight="1" thickBot="1" x14ac:dyDescent="0.35">
      <c r="A401" s="98"/>
      <c r="B401" s="1"/>
      <c r="C401" s="1"/>
      <c r="D401" s="1"/>
      <c r="E401" s="1"/>
      <c r="F401" s="1"/>
      <c r="G401" s="1"/>
      <c r="H401" s="7"/>
      <c r="I401" s="107"/>
      <c r="J401" s="107"/>
      <c r="K401" s="150" t="s">
        <v>279</v>
      </c>
      <c r="L401" s="107">
        <f>SUM(L398:L400)</f>
        <v>45599.5</v>
      </c>
      <c r="M401" s="170" t="s">
        <v>233</v>
      </c>
      <c r="N401" s="109">
        <f>SUM(N398:N400)</f>
        <v>45599.5</v>
      </c>
      <c r="O401" s="525"/>
      <c r="P401" s="164"/>
      <c r="Q401" s="165"/>
      <c r="R401" s="166"/>
      <c r="S401" s="167"/>
      <c r="T401" s="167"/>
      <c r="U401" s="167"/>
      <c r="V401" s="167"/>
      <c r="W401" s="168"/>
      <c r="X401" s="168"/>
      <c r="Y401" s="167"/>
      <c r="Z401" s="167"/>
      <c r="AA401" s="167"/>
      <c r="AB401" s="167"/>
      <c r="AC401" s="167"/>
      <c r="AD401" s="169"/>
    </row>
    <row r="402" spans="1:30" ht="14.1" customHeight="1" thickBot="1" x14ac:dyDescent="0.35">
      <c r="A402" s="98"/>
      <c r="B402" s="1"/>
      <c r="C402" s="1"/>
      <c r="D402" s="1"/>
      <c r="E402" s="1"/>
      <c r="F402" s="1"/>
      <c r="G402" s="1"/>
      <c r="H402" s="7"/>
      <c r="I402" s="100"/>
      <c r="J402" s="100"/>
      <c r="K402" s="289" t="s">
        <v>512</v>
      </c>
      <c r="L402" s="100"/>
      <c r="M402" s="99"/>
      <c r="N402" s="101">
        <f>N401*15%</f>
        <v>6839.9250000000002</v>
      </c>
      <c r="O402" s="525"/>
      <c r="P402" s="151"/>
      <c r="Q402" s="152"/>
      <c r="R402" s="152">
        <f t="shared" ref="R402:AC402" si="97">SUM(R398:R401)</f>
        <v>0</v>
      </c>
      <c r="S402" s="152">
        <f t="shared" si="97"/>
        <v>0</v>
      </c>
      <c r="T402" s="152">
        <f t="shared" si="97"/>
        <v>0</v>
      </c>
      <c r="U402" s="152">
        <f t="shared" si="97"/>
        <v>0</v>
      </c>
      <c r="V402" s="152">
        <f t="shared" si="97"/>
        <v>0</v>
      </c>
      <c r="W402" s="152">
        <f t="shared" si="97"/>
        <v>0</v>
      </c>
      <c r="X402" s="152">
        <f t="shared" si="97"/>
        <v>0</v>
      </c>
      <c r="Y402" s="152">
        <f t="shared" si="97"/>
        <v>0</v>
      </c>
      <c r="Z402" s="152">
        <f t="shared" si="97"/>
        <v>0</v>
      </c>
      <c r="AA402" s="152">
        <f t="shared" si="97"/>
        <v>0</v>
      </c>
      <c r="AB402" s="152">
        <f t="shared" si="97"/>
        <v>0</v>
      </c>
      <c r="AC402" s="152">
        <f t="shared" si="97"/>
        <v>0</v>
      </c>
      <c r="AD402" s="153"/>
    </row>
    <row r="403" spans="1:30" ht="14.1" customHeight="1" x14ac:dyDescent="0.3">
      <c r="A403" s="98"/>
      <c r="B403" s="1"/>
      <c r="C403" s="1"/>
      <c r="D403" s="1"/>
      <c r="E403" s="1"/>
      <c r="F403" s="1"/>
      <c r="G403" s="1"/>
      <c r="H403" s="7"/>
      <c r="I403" s="100"/>
      <c r="J403" s="100"/>
      <c r="K403" s="154" t="s">
        <v>247</v>
      </c>
      <c r="L403" s="100"/>
      <c r="M403" s="99"/>
      <c r="N403" s="101">
        <f>N401+N402</f>
        <v>52439.425000000003</v>
      </c>
      <c r="O403" s="527"/>
    </row>
    <row r="404" spans="1:30" ht="14.1" customHeight="1" thickBot="1" x14ac:dyDescent="0.35">
      <c r="A404" s="93">
        <f>A376+1</f>
        <v>3</v>
      </c>
      <c r="B404" s="95" t="s">
        <v>281</v>
      </c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7"/>
      <c r="O404" s="527"/>
    </row>
    <row r="405" spans="1:30" ht="14.1" customHeight="1" thickBot="1" x14ac:dyDescent="0.35">
      <c r="A405" s="98"/>
      <c r="B405" s="106" t="s">
        <v>233</v>
      </c>
      <c r="C405" s="1" t="s">
        <v>128</v>
      </c>
      <c r="D405" s="1"/>
      <c r="E405" s="1"/>
      <c r="F405" s="1"/>
      <c r="G405" s="1"/>
      <c r="H405" s="7"/>
      <c r="I405" s="1"/>
      <c r="J405" s="161">
        <v>0.53</v>
      </c>
      <c r="K405" s="142">
        <f>'UPAH BAHAN'!$H$19</f>
        <v>105000</v>
      </c>
      <c r="L405" s="100">
        <f>J405*K405</f>
        <v>55650</v>
      </c>
      <c r="M405" s="148" t="s">
        <v>233</v>
      </c>
      <c r="N405" s="101">
        <f>L405+M405</f>
        <v>55650</v>
      </c>
      <c r="O405" s="527"/>
      <c r="P405" s="156" t="str">
        <f>B426</f>
        <v>1 m³ Urugan tanah kembali</v>
      </c>
      <c r="Q405" s="157"/>
      <c r="R405" s="158"/>
      <c r="S405" s="277"/>
      <c r="T405" s="277"/>
      <c r="U405" s="277"/>
      <c r="V405" s="277"/>
      <c r="W405" s="277"/>
      <c r="X405" s="277"/>
      <c r="Y405" s="277"/>
      <c r="Z405" s="277"/>
      <c r="AA405" s="277"/>
      <c r="AB405" s="277"/>
      <c r="AC405" s="277"/>
      <c r="AD405" s="278"/>
    </row>
    <row r="406" spans="1:30" ht="14.1" customHeight="1" x14ac:dyDescent="0.3">
      <c r="A406" s="98"/>
      <c r="B406" s="106" t="s">
        <v>233</v>
      </c>
      <c r="C406" s="1" t="s">
        <v>134</v>
      </c>
      <c r="D406" s="1"/>
      <c r="E406" s="1"/>
      <c r="F406" s="1"/>
      <c r="G406" s="1"/>
      <c r="H406" s="7"/>
      <c r="I406" s="1"/>
      <c r="J406" s="161">
        <v>5.3000000000000005E-2</v>
      </c>
      <c r="K406" s="142">
        <f>'UPAH BAHAN'!$H$24</f>
        <v>165000</v>
      </c>
      <c r="L406" s="100">
        <f>J406*K406</f>
        <v>8745</v>
      </c>
      <c r="M406" s="148" t="s">
        <v>233</v>
      </c>
      <c r="N406" s="101">
        <f>L406+M406</f>
        <v>8745</v>
      </c>
      <c r="O406" s="527"/>
      <c r="P406" s="132"/>
      <c r="Q406" s="140"/>
      <c r="R406" s="133"/>
      <c r="S406" s="279"/>
      <c r="T406" s="279"/>
      <c r="U406" s="279"/>
      <c r="V406" s="279"/>
      <c r="W406" s="279"/>
      <c r="X406" s="279"/>
      <c r="Y406" s="279"/>
      <c r="Z406" s="279"/>
      <c r="AA406" s="279"/>
      <c r="AB406" s="279"/>
      <c r="AC406" s="279"/>
      <c r="AD406" s="280"/>
    </row>
    <row r="407" spans="1:30" ht="14.1" customHeight="1" x14ac:dyDescent="0.3">
      <c r="A407" s="98"/>
      <c r="B407" s="106" t="s">
        <v>233</v>
      </c>
      <c r="C407" s="1" t="s">
        <v>280</v>
      </c>
      <c r="D407" s="1"/>
      <c r="E407" s="1"/>
      <c r="F407" s="1"/>
      <c r="G407" s="1"/>
      <c r="H407" s="7"/>
      <c r="I407" s="106" t="s">
        <v>250</v>
      </c>
      <c r="J407" s="161">
        <v>1</v>
      </c>
      <c r="K407" s="142">
        <f>+K379</f>
        <v>1000</v>
      </c>
      <c r="L407" s="100">
        <f>J407*K407</f>
        <v>1000</v>
      </c>
      <c r="M407" s="148" t="s">
        <v>233</v>
      </c>
      <c r="N407" s="101">
        <f>L407+M407</f>
        <v>1000</v>
      </c>
      <c r="O407" s="527"/>
      <c r="P407" s="132"/>
      <c r="Q407" s="140"/>
      <c r="R407" s="133"/>
      <c r="S407" s="279"/>
      <c r="T407" s="279"/>
      <c r="U407" s="279"/>
      <c r="V407" s="279"/>
      <c r="W407" s="279"/>
      <c r="X407" s="279"/>
      <c r="Y407" s="279"/>
      <c r="Z407" s="279"/>
      <c r="AA407" s="279"/>
      <c r="AB407" s="279"/>
      <c r="AC407" s="279"/>
      <c r="AD407" s="280"/>
    </row>
    <row r="408" spans="1:30" ht="14.1" customHeight="1" thickBot="1" x14ac:dyDescent="0.35">
      <c r="A408" s="98"/>
      <c r="B408" s="1"/>
      <c r="C408" s="1"/>
      <c r="D408" s="1"/>
      <c r="E408" s="1"/>
      <c r="F408" s="1"/>
      <c r="G408" s="1"/>
      <c r="H408" s="7"/>
      <c r="I408" s="107"/>
      <c r="J408" s="107"/>
      <c r="K408" s="150" t="s">
        <v>279</v>
      </c>
      <c r="L408" s="107">
        <f>SUM(L405:L407)</f>
        <v>65395</v>
      </c>
      <c r="M408" s="170" t="s">
        <v>233</v>
      </c>
      <c r="N408" s="109">
        <f>SUM(N405:N407)</f>
        <v>65395</v>
      </c>
      <c r="O408" s="527"/>
      <c r="P408" s="164"/>
      <c r="Q408" s="165"/>
      <c r="R408" s="166"/>
      <c r="S408" s="286"/>
      <c r="T408" s="286"/>
      <c r="U408" s="286"/>
      <c r="V408" s="286"/>
      <c r="W408" s="166"/>
      <c r="X408" s="166"/>
      <c r="Y408" s="286"/>
      <c r="Z408" s="286"/>
      <c r="AA408" s="286"/>
      <c r="AB408" s="286"/>
      <c r="AC408" s="286"/>
      <c r="AD408" s="287"/>
    </row>
    <row r="409" spans="1:30" ht="14.1" customHeight="1" thickBot="1" x14ac:dyDescent="0.35">
      <c r="A409" s="98"/>
      <c r="B409" s="1"/>
      <c r="C409" s="1"/>
      <c r="D409" s="1"/>
      <c r="E409" s="1"/>
      <c r="F409" s="1"/>
      <c r="G409" s="1"/>
      <c r="H409" s="7"/>
      <c r="I409" s="100"/>
      <c r="J409" s="100"/>
      <c r="K409" s="289" t="s">
        <v>512</v>
      </c>
      <c r="L409" s="100"/>
      <c r="M409" s="99"/>
      <c r="N409" s="101">
        <f>N408*15%</f>
        <v>9809.25</v>
      </c>
      <c r="O409" s="527"/>
      <c r="P409" s="252"/>
      <c r="Q409" s="253"/>
      <c r="R409" s="253">
        <f t="shared" ref="R409:AC409" si="98">SUM(R406:R408)</f>
        <v>0</v>
      </c>
      <c r="S409" s="253">
        <f t="shared" si="98"/>
        <v>0</v>
      </c>
      <c r="T409" s="253">
        <f t="shared" si="98"/>
        <v>0</v>
      </c>
      <c r="U409" s="253">
        <f t="shared" si="98"/>
        <v>0</v>
      </c>
      <c r="V409" s="253">
        <f t="shared" si="98"/>
        <v>0</v>
      </c>
      <c r="W409" s="253">
        <f t="shared" si="98"/>
        <v>0</v>
      </c>
      <c r="X409" s="253">
        <f t="shared" si="98"/>
        <v>0</v>
      </c>
      <c r="Y409" s="253">
        <f t="shared" si="98"/>
        <v>0</v>
      </c>
      <c r="Z409" s="253">
        <f t="shared" si="98"/>
        <v>0</v>
      </c>
      <c r="AA409" s="253">
        <f t="shared" si="98"/>
        <v>0</v>
      </c>
      <c r="AB409" s="253">
        <f t="shared" si="98"/>
        <v>0</v>
      </c>
      <c r="AC409" s="253">
        <f t="shared" si="98"/>
        <v>0</v>
      </c>
      <c r="AD409" s="254"/>
    </row>
    <row r="410" spans="1:30" ht="14.1" customHeight="1" x14ac:dyDescent="0.3">
      <c r="A410" s="98"/>
      <c r="B410" s="1"/>
      <c r="C410" s="1"/>
      <c r="D410" s="1"/>
      <c r="E410" s="1"/>
      <c r="F410" s="1"/>
      <c r="G410" s="1"/>
      <c r="H410" s="7"/>
      <c r="I410" s="100"/>
      <c r="J410" s="100"/>
      <c r="K410" s="154" t="s">
        <v>247</v>
      </c>
      <c r="L410" s="100"/>
      <c r="M410" s="148"/>
      <c r="N410" s="101">
        <f>N408+N409</f>
        <v>75204.25</v>
      </c>
      <c r="O410" s="527"/>
    </row>
    <row r="411" spans="1:30" ht="14.1" customHeight="1" thickBot="1" x14ac:dyDescent="0.35">
      <c r="A411" s="93">
        <f>A404+1</f>
        <v>4</v>
      </c>
      <c r="B411" s="95" t="s">
        <v>282</v>
      </c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7"/>
      <c r="O411" s="527"/>
    </row>
    <row r="412" spans="1:30" ht="14.1" customHeight="1" thickBot="1" x14ac:dyDescent="0.35">
      <c r="A412" s="98"/>
      <c r="B412" s="106" t="s">
        <v>233</v>
      </c>
      <c r="C412" s="1" t="s">
        <v>128</v>
      </c>
      <c r="D412" s="1"/>
      <c r="E412" s="1"/>
      <c r="F412" s="1"/>
      <c r="G412" s="1"/>
      <c r="H412" s="7"/>
      <c r="I412" s="1"/>
      <c r="J412" s="161">
        <v>3.3780000000000001</v>
      </c>
      <c r="K412" s="142">
        <f>'UPAH BAHAN'!$H$19</f>
        <v>105000</v>
      </c>
      <c r="L412" s="100">
        <f>J412*K412</f>
        <v>354690</v>
      </c>
      <c r="M412" s="148" t="s">
        <v>233</v>
      </c>
      <c r="N412" s="101">
        <f>L412+M412</f>
        <v>354690</v>
      </c>
      <c r="O412" s="527"/>
      <c r="P412" s="156" t="str">
        <f>B433</f>
        <v>1 m³ Pembuangan / perataan sisa galian</v>
      </c>
      <c r="Q412" s="157"/>
      <c r="R412" s="158"/>
      <c r="S412" s="277"/>
      <c r="T412" s="277"/>
      <c r="U412" s="277"/>
      <c r="V412" s="277"/>
      <c r="W412" s="277"/>
      <c r="X412" s="277"/>
      <c r="Y412" s="277"/>
      <c r="Z412" s="277"/>
      <c r="AA412" s="277"/>
      <c r="AB412" s="277"/>
      <c r="AC412" s="277"/>
      <c r="AD412" s="278"/>
    </row>
    <row r="413" spans="1:30" ht="14.1" customHeight="1" x14ac:dyDescent="0.3">
      <c r="A413" s="98"/>
      <c r="B413" s="106" t="s">
        <v>233</v>
      </c>
      <c r="C413" s="1" t="s">
        <v>134</v>
      </c>
      <c r="D413" s="1"/>
      <c r="E413" s="1"/>
      <c r="F413" s="1"/>
      <c r="G413" s="1"/>
      <c r="H413" s="7"/>
      <c r="I413" s="1"/>
      <c r="J413" s="161">
        <v>0.33779999999999999</v>
      </c>
      <c r="K413" s="142">
        <f>'UPAH BAHAN'!$H$24</f>
        <v>165000</v>
      </c>
      <c r="L413" s="100">
        <f>J413*K413</f>
        <v>55737</v>
      </c>
      <c r="M413" s="148" t="s">
        <v>233</v>
      </c>
      <c r="N413" s="101">
        <f>L413+M413</f>
        <v>55737</v>
      </c>
      <c r="O413" s="527"/>
      <c r="P413" s="132"/>
      <c r="Q413" s="140"/>
      <c r="R413" s="133"/>
      <c r="S413" s="279"/>
      <c r="T413" s="279"/>
      <c r="U413" s="279"/>
      <c r="V413" s="279"/>
      <c r="W413" s="279"/>
      <c r="X413" s="279"/>
      <c r="Y413" s="279"/>
      <c r="Z413" s="279"/>
      <c r="AA413" s="279"/>
      <c r="AB413" s="279"/>
      <c r="AC413" s="279"/>
      <c r="AD413" s="280"/>
    </row>
    <row r="414" spans="1:30" ht="14.1" customHeight="1" x14ac:dyDescent="0.3">
      <c r="A414" s="98"/>
      <c r="B414" s="106" t="s">
        <v>233</v>
      </c>
      <c r="C414" s="1" t="s">
        <v>280</v>
      </c>
      <c r="D414" s="1"/>
      <c r="E414" s="1"/>
      <c r="F414" s="1"/>
      <c r="G414" s="1"/>
      <c r="H414" s="7"/>
      <c r="I414" s="106" t="s">
        <v>250</v>
      </c>
      <c r="J414" s="161">
        <v>1</v>
      </c>
      <c r="K414" s="142">
        <f>+K407</f>
        <v>1000</v>
      </c>
      <c r="L414" s="100">
        <f>J414*K414</f>
        <v>1000</v>
      </c>
      <c r="M414" s="148" t="s">
        <v>233</v>
      </c>
      <c r="N414" s="101">
        <f>L414+M414</f>
        <v>1000</v>
      </c>
      <c r="O414" s="527"/>
      <c r="P414" s="132"/>
      <c r="Q414" s="140"/>
      <c r="R414" s="133"/>
      <c r="S414" s="279"/>
      <c r="T414" s="279"/>
      <c r="U414" s="279"/>
      <c r="V414" s="279"/>
      <c r="W414" s="279"/>
      <c r="X414" s="279"/>
      <c r="Y414" s="279"/>
      <c r="Z414" s="279"/>
      <c r="AA414" s="279"/>
      <c r="AB414" s="279"/>
      <c r="AC414" s="279"/>
      <c r="AD414" s="280"/>
    </row>
    <row r="415" spans="1:30" ht="14.1" customHeight="1" thickBot="1" x14ac:dyDescent="0.35">
      <c r="A415" s="98"/>
      <c r="B415" s="1"/>
      <c r="C415" s="1"/>
      <c r="D415" s="1"/>
      <c r="E415" s="1"/>
      <c r="F415" s="1"/>
      <c r="G415" s="1"/>
      <c r="H415" s="7"/>
      <c r="I415" s="107"/>
      <c r="J415" s="107"/>
      <c r="K415" s="150" t="s">
        <v>279</v>
      </c>
      <c r="L415" s="107">
        <f>SUM(L412:L414)</f>
        <v>411427</v>
      </c>
      <c r="M415" s="170" t="s">
        <v>233</v>
      </c>
      <c r="N415" s="109">
        <f>SUM(N412:N414)</f>
        <v>411427</v>
      </c>
      <c r="O415" s="527"/>
      <c r="P415" s="164"/>
      <c r="Q415" s="165"/>
      <c r="R415" s="166"/>
      <c r="S415" s="286"/>
      <c r="T415" s="286"/>
      <c r="U415" s="286"/>
      <c r="V415" s="286"/>
      <c r="W415" s="166"/>
      <c r="X415" s="166"/>
      <c r="Y415" s="286"/>
      <c r="Z415" s="286"/>
      <c r="AA415" s="286"/>
      <c r="AB415" s="286"/>
      <c r="AC415" s="286"/>
      <c r="AD415" s="287"/>
    </row>
    <row r="416" spans="1:30" ht="14.1" customHeight="1" thickBot="1" x14ac:dyDescent="0.35">
      <c r="A416" s="98"/>
      <c r="B416" s="1"/>
      <c r="C416" s="1"/>
      <c r="D416" s="1"/>
      <c r="E416" s="1"/>
      <c r="F416" s="1"/>
      <c r="G416" s="1"/>
      <c r="H416" s="7"/>
      <c r="I416" s="100"/>
      <c r="J416" s="100"/>
      <c r="K416" s="289" t="s">
        <v>512</v>
      </c>
      <c r="L416" s="100"/>
      <c r="M416" s="99"/>
      <c r="N416" s="101">
        <f>N415*15%</f>
        <v>61714.049999999996</v>
      </c>
      <c r="O416" s="527"/>
      <c r="P416" s="252"/>
      <c r="Q416" s="253"/>
      <c r="R416" s="253">
        <f t="shared" ref="R416:AC416" si="99">SUM(R413:R415)</f>
        <v>0</v>
      </c>
      <c r="S416" s="253">
        <f t="shared" si="99"/>
        <v>0</v>
      </c>
      <c r="T416" s="253">
        <f t="shared" si="99"/>
        <v>0</v>
      </c>
      <c r="U416" s="253">
        <f t="shared" si="99"/>
        <v>0</v>
      </c>
      <c r="V416" s="253">
        <f t="shared" si="99"/>
        <v>0</v>
      </c>
      <c r="W416" s="253">
        <f t="shared" si="99"/>
        <v>0</v>
      </c>
      <c r="X416" s="253">
        <f t="shared" si="99"/>
        <v>0</v>
      </c>
      <c r="Y416" s="253">
        <f t="shared" si="99"/>
        <v>0</v>
      </c>
      <c r="Z416" s="253">
        <f t="shared" si="99"/>
        <v>0</v>
      </c>
      <c r="AA416" s="253">
        <f t="shared" si="99"/>
        <v>0</v>
      </c>
      <c r="AB416" s="253">
        <f t="shared" si="99"/>
        <v>0</v>
      </c>
      <c r="AC416" s="253">
        <f t="shared" si="99"/>
        <v>0</v>
      </c>
      <c r="AD416" s="254"/>
    </row>
    <row r="417" spans="1:30" ht="14.1" customHeight="1" x14ac:dyDescent="0.3">
      <c r="A417" s="98"/>
      <c r="B417" s="1"/>
      <c r="C417" s="1"/>
      <c r="D417" s="1"/>
      <c r="E417" s="1"/>
      <c r="F417" s="1"/>
      <c r="G417" s="1"/>
      <c r="H417" s="7"/>
      <c r="I417" s="100"/>
      <c r="J417" s="100"/>
      <c r="K417" s="154" t="s">
        <v>247</v>
      </c>
      <c r="L417" s="100"/>
      <c r="M417" s="148"/>
      <c r="N417" s="101">
        <f>N415+N416</f>
        <v>473141.05</v>
      </c>
      <c r="O417" s="527"/>
    </row>
    <row r="418" spans="1:30" ht="14.1" customHeight="1" thickBot="1" x14ac:dyDescent="0.35">
      <c r="A418" s="93">
        <f>A411+1</f>
        <v>5</v>
      </c>
      <c r="B418" s="95" t="s">
        <v>283</v>
      </c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7"/>
      <c r="O418" s="527"/>
    </row>
    <row r="419" spans="1:30" ht="14.1" customHeight="1" thickBot="1" x14ac:dyDescent="0.35">
      <c r="A419" s="98"/>
      <c r="B419" s="106" t="s">
        <v>233</v>
      </c>
      <c r="C419" s="1" t="s">
        <v>147</v>
      </c>
      <c r="D419" s="1"/>
      <c r="E419" s="1"/>
      <c r="F419" s="1"/>
      <c r="G419" s="1"/>
      <c r="H419" s="7"/>
      <c r="I419" s="141" t="s">
        <v>148</v>
      </c>
      <c r="J419" s="161">
        <v>1.2</v>
      </c>
      <c r="K419" s="142">
        <f>'UPAH BAHAN'!$H$37</f>
        <v>130000</v>
      </c>
      <c r="L419" s="171" t="s">
        <v>233</v>
      </c>
      <c r="M419" s="99">
        <f>J419*K419</f>
        <v>156000</v>
      </c>
      <c r="N419" s="101">
        <f>L419+M419</f>
        <v>156000</v>
      </c>
      <c r="O419" s="527"/>
      <c r="P419" s="156" t="str">
        <f>B440</f>
        <v>1 m³ Pasangan batu kosong</v>
      </c>
      <c r="Q419" s="157"/>
      <c r="R419" s="158"/>
      <c r="S419" s="277"/>
      <c r="T419" s="277"/>
      <c r="U419" s="277"/>
      <c r="V419" s="277"/>
      <c r="W419" s="277"/>
      <c r="X419" s="277"/>
      <c r="Y419" s="277"/>
      <c r="Z419" s="277"/>
      <c r="AA419" s="277"/>
      <c r="AB419" s="277"/>
      <c r="AC419" s="277"/>
      <c r="AD419" s="278"/>
    </row>
    <row r="420" spans="1:30" ht="14.1" customHeight="1" x14ac:dyDescent="0.3">
      <c r="A420" s="98"/>
      <c r="B420" s="106" t="s">
        <v>233</v>
      </c>
      <c r="C420" s="1" t="s">
        <v>128</v>
      </c>
      <c r="D420" s="1"/>
      <c r="E420" s="1"/>
      <c r="F420" s="1"/>
      <c r="G420" s="1"/>
      <c r="H420" s="7"/>
      <c r="I420" s="106"/>
      <c r="J420" s="161">
        <v>0.15</v>
      </c>
      <c r="K420" s="142">
        <f>'UPAH BAHAN'!$H$19</f>
        <v>105000</v>
      </c>
      <c r="L420" s="100">
        <f>J420*K420</f>
        <v>15750</v>
      </c>
      <c r="M420" s="148" t="s">
        <v>233</v>
      </c>
      <c r="N420" s="101">
        <f>L420+M420</f>
        <v>15750</v>
      </c>
      <c r="O420" s="527"/>
      <c r="P420" s="132"/>
      <c r="Q420" s="140"/>
      <c r="R420" s="133"/>
      <c r="S420" s="279"/>
      <c r="T420" s="279"/>
      <c r="U420" s="279"/>
      <c r="V420" s="279"/>
      <c r="W420" s="279"/>
      <c r="X420" s="279"/>
      <c r="Y420" s="279"/>
      <c r="Z420" s="279"/>
      <c r="AA420" s="279"/>
      <c r="AB420" s="279"/>
      <c r="AC420" s="279"/>
      <c r="AD420" s="280"/>
    </row>
    <row r="421" spans="1:30" ht="14.1" customHeight="1" x14ac:dyDescent="0.3">
      <c r="A421" s="98"/>
      <c r="B421" s="106" t="s">
        <v>233</v>
      </c>
      <c r="C421" s="1" t="s">
        <v>134</v>
      </c>
      <c r="D421" s="1"/>
      <c r="E421" s="1"/>
      <c r="F421" s="1"/>
      <c r="G421" s="1"/>
      <c r="H421" s="7"/>
      <c r="I421" s="106"/>
      <c r="J421" s="161">
        <v>1.4999999999999999E-2</v>
      </c>
      <c r="K421" s="142">
        <f>'UPAH BAHAN'!$H$24</f>
        <v>165000</v>
      </c>
      <c r="L421" s="100">
        <f>J421*K421</f>
        <v>2475</v>
      </c>
      <c r="M421" s="148" t="s">
        <v>233</v>
      </c>
      <c r="N421" s="101">
        <f>L421+M421</f>
        <v>2475</v>
      </c>
      <c r="O421" s="527"/>
      <c r="P421" s="132"/>
      <c r="Q421" s="140"/>
      <c r="R421" s="133"/>
      <c r="S421" s="279"/>
      <c r="T421" s="279"/>
      <c r="U421" s="279"/>
      <c r="V421" s="279"/>
      <c r="W421" s="279"/>
      <c r="X421" s="279"/>
      <c r="Y421" s="279"/>
      <c r="Z421" s="279"/>
      <c r="AA421" s="279"/>
      <c r="AB421" s="279"/>
      <c r="AC421" s="279"/>
      <c r="AD421" s="280"/>
    </row>
    <row r="422" spans="1:30" ht="14.1" customHeight="1" x14ac:dyDescent="0.3">
      <c r="A422" s="98"/>
      <c r="B422" s="106" t="s">
        <v>233</v>
      </c>
      <c r="C422" s="1" t="s">
        <v>284</v>
      </c>
      <c r="D422" s="1"/>
      <c r="E422" s="1"/>
      <c r="F422" s="1"/>
      <c r="G422" s="1"/>
      <c r="H422" s="7"/>
      <c r="I422" s="141" t="s">
        <v>250</v>
      </c>
      <c r="J422" s="161">
        <v>1</v>
      </c>
      <c r="K422" s="142">
        <f>+K414</f>
        <v>1000</v>
      </c>
      <c r="L422" s="100">
        <f>K422*J422</f>
        <v>1000</v>
      </c>
      <c r="M422" s="148" t="s">
        <v>233</v>
      </c>
      <c r="N422" s="101">
        <f>L422+M422</f>
        <v>1000</v>
      </c>
      <c r="O422" s="527"/>
      <c r="P422" s="132"/>
      <c r="Q422" s="140"/>
      <c r="R422" s="133"/>
      <c r="S422" s="279"/>
      <c r="T422" s="279"/>
      <c r="U422" s="279"/>
      <c r="V422" s="279"/>
      <c r="W422" s="279"/>
      <c r="X422" s="279"/>
      <c r="Y422" s="279"/>
      <c r="Z422" s="279"/>
      <c r="AA422" s="279"/>
      <c r="AB422" s="279"/>
      <c r="AC422" s="279"/>
      <c r="AD422" s="280"/>
    </row>
    <row r="423" spans="1:30" ht="14.1" customHeight="1" x14ac:dyDescent="0.3">
      <c r="A423" s="98"/>
      <c r="B423" s="1"/>
      <c r="C423" s="1"/>
      <c r="D423" s="1"/>
      <c r="E423" s="1"/>
      <c r="F423" s="1"/>
      <c r="G423" s="1"/>
      <c r="H423" s="7"/>
      <c r="I423" s="107"/>
      <c r="J423" s="107"/>
      <c r="K423" s="150" t="s">
        <v>279</v>
      </c>
      <c r="L423" s="107">
        <f>SUM(L419:L422)</f>
        <v>19225</v>
      </c>
      <c r="M423" s="108">
        <f>SUM(M419:M422)</f>
        <v>156000</v>
      </c>
      <c r="N423" s="109">
        <f>SUM(N419:N422)</f>
        <v>175225</v>
      </c>
      <c r="O423" s="527"/>
      <c r="P423" s="132"/>
      <c r="Q423" s="140"/>
      <c r="R423" s="133"/>
      <c r="S423" s="279"/>
      <c r="T423" s="279"/>
      <c r="U423" s="279"/>
      <c r="V423" s="279"/>
      <c r="W423" s="279"/>
      <c r="X423" s="279"/>
      <c r="Y423" s="279"/>
      <c r="Z423" s="279"/>
      <c r="AA423" s="279"/>
      <c r="AB423" s="279"/>
      <c r="AC423" s="279"/>
      <c r="AD423" s="280"/>
    </row>
    <row r="424" spans="1:30" ht="14.1" customHeight="1" x14ac:dyDescent="0.3">
      <c r="A424" s="98"/>
      <c r="B424" s="1"/>
      <c r="C424" s="1"/>
      <c r="D424" s="1"/>
      <c r="E424" s="1"/>
      <c r="F424" s="1"/>
      <c r="G424" s="1"/>
      <c r="H424" s="7"/>
      <c r="I424" s="100"/>
      <c r="J424" s="100"/>
      <c r="K424" s="289" t="s">
        <v>512</v>
      </c>
      <c r="L424" s="100"/>
      <c r="M424" s="99"/>
      <c r="N424" s="101">
        <f>N423*15%</f>
        <v>26283.75</v>
      </c>
      <c r="O424" s="527"/>
      <c r="P424" s="132"/>
      <c r="Q424" s="140"/>
      <c r="R424" s="133"/>
      <c r="S424" s="279"/>
      <c r="T424" s="279"/>
      <c r="U424" s="279"/>
      <c r="V424" s="279"/>
      <c r="W424" s="279"/>
      <c r="X424" s="279"/>
      <c r="Y424" s="279"/>
      <c r="Z424" s="279"/>
      <c r="AA424" s="279"/>
      <c r="AB424" s="279"/>
      <c r="AC424" s="279"/>
      <c r="AD424" s="280"/>
    </row>
    <row r="425" spans="1:30" ht="14.4" thickBot="1" x14ac:dyDescent="0.35">
      <c r="A425" s="98"/>
      <c r="B425" s="1"/>
      <c r="C425" s="1"/>
      <c r="D425" s="1"/>
      <c r="E425" s="1"/>
      <c r="F425" s="1"/>
      <c r="G425" s="1"/>
      <c r="H425" s="7"/>
      <c r="I425" s="100"/>
      <c r="J425" s="100"/>
      <c r="K425" s="154" t="s">
        <v>247</v>
      </c>
      <c r="L425" s="100"/>
      <c r="M425" s="148"/>
      <c r="N425" s="101">
        <f>N423+N424</f>
        <v>201508.75</v>
      </c>
      <c r="O425" s="527"/>
      <c r="P425" s="164"/>
      <c r="Q425" s="165"/>
      <c r="R425" s="166"/>
      <c r="S425" s="286"/>
      <c r="T425" s="286"/>
      <c r="U425" s="286"/>
      <c r="V425" s="286"/>
      <c r="W425" s="166"/>
      <c r="X425" s="166"/>
      <c r="Y425" s="286"/>
      <c r="Z425" s="286"/>
      <c r="AA425" s="286"/>
      <c r="AB425" s="286"/>
      <c r="AC425" s="286"/>
      <c r="AD425" s="287"/>
    </row>
    <row r="426" spans="1:30" ht="14.1" customHeight="1" thickBot="1" x14ac:dyDescent="0.35">
      <c r="A426" s="93">
        <f>A418+1</f>
        <v>6</v>
      </c>
      <c r="B426" s="95" t="s">
        <v>285</v>
      </c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7"/>
      <c r="O426" s="527"/>
      <c r="P426" s="252"/>
      <c r="Q426" s="253"/>
      <c r="R426" s="253">
        <f>SUM(R420:R425)</f>
        <v>0</v>
      </c>
      <c r="S426" s="253">
        <f t="shared" ref="S426:AC426" si="100">SUM(S420:S425)</f>
        <v>0</v>
      </c>
      <c r="T426" s="253">
        <f t="shared" si="100"/>
        <v>0</v>
      </c>
      <c r="U426" s="253">
        <f t="shared" si="100"/>
        <v>0</v>
      </c>
      <c r="V426" s="253">
        <f t="shared" si="100"/>
        <v>0</v>
      </c>
      <c r="W426" s="253">
        <f t="shared" si="100"/>
        <v>0</v>
      </c>
      <c r="X426" s="253">
        <f t="shared" si="100"/>
        <v>0</v>
      </c>
      <c r="Y426" s="253">
        <f t="shared" si="100"/>
        <v>0</v>
      </c>
      <c r="Z426" s="253">
        <f t="shared" si="100"/>
        <v>0</v>
      </c>
      <c r="AA426" s="253">
        <f t="shared" si="100"/>
        <v>0</v>
      </c>
      <c r="AB426" s="253">
        <f t="shared" si="100"/>
        <v>0</v>
      </c>
      <c r="AC426" s="253">
        <f t="shared" si="100"/>
        <v>0</v>
      </c>
      <c r="AD426" s="254"/>
    </row>
    <row r="427" spans="1:30" ht="14.1" customHeight="1" x14ac:dyDescent="0.3">
      <c r="A427" s="98"/>
      <c r="B427" s="106" t="s">
        <v>233</v>
      </c>
      <c r="C427" s="1" t="s">
        <v>128</v>
      </c>
      <c r="D427" s="1"/>
      <c r="E427" s="1"/>
      <c r="F427" s="1"/>
      <c r="G427" s="1"/>
      <c r="H427" s="7"/>
      <c r="I427" s="1"/>
      <c r="J427" s="161">
        <v>0.192</v>
      </c>
      <c r="K427" s="142">
        <f>'UPAH BAHAN'!$H$19</f>
        <v>105000</v>
      </c>
      <c r="L427" s="100">
        <f>J427*K427</f>
        <v>20160</v>
      </c>
      <c r="M427" s="148" t="s">
        <v>233</v>
      </c>
      <c r="N427" s="101">
        <f>L427+M427</f>
        <v>20160</v>
      </c>
      <c r="O427" s="527"/>
    </row>
    <row r="428" spans="1:30" ht="14.1" customHeight="1" x14ac:dyDescent="0.3">
      <c r="A428" s="98"/>
      <c r="B428" s="106" t="s">
        <v>233</v>
      </c>
      <c r="C428" s="1" t="s">
        <v>134</v>
      </c>
      <c r="D428" s="1"/>
      <c r="E428" s="1"/>
      <c r="F428" s="1"/>
      <c r="G428" s="1"/>
      <c r="H428" s="7"/>
      <c r="I428" s="1"/>
      <c r="J428" s="161">
        <v>1.9E-2</v>
      </c>
      <c r="K428" s="142">
        <f>'UPAH BAHAN'!$H$24</f>
        <v>165000</v>
      </c>
      <c r="L428" s="100">
        <f>J428*K428</f>
        <v>3135</v>
      </c>
      <c r="M428" s="148" t="s">
        <v>233</v>
      </c>
      <c r="N428" s="101">
        <f>L428+M428</f>
        <v>3135</v>
      </c>
      <c r="O428" s="527"/>
    </row>
    <row r="429" spans="1:30" ht="14.1" customHeight="1" thickBot="1" x14ac:dyDescent="0.35">
      <c r="A429" s="98"/>
      <c r="B429" s="106" t="s">
        <v>233</v>
      </c>
      <c r="C429" s="1" t="s">
        <v>284</v>
      </c>
      <c r="D429" s="1"/>
      <c r="E429" s="1"/>
      <c r="F429" s="1"/>
      <c r="G429" s="1"/>
      <c r="H429" s="7"/>
      <c r="I429" s="141" t="s">
        <v>250</v>
      </c>
      <c r="J429" s="161">
        <v>1</v>
      </c>
      <c r="K429" s="142">
        <f>+K422</f>
        <v>1000</v>
      </c>
      <c r="L429" s="100">
        <f>K429*J429</f>
        <v>1000</v>
      </c>
      <c r="M429" s="148" t="s">
        <v>233</v>
      </c>
      <c r="N429" s="101">
        <f>L429+M429</f>
        <v>1000</v>
      </c>
      <c r="O429" s="527"/>
    </row>
    <row r="430" spans="1:30" ht="14.1" customHeight="1" thickBot="1" x14ac:dyDescent="0.35">
      <c r="A430" s="98"/>
      <c r="B430" s="1"/>
      <c r="C430" s="1"/>
      <c r="D430" s="1"/>
      <c r="E430" s="1"/>
      <c r="F430" s="1"/>
      <c r="G430" s="1"/>
      <c r="H430" s="7"/>
      <c r="I430" s="107"/>
      <c r="J430" s="107"/>
      <c r="K430" s="150" t="s">
        <v>279</v>
      </c>
      <c r="L430" s="107">
        <f>SUM(L427:L429)</f>
        <v>24295</v>
      </c>
      <c r="M430" s="170" t="s">
        <v>233</v>
      </c>
      <c r="N430" s="109">
        <f>SUM(N427:N429)</f>
        <v>24295</v>
      </c>
      <c r="O430" s="527"/>
      <c r="P430" s="156" t="str">
        <f>B450</f>
        <v>1 m³  Pasangan batu kali camp. 1 : 4</v>
      </c>
      <c r="Q430" s="157"/>
      <c r="R430" s="158"/>
      <c r="S430" s="277"/>
      <c r="T430" s="277"/>
      <c r="U430" s="277"/>
      <c r="V430" s="277"/>
      <c r="W430" s="277"/>
      <c r="X430" s="277"/>
      <c r="Y430" s="277"/>
      <c r="Z430" s="277"/>
      <c r="AA430" s="277"/>
      <c r="AB430" s="277"/>
      <c r="AC430" s="277"/>
      <c r="AD430" s="278"/>
    </row>
    <row r="431" spans="1:30" ht="14.1" customHeight="1" x14ac:dyDescent="0.3">
      <c r="A431" s="98"/>
      <c r="B431" s="1"/>
      <c r="C431" s="1"/>
      <c r="D431" s="1"/>
      <c r="E431" s="1"/>
      <c r="F431" s="1"/>
      <c r="G431" s="1"/>
      <c r="H431" s="7"/>
      <c r="I431" s="100"/>
      <c r="J431" s="100"/>
      <c r="K431" s="289" t="s">
        <v>512</v>
      </c>
      <c r="L431" s="100"/>
      <c r="M431" s="99"/>
      <c r="N431" s="101">
        <f>N430*15%</f>
        <v>3644.25</v>
      </c>
      <c r="O431" s="527"/>
      <c r="P431" s="132"/>
      <c r="Q431" s="140"/>
      <c r="R431" s="133"/>
      <c r="S431" s="279"/>
      <c r="T431" s="279"/>
      <c r="U431" s="279"/>
      <c r="V431" s="279"/>
      <c r="W431" s="279"/>
      <c r="X431" s="279"/>
      <c r="Y431" s="279"/>
      <c r="Z431" s="279"/>
      <c r="AA431" s="279"/>
      <c r="AB431" s="279"/>
      <c r="AC431" s="279"/>
      <c r="AD431" s="280"/>
    </row>
    <row r="432" spans="1:30" ht="14.1" customHeight="1" x14ac:dyDescent="0.3">
      <c r="A432" s="98"/>
      <c r="B432" s="1"/>
      <c r="C432" s="1"/>
      <c r="D432" s="1"/>
      <c r="E432" s="1"/>
      <c r="F432" s="1"/>
      <c r="G432" s="1"/>
      <c r="H432" s="7"/>
      <c r="I432" s="100"/>
      <c r="J432" s="100"/>
      <c r="K432" s="154" t="s">
        <v>247</v>
      </c>
      <c r="L432" s="100"/>
      <c r="M432" s="148"/>
      <c r="N432" s="101">
        <f>N430+N431</f>
        <v>27939.25</v>
      </c>
      <c r="O432" s="527"/>
      <c r="P432" s="132"/>
      <c r="Q432" s="140"/>
      <c r="R432" s="133"/>
      <c r="S432" s="279"/>
      <c r="T432" s="279"/>
      <c r="U432" s="279"/>
      <c r="V432" s="279"/>
      <c r="W432" s="279"/>
      <c r="X432" s="279"/>
      <c r="Y432" s="279"/>
      <c r="Z432" s="279"/>
      <c r="AA432" s="279"/>
      <c r="AB432" s="279"/>
      <c r="AC432" s="279"/>
      <c r="AD432" s="280"/>
    </row>
    <row r="433" spans="1:30" ht="14.1" customHeight="1" x14ac:dyDescent="0.3">
      <c r="A433" s="93">
        <f>A426+1</f>
        <v>7</v>
      </c>
      <c r="B433" s="95" t="s">
        <v>286</v>
      </c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7"/>
      <c r="O433" s="527"/>
      <c r="P433" s="132"/>
      <c r="Q433" s="140"/>
      <c r="R433" s="133"/>
      <c r="S433" s="279"/>
      <c r="T433" s="279"/>
      <c r="U433" s="279"/>
      <c r="V433" s="279"/>
      <c r="W433" s="279"/>
      <c r="X433" s="279"/>
      <c r="Y433" s="279"/>
      <c r="Z433" s="279"/>
      <c r="AA433" s="279"/>
      <c r="AB433" s="279"/>
      <c r="AC433" s="279"/>
      <c r="AD433" s="280"/>
    </row>
    <row r="434" spans="1:30" ht="14.1" customHeight="1" x14ac:dyDescent="0.3">
      <c r="A434" s="98"/>
      <c r="B434" s="106" t="s">
        <v>233</v>
      </c>
      <c r="C434" s="1" t="s">
        <v>128</v>
      </c>
      <c r="D434" s="1"/>
      <c r="E434" s="1"/>
      <c r="F434" s="1"/>
      <c r="G434" s="1"/>
      <c r="H434" s="7"/>
      <c r="I434" s="1"/>
      <c r="J434" s="161">
        <v>0.25</v>
      </c>
      <c r="K434" s="142">
        <f>'UPAH BAHAN'!$H$19</f>
        <v>105000</v>
      </c>
      <c r="L434" s="100">
        <f>J434*K434</f>
        <v>26250</v>
      </c>
      <c r="M434" s="148" t="s">
        <v>233</v>
      </c>
      <c r="N434" s="101">
        <f>L434+M434</f>
        <v>26250</v>
      </c>
      <c r="O434" s="527"/>
      <c r="P434" s="132"/>
      <c r="Q434" s="140"/>
      <c r="R434" s="133"/>
      <c r="S434" s="279"/>
      <c r="T434" s="279"/>
      <c r="U434" s="279"/>
      <c r="V434" s="279"/>
      <c r="W434" s="279"/>
      <c r="X434" s="279"/>
      <c r="Y434" s="279"/>
      <c r="Z434" s="279"/>
      <c r="AA434" s="279"/>
      <c r="AB434" s="279"/>
      <c r="AC434" s="279"/>
      <c r="AD434" s="280"/>
    </row>
    <row r="435" spans="1:30" ht="14.1" customHeight="1" x14ac:dyDescent="0.3">
      <c r="A435" s="98"/>
      <c r="B435" s="106" t="s">
        <v>233</v>
      </c>
      <c r="C435" s="1" t="s">
        <v>134</v>
      </c>
      <c r="D435" s="1"/>
      <c r="E435" s="1"/>
      <c r="F435" s="1"/>
      <c r="G435" s="1"/>
      <c r="H435" s="7"/>
      <c r="I435" s="1"/>
      <c r="J435" s="161">
        <v>2.5000000000000001E-2</v>
      </c>
      <c r="K435" s="142">
        <f>'UPAH BAHAN'!$H$24</f>
        <v>165000</v>
      </c>
      <c r="L435" s="100">
        <f>J435*K435</f>
        <v>4125</v>
      </c>
      <c r="M435" s="148" t="s">
        <v>233</v>
      </c>
      <c r="N435" s="101">
        <f>L435+M435</f>
        <v>4125</v>
      </c>
      <c r="O435" s="527"/>
      <c r="P435" s="132"/>
      <c r="Q435" s="140"/>
      <c r="R435" s="133"/>
      <c r="S435" s="279"/>
      <c r="T435" s="279"/>
      <c r="U435" s="279"/>
      <c r="V435" s="279"/>
      <c r="W435" s="279"/>
      <c r="X435" s="279"/>
      <c r="Y435" s="279"/>
      <c r="Z435" s="279"/>
      <c r="AA435" s="279"/>
      <c r="AB435" s="279"/>
      <c r="AC435" s="279"/>
      <c r="AD435" s="280"/>
    </row>
    <row r="436" spans="1:30" ht="14.1" customHeight="1" x14ac:dyDescent="0.3">
      <c r="A436" s="98"/>
      <c r="B436" s="106" t="s">
        <v>233</v>
      </c>
      <c r="C436" s="1" t="s">
        <v>280</v>
      </c>
      <c r="D436" s="1"/>
      <c r="E436" s="1"/>
      <c r="F436" s="1"/>
      <c r="G436" s="1"/>
      <c r="H436" s="7"/>
      <c r="I436" s="141" t="s">
        <v>250</v>
      </c>
      <c r="J436" s="161">
        <v>1</v>
      </c>
      <c r="K436" s="142">
        <f>+K429</f>
        <v>1000</v>
      </c>
      <c r="L436" s="100">
        <f>K436*J436</f>
        <v>1000</v>
      </c>
      <c r="M436" s="148" t="s">
        <v>233</v>
      </c>
      <c r="N436" s="101">
        <f>L436+M436</f>
        <v>1000</v>
      </c>
      <c r="O436" s="527"/>
      <c r="P436" s="132"/>
      <c r="Q436" s="140"/>
      <c r="R436" s="133"/>
      <c r="S436" s="279"/>
      <c r="T436" s="279"/>
      <c r="U436" s="279"/>
      <c r="V436" s="279"/>
      <c r="W436" s="279"/>
      <c r="X436" s="279"/>
      <c r="Y436" s="279"/>
      <c r="Z436" s="279"/>
      <c r="AA436" s="279"/>
      <c r="AB436" s="279"/>
      <c r="AC436" s="279"/>
      <c r="AD436" s="280"/>
    </row>
    <row r="437" spans="1:30" ht="14.1" customHeight="1" thickBot="1" x14ac:dyDescent="0.35">
      <c r="A437" s="98"/>
      <c r="B437" s="1"/>
      <c r="C437" s="1"/>
      <c r="D437" s="1"/>
      <c r="E437" s="1"/>
      <c r="F437" s="1"/>
      <c r="G437" s="1"/>
      <c r="H437" s="7"/>
      <c r="I437" s="107"/>
      <c r="J437" s="107"/>
      <c r="K437" s="150" t="s">
        <v>279</v>
      </c>
      <c r="L437" s="107">
        <f>SUM(L434:L436)</f>
        <v>31375</v>
      </c>
      <c r="M437" s="170" t="s">
        <v>233</v>
      </c>
      <c r="N437" s="109">
        <f>SUM(N434:N436)</f>
        <v>31375</v>
      </c>
      <c r="O437" s="527"/>
      <c r="P437" s="164"/>
      <c r="Q437" s="165"/>
      <c r="R437" s="166"/>
      <c r="S437" s="286"/>
      <c r="T437" s="286"/>
      <c r="U437" s="286"/>
      <c r="V437" s="286"/>
      <c r="W437" s="166"/>
      <c r="X437" s="166"/>
      <c r="Y437" s="286"/>
      <c r="Z437" s="286"/>
      <c r="AA437" s="286"/>
      <c r="AB437" s="286"/>
      <c r="AC437" s="286"/>
      <c r="AD437" s="287"/>
    </row>
    <row r="438" spans="1:30" ht="14.1" customHeight="1" thickBot="1" x14ac:dyDescent="0.35">
      <c r="A438" s="98"/>
      <c r="B438" s="1"/>
      <c r="C438" s="1"/>
      <c r="D438" s="1"/>
      <c r="E438" s="1"/>
      <c r="F438" s="1"/>
      <c r="G438" s="1"/>
      <c r="H438" s="7"/>
      <c r="I438" s="100"/>
      <c r="J438" s="100"/>
      <c r="K438" s="289" t="s">
        <v>512</v>
      </c>
      <c r="L438" s="100"/>
      <c r="M438" s="99"/>
      <c r="N438" s="101">
        <f>N437*15%</f>
        <v>4706.25</v>
      </c>
      <c r="O438" s="527"/>
      <c r="P438" s="252"/>
      <c r="Q438" s="253"/>
      <c r="R438" s="253">
        <f t="shared" ref="R438:AC438" si="101">SUM(R431:R437)</f>
        <v>0</v>
      </c>
      <c r="S438" s="253">
        <f t="shared" si="101"/>
        <v>0</v>
      </c>
      <c r="T438" s="253">
        <f t="shared" si="101"/>
        <v>0</v>
      </c>
      <c r="U438" s="253">
        <f t="shared" si="101"/>
        <v>0</v>
      </c>
      <c r="V438" s="253">
        <f t="shared" si="101"/>
        <v>0</v>
      </c>
      <c r="W438" s="253">
        <f t="shared" si="101"/>
        <v>0</v>
      </c>
      <c r="X438" s="253">
        <f t="shared" si="101"/>
        <v>0</v>
      </c>
      <c r="Y438" s="253">
        <f t="shared" si="101"/>
        <v>0</v>
      </c>
      <c r="Z438" s="253">
        <f t="shared" si="101"/>
        <v>0</v>
      </c>
      <c r="AA438" s="253">
        <f t="shared" si="101"/>
        <v>0</v>
      </c>
      <c r="AB438" s="253">
        <f t="shared" si="101"/>
        <v>0</v>
      </c>
      <c r="AC438" s="253">
        <f t="shared" si="101"/>
        <v>0</v>
      </c>
      <c r="AD438" s="254"/>
    </row>
    <row r="439" spans="1:30" ht="14.1" customHeight="1" x14ac:dyDescent="0.3">
      <c r="A439" s="98"/>
      <c r="B439" s="1"/>
      <c r="C439" s="1"/>
      <c r="D439" s="1"/>
      <c r="E439" s="1"/>
      <c r="F439" s="1"/>
      <c r="G439" s="1"/>
      <c r="H439" s="7"/>
      <c r="I439" s="100"/>
      <c r="J439" s="100"/>
      <c r="K439" s="154" t="s">
        <v>247</v>
      </c>
      <c r="L439" s="100"/>
      <c r="M439" s="148"/>
      <c r="N439" s="101">
        <f>N437+N438</f>
        <v>36081.25</v>
      </c>
      <c r="O439" s="527"/>
    </row>
    <row r="440" spans="1:30" ht="14.1" customHeight="1" x14ac:dyDescent="0.3">
      <c r="A440" s="93">
        <f>A433+1</f>
        <v>8</v>
      </c>
      <c r="B440" s="95" t="s">
        <v>287</v>
      </c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7"/>
      <c r="O440" s="527"/>
    </row>
    <row r="441" spans="1:30" ht="14.1" customHeight="1" x14ac:dyDescent="0.3">
      <c r="A441" s="98"/>
      <c r="B441" s="106" t="s">
        <v>233</v>
      </c>
      <c r="C441" s="1" t="s">
        <v>288</v>
      </c>
      <c r="D441" s="1"/>
      <c r="E441" s="1"/>
      <c r="F441" s="1"/>
      <c r="G441" s="1"/>
      <c r="H441" s="7"/>
      <c r="I441" s="141" t="s">
        <v>148</v>
      </c>
      <c r="J441" s="161">
        <v>1.2</v>
      </c>
      <c r="K441" s="142">
        <f>'UPAH BAHAN'!$H$42</f>
        <v>160000</v>
      </c>
      <c r="L441" s="171" t="s">
        <v>233</v>
      </c>
      <c r="M441" s="99">
        <f>J441*K441</f>
        <v>192000</v>
      </c>
      <c r="N441" s="101">
        <f t="shared" ref="N441:N446" si="102">L441+M441</f>
        <v>192000</v>
      </c>
      <c r="O441" s="527"/>
    </row>
    <row r="442" spans="1:30" ht="14.1" customHeight="1" x14ac:dyDescent="0.3">
      <c r="A442" s="98"/>
      <c r="B442" s="106" t="s">
        <v>233</v>
      </c>
      <c r="C442" s="1" t="s">
        <v>147</v>
      </c>
      <c r="D442" s="1"/>
      <c r="E442" s="1"/>
      <c r="F442" s="1"/>
      <c r="G442" s="1"/>
      <c r="H442" s="7"/>
      <c r="I442" s="141" t="s">
        <v>148</v>
      </c>
      <c r="J442" s="161">
        <v>0.432</v>
      </c>
      <c r="K442" s="142">
        <f>'UPAH BAHAN'!$H$37</f>
        <v>130000</v>
      </c>
      <c r="L442" s="171" t="s">
        <v>233</v>
      </c>
      <c r="M442" s="99">
        <f>J442*K442</f>
        <v>56160</v>
      </c>
      <c r="N442" s="101">
        <f t="shared" si="102"/>
        <v>56160</v>
      </c>
      <c r="O442" s="527"/>
    </row>
    <row r="443" spans="1:30" ht="14.1" customHeight="1" x14ac:dyDescent="0.3">
      <c r="A443" s="98"/>
      <c r="B443" s="106" t="s">
        <v>233</v>
      </c>
      <c r="C443" s="1" t="s">
        <v>130</v>
      </c>
      <c r="D443" s="1"/>
      <c r="E443" s="1"/>
      <c r="F443" s="1"/>
      <c r="G443" s="1"/>
      <c r="H443" s="7"/>
      <c r="I443" s="234" t="s">
        <v>467</v>
      </c>
      <c r="J443" s="161">
        <v>0.39</v>
      </c>
      <c r="K443" s="142">
        <f>'UPAH BAHAN'!$H$20</f>
        <v>135000</v>
      </c>
      <c r="L443" s="100">
        <f>J443*K443</f>
        <v>52650</v>
      </c>
      <c r="M443" s="148" t="s">
        <v>233</v>
      </c>
      <c r="N443" s="101">
        <f t="shared" si="102"/>
        <v>52650</v>
      </c>
      <c r="O443" s="527"/>
    </row>
    <row r="444" spans="1:30" ht="14.1" customHeight="1" x14ac:dyDescent="0.3">
      <c r="A444" s="98"/>
      <c r="B444" s="106" t="s">
        <v>233</v>
      </c>
      <c r="C444" s="1" t="s">
        <v>289</v>
      </c>
      <c r="D444" s="1"/>
      <c r="E444" s="1"/>
      <c r="F444" s="1"/>
      <c r="G444" s="1"/>
      <c r="H444" s="7"/>
      <c r="I444" s="234" t="s">
        <v>467</v>
      </c>
      <c r="J444" s="161">
        <v>3.9E-2</v>
      </c>
      <c r="K444" s="142">
        <f>'UPAH BAHAN'!$H$25</f>
        <v>150000</v>
      </c>
      <c r="L444" s="100">
        <f>J444*K444</f>
        <v>5850</v>
      </c>
      <c r="M444" s="148" t="s">
        <v>233</v>
      </c>
      <c r="N444" s="101">
        <f t="shared" si="102"/>
        <v>5850</v>
      </c>
      <c r="O444" s="527"/>
    </row>
    <row r="445" spans="1:30" ht="14.1" customHeight="1" x14ac:dyDescent="0.3">
      <c r="A445" s="98"/>
      <c r="B445" s="106" t="s">
        <v>233</v>
      </c>
      <c r="C445" s="1" t="s">
        <v>128</v>
      </c>
      <c r="D445" s="1"/>
      <c r="E445" s="1"/>
      <c r="F445" s="1"/>
      <c r="G445" s="1"/>
      <c r="H445" s="7"/>
      <c r="I445" s="234" t="s">
        <v>467</v>
      </c>
      <c r="J445" s="161">
        <v>0.78</v>
      </c>
      <c r="K445" s="142">
        <f>'UPAH BAHAN'!$H$19</f>
        <v>105000</v>
      </c>
      <c r="L445" s="100">
        <f>J445*K445</f>
        <v>81900</v>
      </c>
      <c r="M445" s="148" t="s">
        <v>233</v>
      </c>
      <c r="N445" s="101">
        <f t="shared" si="102"/>
        <v>81900</v>
      </c>
      <c r="O445" s="527"/>
    </row>
    <row r="446" spans="1:30" ht="14.1" customHeight="1" x14ac:dyDescent="0.3">
      <c r="A446" s="98"/>
      <c r="B446" s="106" t="s">
        <v>233</v>
      </c>
      <c r="C446" s="1" t="s">
        <v>134</v>
      </c>
      <c r="D446" s="1"/>
      <c r="E446" s="1"/>
      <c r="F446" s="1"/>
      <c r="G446" s="1"/>
      <c r="H446" s="7"/>
      <c r="I446" s="234" t="s">
        <v>467</v>
      </c>
      <c r="J446" s="161">
        <v>3.9E-2</v>
      </c>
      <c r="K446" s="142">
        <f>'UPAH BAHAN'!$H$24</f>
        <v>165000</v>
      </c>
      <c r="L446" s="100">
        <f>J446*K446</f>
        <v>6435</v>
      </c>
      <c r="M446" s="148" t="s">
        <v>233</v>
      </c>
      <c r="N446" s="101">
        <f t="shared" si="102"/>
        <v>6435</v>
      </c>
      <c r="O446" s="527"/>
    </row>
    <row r="447" spans="1:30" ht="14.1" customHeight="1" thickBot="1" x14ac:dyDescent="0.35">
      <c r="A447" s="98"/>
      <c r="B447" s="1"/>
      <c r="C447" s="1"/>
      <c r="D447" s="1"/>
      <c r="E447" s="1"/>
      <c r="F447" s="1"/>
      <c r="G447" s="1"/>
      <c r="H447" s="7"/>
      <c r="I447" s="107"/>
      <c r="J447" s="107"/>
      <c r="K447" s="150" t="s">
        <v>279</v>
      </c>
      <c r="L447" s="107">
        <f>SUM(L441:L446)</f>
        <v>146835</v>
      </c>
      <c r="M447" s="108">
        <f>SUM(M441:M446)</f>
        <v>248160</v>
      </c>
      <c r="N447" s="109">
        <f>SUM(N441:N446)</f>
        <v>394995</v>
      </c>
      <c r="O447" s="527"/>
    </row>
    <row r="448" spans="1:30" ht="14.1" customHeight="1" thickBot="1" x14ac:dyDescent="0.35">
      <c r="A448" s="98"/>
      <c r="B448" s="1"/>
      <c r="C448" s="1"/>
      <c r="D448" s="1"/>
      <c r="E448" s="1"/>
      <c r="F448" s="1"/>
      <c r="G448" s="1"/>
      <c r="H448" s="7"/>
      <c r="I448" s="100"/>
      <c r="J448" s="100"/>
      <c r="K448" s="289" t="s">
        <v>512</v>
      </c>
      <c r="L448" s="100"/>
      <c r="M448" s="99"/>
      <c r="N448" s="101">
        <f>N447*15%</f>
        <v>59249.25</v>
      </c>
      <c r="O448" s="527"/>
      <c r="P448" s="156" t="str">
        <f>B480</f>
        <v xml:space="preserve">1 m²  Plesteran  camp.  1 : 3 </v>
      </c>
      <c r="Q448" s="157"/>
      <c r="R448" s="158"/>
      <c r="S448" s="277"/>
      <c r="T448" s="277"/>
      <c r="U448" s="277"/>
      <c r="V448" s="277"/>
      <c r="W448" s="277"/>
      <c r="X448" s="277"/>
      <c r="Y448" s="277"/>
      <c r="Z448" s="277"/>
      <c r="AA448" s="277"/>
      <c r="AB448" s="277"/>
      <c r="AC448" s="277"/>
      <c r="AD448" s="278"/>
    </row>
    <row r="449" spans="1:30" ht="14.1" customHeight="1" x14ac:dyDescent="0.3">
      <c r="A449" s="172"/>
      <c r="B449" s="173"/>
      <c r="C449" s="173"/>
      <c r="D449" s="173"/>
      <c r="E449" s="173"/>
      <c r="F449" s="173"/>
      <c r="G449" s="173"/>
      <c r="H449" s="174"/>
      <c r="I449" s="175"/>
      <c r="J449" s="175"/>
      <c r="K449" s="176" t="s">
        <v>247</v>
      </c>
      <c r="L449" s="175"/>
      <c r="M449" s="177"/>
      <c r="N449" s="116">
        <f>N447+N448</f>
        <v>454244.25</v>
      </c>
      <c r="O449" s="527"/>
      <c r="P449" s="132"/>
      <c r="Q449" s="140"/>
      <c r="R449" s="133"/>
      <c r="S449" s="279"/>
      <c r="T449" s="279"/>
      <c r="U449" s="279"/>
      <c r="V449" s="279"/>
      <c r="W449" s="279"/>
      <c r="X449" s="279"/>
      <c r="Y449" s="279"/>
      <c r="Z449" s="279"/>
      <c r="AA449" s="279"/>
      <c r="AB449" s="279"/>
      <c r="AC449" s="279"/>
      <c r="AD449" s="280"/>
    </row>
    <row r="450" spans="1:30" ht="14.1" customHeight="1" x14ac:dyDescent="0.3">
      <c r="A450" s="93">
        <f>A440+1</f>
        <v>9</v>
      </c>
      <c r="B450" s="95" t="s">
        <v>290</v>
      </c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7"/>
      <c r="O450" s="527"/>
      <c r="P450" s="132"/>
      <c r="Q450" s="140"/>
      <c r="R450" s="133"/>
      <c r="S450" s="279"/>
      <c r="T450" s="279"/>
      <c r="U450" s="279"/>
      <c r="V450" s="279"/>
      <c r="W450" s="279"/>
      <c r="X450" s="279"/>
      <c r="Y450" s="279"/>
      <c r="Z450" s="279"/>
      <c r="AA450" s="279"/>
      <c r="AB450" s="279"/>
      <c r="AC450" s="279"/>
      <c r="AD450" s="280"/>
    </row>
    <row r="451" spans="1:30" ht="14.1" customHeight="1" x14ac:dyDescent="0.3">
      <c r="A451" s="98"/>
      <c r="B451" s="106" t="s">
        <v>233</v>
      </c>
      <c r="C451" s="1" t="s">
        <v>288</v>
      </c>
      <c r="D451" s="1"/>
      <c r="E451" s="1"/>
      <c r="F451" s="1"/>
      <c r="G451" s="1"/>
      <c r="H451" s="7"/>
      <c r="I451" s="141" t="s">
        <v>148</v>
      </c>
      <c r="J451" s="161">
        <v>1.2</v>
      </c>
      <c r="K451" s="142">
        <f>'UPAH BAHAN'!$H$42</f>
        <v>160000</v>
      </c>
      <c r="L451" s="171" t="s">
        <v>233</v>
      </c>
      <c r="M451" s="99">
        <f>J451*K451</f>
        <v>192000</v>
      </c>
      <c r="N451" s="101">
        <f t="shared" ref="N451:N457" si="103">L451+M451</f>
        <v>192000</v>
      </c>
      <c r="O451" s="525"/>
      <c r="P451" s="132"/>
      <c r="Q451" s="140"/>
      <c r="R451" s="133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8"/>
    </row>
    <row r="452" spans="1:30" ht="14.1" customHeight="1" x14ac:dyDescent="0.3">
      <c r="A452" s="98"/>
      <c r="B452" s="106" t="s">
        <v>233</v>
      </c>
      <c r="C452" s="1" t="s">
        <v>152</v>
      </c>
      <c r="D452" s="1"/>
      <c r="E452" s="1"/>
      <c r="F452" s="1"/>
      <c r="G452" s="1"/>
      <c r="H452" s="7"/>
      <c r="I452" s="141" t="s">
        <v>153</v>
      </c>
      <c r="J452" s="161">
        <v>3.2570000000000001</v>
      </c>
      <c r="K452" s="142">
        <f>'UPAH BAHAN'!$H$41</f>
        <v>56000</v>
      </c>
      <c r="L452" s="171" t="s">
        <v>233</v>
      </c>
      <c r="M452" s="99">
        <f>J452*K452</f>
        <v>182392</v>
      </c>
      <c r="N452" s="101">
        <f t="shared" si="103"/>
        <v>182392</v>
      </c>
      <c r="O452" s="525"/>
      <c r="P452" s="132"/>
      <c r="Q452" s="140"/>
      <c r="R452" s="133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8"/>
    </row>
    <row r="453" spans="1:30" ht="14.1" customHeight="1" thickBot="1" x14ac:dyDescent="0.35">
      <c r="A453" s="98"/>
      <c r="B453" s="106" t="s">
        <v>233</v>
      </c>
      <c r="C453" s="1" t="s">
        <v>291</v>
      </c>
      <c r="D453" s="1"/>
      <c r="E453" s="1"/>
      <c r="F453" s="1"/>
      <c r="G453" s="1"/>
      <c r="H453" s="7"/>
      <c r="I453" s="141" t="s">
        <v>148</v>
      </c>
      <c r="J453" s="161">
        <v>0.52200000000000002</v>
      </c>
      <c r="K453" s="142">
        <f>'UPAH BAHAN'!$H$38</f>
        <v>250000</v>
      </c>
      <c r="L453" s="171" t="s">
        <v>233</v>
      </c>
      <c r="M453" s="99">
        <f>J453*K453</f>
        <v>130500</v>
      </c>
      <c r="N453" s="101">
        <f t="shared" si="103"/>
        <v>130500</v>
      </c>
      <c r="O453" s="525"/>
      <c r="P453" s="132"/>
      <c r="Q453" s="140"/>
      <c r="R453" s="133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8"/>
    </row>
    <row r="454" spans="1:30" ht="14.1" customHeight="1" thickBot="1" x14ac:dyDescent="0.35">
      <c r="A454" s="98"/>
      <c r="B454" s="106" t="s">
        <v>233</v>
      </c>
      <c r="C454" s="1" t="s">
        <v>128</v>
      </c>
      <c r="D454" s="1"/>
      <c r="E454" s="1"/>
      <c r="F454" s="1"/>
      <c r="G454" s="1"/>
      <c r="H454" s="7"/>
      <c r="I454" s="1"/>
      <c r="J454" s="161">
        <v>1.25</v>
      </c>
      <c r="K454" s="142">
        <f>'UPAH BAHAN'!$H$19</f>
        <v>105000</v>
      </c>
      <c r="L454" s="100">
        <f>J454*K454</f>
        <v>131250</v>
      </c>
      <c r="M454" s="148" t="s">
        <v>233</v>
      </c>
      <c r="N454" s="101">
        <f t="shared" si="103"/>
        <v>131250</v>
      </c>
      <c r="O454" s="525"/>
      <c r="P454" s="151"/>
      <c r="Q454" s="152"/>
      <c r="R454" s="152">
        <f t="shared" ref="R454:AC454" ca="1" si="104">SUM(R449:R454)</f>
        <v>0</v>
      </c>
      <c r="S454" s="152">
        <f t="shared" ca="1" si="104"/>
        <v>0</v>
      </c>
      <c r="T454" s="152">
        <f t="shared" ca="1" si="104"/>
        <v>0</v>
      </c>
      <c r="U454" s="152">
        <f t="shared" ca="1" si="104"/>
        <v>0</v>
      </c>
      <c r="V454" s="152">
        <f t="shared" ca="1" si="104"/>
        <v>0</v>
      </c>
      <c r="W454" s="152">
        <f t="shared" ca="1" si="104"/>
        <v>0</v>
      </c>
      <c r="X454" s="152">
        <f t="shared" ca="1" si="104"/>
        <v>0</v>
      </c>
      <c r="Y454" s="152">
        <f t="shared" ca="1" si="104"/>
        <v>0</v>
      </c>
      <c r="Z454" s="152">
        <f t="shared" ca="1" si="104"/>
        <v>0</v>
      </c>
      <c r="AA454" s="152">
        <f t="shared" ca="1" si="104"/>
        <v>0</v>
      </c>
      <c r="AB454" s="152">
        <f t="shared" ca="1" si="104"/>
        <v>0</v>
      </c>
      <c r="AC454" s="152">
        <f t="shared" ca="1" si="104"/>
        <v>0</v>
      </c>
      <c r="AD454" s="153"/>
    </row>
    <row r="455" spans="1:30" ht="14.1" customHeight="1" x14ac:dyDescent="0.3">
      <c r="A455" s="98"/>
      <c r="B455" s="106" t="s">
        <v>233</v>
      </c>
      <c r="C455" s="1" t="s">
        <v>134</v>
      </c>
      <c r="D455" s="1"/>
      <c r="E455" s="1"/>
      <c r="F455" s="1"/>
      <c r="G455" s="1"/>
      <c r="H455" s="7"/>
      <c r="I455" s="1"/>
      <c r="J455" s="161">
        <v>1.3000000000000001E-2</v>
      </c>
      <c r="K455" s="142">
        <f>'UPAH BAHAN'!$H$24</f>
        <v>165000</v>
      </c>
      <c r="L455" s="100">
        <f>J455*K455</f>
        <v>2145</v>
      </c>
      <c r="M455" s="148" t="s">
        <v>233</v>
      </c>
      <c r="N455" s="101">
        <f t="shared" si="103"/>
        <v>2145</v>
      </c>
      <c r="O455" s="525"/>
    </row>
    <row r="456" spans="1:30" ht="14.1" customHeight="1" thickBot="1" x14ac:dyDescent="0.35">
      <c r="A456" s="98"/>
      <c r="B456" s="106" t="s">
        <v>233</v>
      </c>
      <c r="C456" s="1" t="s">
        <v>130</v>
      </c>
      <c r="D456" s="1"/>
      <c r="E456" s="1"/>
      <c r="F456" s="1"/>
      <c r="G456" s="1"/>
      <c r="H456" s="7"/>
      <c r="I456" s="1"/>
      <c r="J456" s="161">
        <v>0.5</v>
      </c>
      <c r="K456" s="142">
        <f>'UPAH BAHAN'!$H$20</f>
        <v>135000</v>
      </c>
      <c r="L456" s="100">
        <f>J456*K456</f>
        <v>67500</v>
      </c>
      <c r="M456" s="148" t="s">
        <v>233</v>
      </c>
      <c r="N456" s="101">
        <f t="shared" si="103"/>
        <v>67500</v>
      </c>
      <c r="O456" s="525"/>
    </row>
    <row r="457" spans="1:30" ht="14.1" customHeight="1" thickBot="1" x14ac:dyDescent="0.35">
      <c r="A457" s="98"/>
      <c r="B457" s="106" t="s">
        <v>233</v>
      </c>
      <c r="C457" s="1" t="s">
        <v>289</v>
      </c>
      <c r="D457" s="1"/>
      <c r="E457" s="1"/>
      <c r="F457" s="1"/>
      <c r="G457" s="1"/>
      <c r="H457" s="7"/>
      <c r="I457" s="1"/>
      <c r="J457" s="161">
        <v>0.05</v>
      </c>
      <c r="K457" s="142">
        <f>'UPAH BAHAN'!$H$25</f>
        <v>150000</v>
      </c>
      <c r="L457" s="100">
        <f>J457*K457</f>
        <v>7500</v>
      </c>
      <c r="M457" s="148" t="s">
        <v>233</v>
      </c>
      <c r="N457" s="101">
        <f t="shared" si="103"/>
        <v>7500</v>
      </c>
      <c r="O457" s="525"/>
      <c r="P457" s="156" t="str">
        <f>B517</f>
        <v>Pembuatan dan Pengecorn 1 m3 Campuran Beton fc' = 7.4 s.d 9.4 MPa (K-100 s.d K-125) untuk Lantai Kerja</v>
      </c>
      <c r="Q457" s="157"/>
      <c r="R457" s="158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60"/>
    </row>
    <row r="458" spans="1:30" ht="14.1" customHeight="1" x14ac:dyDescent="0.3">
      <c r="A458" s="98"/>
      <c r="B458" s="1"/>
      <c r="C458" s="1"/>
      <c r="D458" s="1"/>
      <c r="E458" s="1"/>
      <c r="F458" s="1"/>
      <c r="G458" s="1"/>
      <c r="H458" s="7"/>
      <c r="I458" s="107"/>
      <c r="J458" s="107"/>
      <c r="K458" s="150" t="s">
        <v>279</v>
      </c>
      <c r="L458" s="107">
        <f>SUM(L451:L457)</f>
        <v>208395</v>
      </c>
      <c r="M458" s="108">
        <f>SUM(M451:M457)</f>
        <v>504892</v>
      </c>
      <c r="N458" s="109">
        <f>SUM(N451:N457)</f>
        <v>713287</v>
      </c>
      <c r="O458" s="525"/>
      <c r="P458" s="132"/>
      <c r="Q458" s="140"/>
      <c r="R458" s="133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8"/>
    </row>
    <row r="459" spans="1:30" ht="14.1" customHeight="1" x14ac:dyDescent="0.3">
      <c r="A459" s="98"/>
      <c r="B459" s="1"/>
      <c r="C459" s="1"/>
      <c r="D459" s="1"/>
      <c r="E459" s="1"/>
      <c r="F459" s="1"/>
      <c r="G459" s="1"/>
      <c r="H459" s="7"/>
      <c r="I459" s="100"/>
      <c r="J459" s="100"/>
      <c r="K459" s="289" t="s">
        <v>512</v>
      </c>
      <c r="L459" s="100"/>
      <c r="M459" s="99"/>
      <c r="N459" s="101">
        <f>N458*15%</f>
        <v>106993.05</v>
      </c>
      <c r="O459" s="525"/>
      <c r="P459" s="132"/>
      <c r="Q459" s="140"/>
      <c r="R459" s="133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8"/>
    </row>
    <row r="460" spans="1:30" ht="14.1" customHeight="1" x14ac:dyDescent="0.3">
      <c r="A460" s="172"/>
      <c r="B460" s="173"/>
      <c r="C460" s="173"/>
      <c r="D460" s="173"/>
      <c r="E460" s="173"/>
      <c r="F460" s="173"/>
      <c r="G460" s="173"/>
      <c r="H460" s="174"/>
      <c r="I460" s="175"/>
      <c r="J460" s="175"/>
      <c r="K460" s="176" t="s">
        <v>247</v>
      </c>
      <c r="L460" s="175"/>
      <c r="M460" s="177"/>
      <c r="N460" s="116">
        <f>N458+N459</f>
        <v>820280.05</v>
      </c>
      <c r="O460" s="525"/>
      <c r="P460" s="132"/>
      <c r="Q460" s="140"/>
      <c r="R460" s="133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8"/>
    </row>
    <row r="461" spans="1:30" ht="14.1" customHeight="1" thickBot="1" x14ac:dyDescent="0.35">
      <c r="A461" s="178"/>
      <c r="B461" s="179"/>
      <c r="C461" s="179"/>
      <c r="D461" s="179"/>
      <c r="E461" s="179"/>
      <c r="F461" s="179"/>
      <c r="G461" s="179"/>
      <c r="H461" s="180"/>
      <c r="I461" s="179"/>
      <c r="J461" s="181"/>
      <c r="K461" s="180"/>
      <c r="L461" s="180"/>
      <c r="M461" s="180"/>
      <c r="N461" s="182"/>
      <c r="O461" s="525"/>
      <c r="P461" s="132"/>
      <c r="Q461" s="140"/>
      <c r="R461" s="133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8"/>
    </row>
    <row r="462" spans="1:30" ht="14.1" customHeight="1" x14ac:dyDescent="0.3">
      <c r="A462" s="119"/>
      <c r="B462" s="120"/>
      <c r="C462" s="120"/>
      <c r="D462" s="120"/>
      <c r="E462" s="120"/>
      <c r="F462" s="120"/>
      <c r="G462" s="120"/>
      <c r="H462" s="120"/>
      <c r="I462" s="120"/>
      <c r="J462" s="121"/>
      <c r="K462" s="121"/>
      <c r="L462" s="121"/>
      <c r="M462" s="121"/>
      <c r="N462" s="121"/>
      <c r="O462" s="525"/>
      <c r="P462" s="132"/>
      <c r="Q462" s="140"/>
      <c r="R462" s="133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8"/>
    </row>
    <row r="463" spans="1:30" ht="14.1" customHeight="1" thickBot="1" x14ac:dyDescent="0.35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3" t="s">
        <v>292</v>
      </c>
      <c r="O463" s="525"/>
      <c r="P463" s="132"/>
      <c r="Q463" s="140"/>
      <c r="R463" s="133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8"/>
    </row>
    <row r="464" spans="1:30" ht="14.1" customHeight="1" x14ac:dyDescent="0.3">
      <c r="A464" s="1589" t="s">
        <v>9</v>
      </c>
      <c r="B464" s="1592" t="s">
        <v>10</v>
      </c>
      <c r="C464" s="1592"/>
      <c r="D464" s="1592"/>
      <c r="E464" s="1592"/>
      <c r="F464" s="1592"/>
      <c r="G464" s="1592"/>
      <c r="H464" s="1593"/>
      <c r="I464" s="1543" t="s">
        <v>210</v>
      </c>
      <c r="J464" s="1543" t="s">
        <v>211</v>
      </c>
      <c r="K464" s="73" t="s">
        <v>212</v>
      </c>
      <c r="L464" s="1598" t="s">
        <v>12</v>
      </c>
      <c r="M464" s="1599"/>
      <c r="N464" s="1600"/>
      <c r="O464" s="525"/>
      <c r="P464" s="132"/>
      <c r="Q464" s="140"/>
      <c r="R464" s="133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8"/>
    </row>
    <row r="465" spans="1:30" ht="14.1" customHeight="1" thickBot="1" x14ac:dyDescent="0.35">
      <c r="A465" s="1590"/>
      <c r="B465" s="1594"/>
      <c r="C465" s="1594"/>
      <c r="D465" s="1594"/>
      <c r="E465" s="1594"/>
      <c r="F465" s="1594"/>
      <c r="G465" s="1594"/>
      <c r="H465" s="1595"/>
      <c r="I465" s="1544"/>
      <c r="J465" s="1544"/>
      <c r="K465" s="75" t="s">
        <v>11</v>
      </c>
      <c r="L465" s="75" t="s">
        <v>217</v>
      </c>
      <c r="M465" s="75" t="s">
        <v>218</v>
      </c>
      <c r="N465" s="76" t="s">
        <v>219</v>
      </c>
      <c r="O465" s="525"/>
      <c r="P465" s="164"/>
      <c r="Q465" s="165"/>
      <c r="R465" s="166"/>
      <c r="S465" s="167"/>
      <c r="T465" s="167"/>
      <c r="U465" s="167"/>
      <c r="V465" s="167"/>
      <c r="W465" s="168"/>
      <c r="X465" s="168"/>
      <c r="Y465" s="167"/>
      <c r="Z465" s="167"/>
      <c r="AA465" s="167"/>
      <c r="AB465" s="167"/>
      <c r="AC465" s="167"/>
      <c r="AD465" s="169"/>
    </row>
    <row r="466" spans="1:30" ht="14.1" customHeight="1" thickBot="1" x14ac:dyDescent="0.35">
      <c r="A466" s="1591"/>
      <c r="B466" s="1596"/>
      <c r="C466" s="1596"/>
      <c r="D466" s="1596"/>
      <c r="E466" s="1596"/>
      <c r="F466" s="1596"/>
      <c r="G466" s="1596"/>
      <c r="H466" s="1597"/>
      <c r="I466" s="1545"/>
      <c r="J466" s="1545"/>
      <c r="K466" s="81" t="s">
        <v>228</v>
      </c>
      <c r="L466" s="81" t="s">
        <v>228</v>
      </c>
      <c r="M466" s="81" t="s">
        <v>228</v>
      </c>
      <c r="N466" s="82" t="s">
        <v>228</v>
      </c>
      <c r="O466" s="525"/>
      <c r="P466" s="151"/>
      <c r="Q466" s="152"/>
      <c r="R466" s="152">
        <f t="shared" ref="R466:AC466" si="105">SUM(R458:R465)</f>
        <v>0</v>
      </c>
      <c r="S466" s="152">
        <f t="shared" si="105"/>
        <v>0</v>
      </c>
      <c r="T466" s="152">
        <f t="shared" si="105"/>
        <v>0</v>
      </c>
      <c r="U466" s="152">
        <f t="shared" si="105"/>
        <v>0</v>
      </c>
      <c r="V466" s="152">
        <f t="shared" si="105"/>
        <v>0</v>
      </c>
      <c r="W466" s="152">
        <f t="shared" si="105"/>
        <v>0</v>
      </c>
      <c r="X466" s="152">
        <f t="shared" si="105"/>
        <v>0</v>
      </c>
      <c r="Y466" s="152">
        <f t="shared" si="105"/>
        <v>0</v>
      </c>
      <c r="Z466" s="152">
        <f t="shared" si="105"/>
        <v>0</v>
      </c>
      <c r="AA466" s="152">
        <f t="shared" si="105"/>
        <v>0</v>
      </c>
      <c r="AB466" s="152">
        <f t="shared" si="105"/>
        <v>0</v>
      </c>
      <c r="AC466" s="152">
        <f t="shared" si="105"/>
        <v>0</v>
      </c>
      <c r="AD466" s="153"/>
    </row>
    <row r="467" spans="1:30" ht="14.1" customHeight="1" x14ac:dyDescent="0.3">
      <c r="A467" s="309"/>
      <c r="B467" s="310"/>
      <c r="C467" s="310"/>
      <c r="D467" s="310"/>
      <c r="E467" s="310"/>
      <c r="F467" s="310"/>
      <c r="G467" s="310"/>
      <c r="H467" s="310"/>
      <c r="I467" s="310"/>
      <c r="J467" s="310"/>
      <c r="K467" s="500"/>
      <c r="L467" s="500"/>
      <c r="M467" s="500"/>
      <c r="N467" s="82"/>
      <c r="O467" s="525"/>
      <c r="P467" s="501"/>
      <c r="Q467" s="501"/>
      <c r="R467" s="501"/>
      <c r="S467" s="501"/>
      <c r="T467" s="501"/>
      <c r="U467" s="501"/>
      <c r="V467" s="501"/>
      <c r="W467" s="501"/>
      <c r="X467" s="501"/>
      <c r="Y467" s="501"/>
      <c r="Z467" s="501"/>
      <c r="AA467" s="501"/>
      <c r="AB467" s="501"/>
      <c r="AC467" s="501"/>
      <c r="AD467" s="501"/>
    </row>
    <row r="468" spans="1:30" ht="14.1" customHeight="1" x14ac:dyDescent="0.3">
      <c r="A468" s="309"/>
      <c r="B468" s="310"/>
      <c r="C468" s="310"/>
      <c r="D468" s="310"/>
      <c r="E468" s="310"/>
      <c r="F468" s="310"/>
      <c r="G468" s="310"/>
      <c r="H468" s="310"/>
      <c r="I468" s="310"/>
      <c r="J468" s="310"/>
      <c r="K468" s="500"/>
      <c r="L468" s="500"/>
      <c r="M468" s="500"/>
      <c r="N468" s="82"/>
      <c r="O468" s="525"/>
      <c r="P468" s="501"/>
      <c r="Q468" s="501"/>
      <c r="R468" s="501"/>
      <c r="S468" s="501"/>
      <c r="T468" s="501"/>
      <c r="U468" s="501"/>
      <c r="V468" s="501"/>
      <c r="W468" s="501"/>
      <c r="X468" s="501"/>
      <c r="Y468" s="501"/>
      <c r="Z468" s="501"/>
      <c r="AA468" s="501"/>
      <c r="AB468" s="501"/>
      <c r="AC468" s="501"/>
      <c r="AD468" s="501"/>
    </row>
    <row r="469" spans="1:30" ht="14.1" customHeight="1" x14ac:dyDescent="0.3">
      <c r="A469" s="183">
        <f>A438+1</f>
        <v>1</v>
      </c>
      <c r="B469" s="95" t="s">
        <v>578</v>
      </c>
      <c r="C469" s="95" t="s">
        <v>579</v>
      </c>
      <c r="D469" s="95"/>
      <c r="E469" s="95"/>
      <c r="F469" s="95"/>
      <c r="G469" s="95"/>
      <c r="H469" s="378"/>
      <c r="I469" s="96"/>
      <c r="J469" s="96"/>
      <c r="K469" s="502"/>
      <c r="L469" s="96"/>
      <c r="M469" s="503"/>
      <c r="N469" s="97"/>
      <c r="O469" s="525"/>
      <c r="P469" s="501"/>
      <c r="Q469" s="501"/>
      <c r="R469" s="501"/>
      <c r="S469" s="501"/>
      <c r="T469" s="501"/>
      <c r="U469" s="501"/>
      <c r="V469" s="501"/>
      <c r="W469" s="501"/>
      <c r="X469" s="501"/>
      <c r="Y469" s="501"/>
      <c r="Z469" s="501"/>
      <c r="AA469" s="501"/>
      <c r="AB469" s="501"/>
      <c r="AC469" s="501"/>
      <c r="AD469" s="501"/>
    </row>
    <row r="470" spans="1:30" ht="14.1" customHeight="1" x14ac:dyDescent="0.3">
      <c r="A470" s="184"/>
      <c r="B470" s="106" t="s">
        <v>233</v>
      </c>
      <c r="C470" s="1" t="s">
        <v>580</v>
      </c>
      <c r="D470" s="1"/>
      <c r="E470" s="1"/>
      <c r="F470" s="1"/>
      <c r="G470" s="1"/>
      <c r="H470" s="7"/>
      <c r="I470" s="170" t="s">
        <v>86</v>
      </c>
      <c r="J470" s="504">
        <v>70</v>
      </c>
      <c r="K470" s="505">
        <f>'UPAH BAHAN'!H43</f>
        <v>900</v>
      </c>
      <c r="L470" s="108"/>
      <c r="M470" s="170">
        <f>K470*J470</f>
        <v>63000</v>
      </c>
      <c r="N470" s="196">
        <f>M470+L470</f>
        <v>63000</v>
      </c>
      <c r="O470" s="525"/>
      <c r="P470" s="501"/>
      <c r="Q470" s="501"/>
      <c r="R470" s="501"/>
      <c r="S470" s="501"/>
      <c r="T470" s="501"/>
      <c r="U470" s="501"/>
      <c r="V470" s="501"/>
      <c r="W470" s="501"/>
      <c r="X470" s="501"/>
      <c r="Y470" s="501"/>
      <c r="Z470" s="501"/>
      <c r="AA470" s="501"/>
      <c r="AB470" s="501"/>
      <c r="AC470" s="501"/>
      <c r="AD470" s="501"/>
    </row>
    <row r="471" spans="1:30" ht="14.1" customHeight="1" x14ac:dyDescent="0.3">
      <c r="A471" s="184"/>
      <c r="B471" s="106" t="s">
        <v>233</v>
      </c>
      <c r="C471" s="1" t="s">
        <v>581</v>
      </c>
      <c r="D471" s="1"/>
      <c r="E471" s="1"/>
      <c r="F471" s="1"/>
      <c r="G471" s="1"/>
      <c r="H471" s="7"/>
      <c r="I471" s="148" t="s">
        <v>28</v>
      </c>
      <c r="J471" s="200">
        <v>14.37</v>
      </c>
      <c r="K471" s="506">
        <f>'UPAH BAHAN'!H41/50</f>
        <v>1120</v>
      </c>
      <c r="L471" s="99"/>
      <c r="M471" s="148">
        <f>K471*J471</f>
        <v>16094.4</v>
      </c>
      <c r="N471" s="507">
        <f t="shared" ref="N471:N476" si="106">M471+L471</f>
        <v>16094.4</v>
      </c>
      <c r="O471" s="525"/>
      <c r="P471" s="501"/>
      <c r="Q471" s="501"/>
      <c r="R471" s="501"/>
      <c r="S471" s="501"/>
      <c r="T471" s="501"/>
      <c r="U471" s="501"/>
      <c r="V471" s="501"/>
      <c r="W471" s="501"/>
      <c r="X471" s="501"/>
      <c r="Y471" s="501"/>
      <c r="Z471" s="501"/>
      <c r="AA471" s="501"/>
      <c r="AB471" s="501"/>
      <c r="AC471" s="501"/>
      <c r="AD471" s="501"/>
    </row>
    <row r="472" spans="1:30" ht="14.1" customHeight="1" x14ac:dyDescent="0.3">
      <c r="A472" s="184"/>
      <c r="B472" s="106" t="s">
        <v>233</v>
      </c>
      <c r="C472" s="1" t="s">
        <v>291</v>
      </c>
      <c r="D472" s="1"/>
      <c r="E472" s="1"/>
      <c r="F472" s="1"/>
      <c r="G472" s="1"/>
      <c r="H472" s="7"/>
      <c r="I472" s="148" t="s">
        <v>158</v>
      </c>
      <c r="J472" s="200">
        <v>0.04</v>
      </c>
      <c r="K472" s="506">
        <f>'UPAH BAHAN'!H38</f>
        <v>250000</v>
      </c>
      <c r="L472" s="99"/>
      <c r="M472" s="148">
        <f>K472*J472</f>
        <v>10000</v>
      </c>
      <c r="N472" s="507">
        <f t="shared" si="106"/>
        <v>10000</v>
      </c>
      <c r="O472" s="525"/>
      <c r="P472" s="501"/>
      <c r="Q472" s="501"/>
      <c r="R472" s="501"/>
      <c r="S472" s="501"/>
      <c r="T472" s="501"/>
      <c r="U472" s="501"/>
      <c r="V472" s="501"/>
      <c r="W472" s="501"/>
      <c r="X472" s="501"/>
      <c r="Y472" s="501"/>
      <c r="Z472" s="501"/>
      <c r="AA472" s="501"/>
      <c r="AB472" s="501"/>
      <c r="AC472" s="501"/>
      <c r="AD472" s="501"/>
    </row>
    <row r="473" spans="1:30" ht="14.1" customHeight="1" x14ac:dyDescent="0.3">
      <c r="A473" s="184"/>
      <c r="B473" s="106" t="s">
        <v>233</v>
      </c>
      <c r="C473" s="1" t="s">
        <v>582</v>
      </c>
      <c r="D473" s="1"/>
      <c r="E473" s="1"/>
      <c r="F473" s="1"/>
      <c r="G473" s="1"/>
      <c r="H473" s="7"/>
      <c r="I473" s="148" t="s">
        <v>583</v>
      </c>
      <c r="J473" s="200">
        <v>0.1</v>
      </c>
      <c r="K473" s="506">
        <f>'UPAH BAHAN'!H20</f>
        <v>135000</v>
      </c>
      <c r="L473" s="99">
        <f>K473*J473</f>
        <v>13500</v>
      </c>
      <c r="M473" s="148"/>
      <c r="N473" s="507">
        <f t="shared" si="106"/>
        <v>13500</v>
      </c>
      <c r="O473" s="525"/>
      <c r="P473" s="501"/>
      <c r="Q473" s="501"/>
      <c r="R473" s="501"/>
      <c r="S473" s="501"/>
      <c r="T473" s="501"/>
      <c r="U473" s="501"/>
      <c r="V473" s="501"/>
      <c r="W473" s="501"/>
      <c r="X473" s="501"/>
      <c r="Y473" s="501"/>
      <c r="Z473" s="501"/>
      <c r="AA473" s="501"/>
      <c r="AB473" s="501"/>
      <c r="AC473" s="501"/>
      <c r="AD473" s="501"/>
    </row>
    <row r="474" spans="1:30" ht="14.1" customHeight="1" x14ac:dyDescent="0.3">
      <c r="A474" s="184"/>
      <c r="B474" s="106" t="s">
        <v>233</v>
      </c>
      <c r="C474" s="1" t="s">
        <v>135</v>
      </c>
      <c r="D474" s="1"/>
      <c r="E474" s="1"/>
      <c r="F474" s="1"/>
      <c r="G474" s="1"/>
      <c r="H474" s="7"/>
      <c r="I474" s="148" t="s">
        <v>583</v>
      </c>
      <c r="J474" s="200">
        <v>0.01</v>
      </c>
      <c r="K474" s="506">
        <f>'UPAH BAHAN'!H25</f>
        <v>150000</v>
      </c>
      <c r="L474" s="99">
        <f>K474*J474</f>
        <v>1500</v>
      </c>
      <c r="M474" s="148"/>
      <c r="N474" s="507">
        <f t="shared" si="106"/>
        <v>1500</v>
      </c>
      <c r="O474" s="525"/>
      <c r="P474" s="501"/>
      <c r="Q474" s="501"/>
      <c r="R474" s="501"/>
      <c r="S474" s="501"/>
      <c r="T474" s="501"/>
      <c r="U474" s="501"/>
      <c r="V474" s="501"/>
      <c r="W474" s="501"/>
      <c r="X474" s="501"/>
      <c r="Y474" s="501"/>
      <c r="Z474" s="501"/>
      <c r="AA474" s="501"/>
      <c r="AB474" s="501"/>
      <c r="AC474" s="501"/>
      <c r="AD474" s="501"/>
    </row>
    <row r="475" spans="1:30" ht="14.1" customHeight="1" x14ac:dyDescent="0.3">
      <c r="A475" s="184"/>
      <c r="B475" s="106" t="s">
        <v>233</v>
      </c>
      <c r="C475" s="1" t="s">
        <v>584</v>
      </c>
      <c r="D475" s="1"/>
      <c r="E475" s="1"/>
      <c r="F475" s="1"/>
      <c r="G475" s="1"/>
      <c r="H475" s="7"/>
      <c r="I475" s="148" t="s">
        <v>583</v>
      </c>
      <c r="J475" s="200">
        <v>0.3</v>
      </c>
      <c r="K475" s="506">
        <f>'UPAH BAHAN'!H19</f>
        <v>105000</v>
      </c>
      <c r="L475" s="99">
        <f>K475*J475</f>
        <v>31500</v>
      </c>
      <c r="M475" s="148"/>
      <c r="N475" s="507">
        <f t="shared" si="106"/>
        <v>31500</v>
      </c>
      <c r="O475" s="525"/>
      <c r="P475" s="501"/>
      <c r="Q475" s="501"/>
      <c r="R475" s="501"/>
      <c r="S475" s="501"/>
      <c r="T475" s="501"/>
      <c r="U475" s="501"/>
      <c r="V475" s="501"/>
      <c r="W475" s="501"/>
      <c r="X475" s="501"/>
      <c r="Y475" s="501"/>
      <c r="Z475" s="501"/>
      <c r="AA475" s="501"/>
      <c r="AB475" s="501"/>
      <c r="AC475" s="501"/>
      <c r="AD475" s="501"/>
    </row>
    <row r="476" spans="1:30" ht="14.1" customHeight="1" x14ac:dyDescent="0.3">
      <c r="A476" s="184"/>
      <c r="B476" s="106" t="s">
        <v>233</v>
      </c>
      <c r="C476" s="1" t="s">
        <v>134</v>
      </c>
      <c r="D476" s="1"/>
      <c r="E476" s="1"/>
      <c r="F476" s="1"/>
      <c r="G476" s="1"/>
      <c r="H476" s="7"/>
      <c r="I476" s="177" t="s">
        <v>583</v>
      </c>
      <c r="J476" s="508">
        <v>1.4999999999999999E-2</v>
      </c>
      <c r="K476" s="509">
        <f>'UPAH BAHAN'!H24</f>
        <v>165000</v>
      </c>
      <c r="L476" s="99">
        <f>K476*J476</f>
        <v>2475</v>
      </c>
      <c r="M476" s="177"/>
      <c r="N476" s="510">
        <f t="shared" si="106"/>
        <v>2475</v>
      </c>
      <c r="O476" s="525"/>
      <c r="P476" s="501"/>
      <c r="Q476" s="501"/>
      <c r="R476" s="501"/>
      <c r="S476" s="501"/>
      <c r="T476" s="501"/>
      <c r="U476" s="501"/>
      <c r="V476" s="501"/>
      <c r="W476" s="501"/>
      <c r="X476" s="501"/>
      <c r="Y476" s="501"/>
      <c r="Z476" s="501"/>
      <c r="AA476" s="501"/>
      <c r="AB476" s="501"/>
      <c r="AC476" s="501"/>
      <c r="AD476" s="501"/>
    </row>
    <row r="477" spans="1:30" ht="14.1" customHeight="1" x14ac:dyDescent="0.3">
      <c r="A477" s="184"/>
      <c r="B477" s="1"/>
      <c r="C477" s="1"/>
      <c r="D477" s="1"/>
      <c r="E477" s="1"/>
      <c r="F477" s="1"/>
      <c r="G477" s="1"/>
      <c r="H477" s="7"/>
      <c r="I477" s="107"/>
      <c r="J477" s="107"/>
      <c r="K477" s="150" t="s">
        <v>279</v>
      </c>
      <c r="L477" s="107">
        <f>SUM(L470:L476)</f>
        <v>48975</v>
      </c>
      <c r="M477" s="108">
        <f>SUM(M470:M476)</f>
        <v>89094.399999999994</v>
      </c>
      <c r="N477" s="109">
        <f>SUM(N470:N476)</f>
        <v>138069.4</v>
      </c>
      <c r="O477" s="525"/>
      <c r="P477" s="501"/>
      <c r="Q477" s="501"/>
      <c r="R477" s="501"/>
      <c r="S477" s="501"/>
      <c r="T477" s="501"/>
      <c r="U477" s="501"/>
      <c r="V477" s="501"/>
      <c r="W477" s="501"/>
      <c r="X477" s="501"/>
      <c r="Y477" s="501"/>
      <c r="Z477" s="501"/>
      <c r="AA477" s="501"/>
      <c r="AB477" s="501"/>
      <c r="AC477" s="501"/>
      <c r="AD477" s="501"/>
    </row>
    <row r="478" spans="1:30" ht="14.1" customHeight="1" x14ac:dyDescent="0.3">
      <c r="A478" s="184"/>
      <c r="B478" s="1"/>
      <c r="C478" s="1"/>
      <c r="D478" s="1"/>
      <c r="E478" s="1"/>
      <c r="F478" s="1"/>
      <c r="G478" s="1"/>
      <c r="H478" s="7"/>
      <c r="I478" s="100"/>
      <c r="J478" s="100"/>
      <c r="K478" s="154" t="str">
        <f>K459</f>
        <v>Over head &amp; Profit 15 %</v>
      </c>
      <c r="L478" s="100"/>
      <c r="M478" s="99"/>
      <c r="N478" s="101">
        <f>N477*15%</f>
        <v>20710.41</v>
      </c>
      <c r="O478" s="525"/>
      <c r="P478" s="501"/>
      <c r="Q478" s="501"/>
      <c r="R478" s="501"/>
      <c r="S478" s="501"/>
      <c r="T478" s="501"/>
      <c r="U478" s="501"/>
      <c r="V478" s="501"/>
      <c r="W478" s="501"/>
      <c r="X478" s="501"/>
      <c r="Y478" s="501"/>
      <c r="Z478" s="501"/>
      <c r="AA478" s="501"/>
      <c r="AB478" s="501"/>
      <c r="AC478" s="501"/>
      <c r="AD478" s="501"/>
    </row>
    <row r="479" spans="1:30" ht="14.1" customHeight="1" x14ac:dyDescent="0.3">
      <c r="A479" s="309"/>
      <c r="B479" s="1"/>
      <c r="C479" s="1"/>
      <c r="D479" s="1"/>
      <c r="E479" s="1"/>
      <c r="F479" s="1"/>
      <c r="G479" s="1"/>
      <c r="H479" s="7"/>
      <c r="I479" s="175"/>
      <c r="J479" s="175"/>
      <c r="K479" s="176" t="s">
        <v>247</v>
      </c>
      <c r="L479" s="175"/>
      <c r="M479" s="177"/>
      <c r="N479" s="116">
        <f>N477+N478</f>
        <v>158779.81</v>
      </c>
      <c r="O479" s="525"/>
      <c r="P479" s="501"/>
      <c r="Q479" s="501"/>
      <c r="R479" s="501"/>
      <c r="S479" s="501"/>
      <c r="T479" s="501"/>
      <c r="U479" s="501"/>
      <c r="V479" s="501"/>
      <c r="W479" s="501"/>
      <c r="X479" s="501"/>
      <c r="Y479" s="501"/>
      <c r="Z479" s="501"/>
      <c r="AA479" s="501"/>
      <c r="AB479" s="501"/>
      <c r="AC479" s="501"/>
      <c r="AD479" s="501"/>
    </row>
    <row r="480" spans="1:30" ht="14.1" customHeight="1" thickBot="1" x14ac:dyDescent="0.35">
      <c r="A480" s="183">
        <f>A450+1</f>
        <v>10</v>
      </c>
      <c r="B480" s="95" t="s">
        <v>293</v>
      </c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7"/>
      <c r="O480" s="525"/>
    </row>
    <row r="481" spans="1:30" ht="14.1" customHeight="1" thickBot="1" x14ac:dyDescent="0.35">
      <c r="A481" s="184"/>
      <c r="B481" s="106" t="s">
        <v>233</v>
      </c>
      <c r="C481" s="1" t="s">
        <v>152</v>
      </c>
      <c r="D481" s="1"/>
      <c r="E481" s="1"/>
      <c r="F481" s="1"/>
      <c r="G481" s="1"/>
      <c r="H481" s="7"/>
      <c r="I481" s="255" t="s">
        <v>153</v>
      </c>
      <c r="J481" s="273">
        <f>0.5/50</f>
        <v>0.01</v>
      </c>
      <c r="K481" s="142">
        <f>'UPAH BAHAN'!$H$41</f>
        <v>56000</v>
      </c>
      <c r="L481" s="171" t="s">
        <v>233</v>
      </c>
      <c r="M481" s="99">
        <f>J481*K481</f>
        <v>560</v>
      </c>
      <c r="N481" s="101">
        <f t="shared" ref="N481:N486" si="107">L481+M481</f>
        <v>560</v>
      </c>
      <c r="O481" s="525"/>
      <c r="P481" s="156" t="str">
        <f>B529</f>
        <v>Pembuatan dan Pengecorn 1 m3 Campuran Beton fc' = 9.8 MPa (K-125) untuk Lantai Kerja</v>
      </c>
      <c r="Q481" s="157"/>
      <c r="R481" s="158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60"/>
    </row>
    <row r="482" spans="1:30" ht="14.1" customHeight="1" x14ac:dyDescent="0.3">
      <c r="A482" s="184"/>
      <c r="B482" s="106" t="s">
        <v>233</v>
      </c>
      <c r="C482" s="1" t="s">
        <v>291</v>
      </c>
      <c r="D482" s="1"/>
      <c r="E482" s="1"/>
      <c r="F482" s="1"/>
      <c r="G482" s="1"/>
      <c r="H482" s="7"/>
      <c r="I482" s="141" t="s">
        <v>148</v>
      </c>
      <c r="J482" s="161">
        <v>1.2999999999999999E-2</v>
      </c>
      <c r="K482" s="142">
        <f>'UPAH BAHAN'!$H$38</f>
        <v>250000</v>
      </c>
      <c r="L482" s="171" t="s">
        <v>233</v>
      </c>
      <c r="M482" s="99">
        <f>J482*K482</f>
        <v>3250</v>
      </c>
      <c r="N482" s="101">
        <f t="shared" si="107"/>
        <v>3250</v>
      </c>
      <c r="O482" s="525"/>
      <c r="P482" s="132"/>
      <c r="Q482" s="140"/>
      <c r="R482" s="133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8"/>
    </row>
    <row r="483" spans="1:30" ht="14.1" customHeight="1" x14ac:dyDescent="0.3">
      <c r="A483" s="184"/>
      <c r="B483" s="106" t="s">
        <v>233</v>
      </c>
      <c r="C483" s="1" t="s">
        <v>128</v>
      </c>
      <c r="D483" s="1"/>
      <c r="E483" s="1"/>
      <c r="F483" s="1"/>
      <c r="G483" s="1"/>
      <c r="H483" s="7"/>
      <c r="I483" s="1"/>
      <c r="J483" s="161">
        <v>0.08</v>
      </c>
      <c r="K483" s="142">
        <f>'UPAH BAHAN'!$H$19</f>
        <v>105000</v>
      </c>
      <c r="L483" s="100">
        <f>J483*K483</f>
        <v>8400</v>
      </c>
      <c r="M483" s="148" t="s">
        <v>233</v>
      </c>
      <c r="N483" s="101">
        <f t="shared" si="107"/>
        <v>8400</v>
      </c>
      <c r="O483" s="525"/>
      <c r="P483" s="132"/>
      <c r="Q483" s="140"/>
      <c r="R483" s="133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8"/>
    </row>
    <row r="484" spans="1:30" ht="14.1" customHeight="1" x14ac:dyDescent="0.3">
      <c r="A484" s="184"/>
      <c r="B484" s="106" t="s">
        <v>233</v>
      </c>
      <c r="C484" s="1" t="s">
        <v>134</v>
      </c>
      <c r="D484" s="1"/>
      <c r="E484" s="1"/>
      <c r="F484" s="1"/>
      <c r="G484" s="1"/>
      <c r="H484" s="7"/>
      <c r="I484" s="1"/>
      <c r="J484" s="161">
        <v>4.0000000000000001E-3</v>
      </c>
      <c r="K484" s="142">
        <f>'UPAH BAHAN'!$H$24</f>
        <v>165000</v>
      </c>
      <c r="L484" s="100">
        <f>J484*K484</f>
        <v>660</v>
      </c>
      <c r="M484" s="148" t="s">
        <v>233</v>
      </c>
      <c r="N484" s="101">
        <f t="shared" si="107"/>
        <v>660</v>
      </c>
      <c r="O484" s="525"/>
      <c r="P484" s="132"/>
      <c r="Q484" s="140"/>
      <c r="R484" s="133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8"/>
    </row>
    <row r="485" spans="1:30" ht="14.1" customHeight="1" x14ac:dyDescent="0.3">
      <c r="A485" s="184"/>
      <c r="B485" s="106" t="s">
        <v>233</v>
      </c>
      <c r="C485" s="1" t="s">
        <v>130</v>
      </c>
      <c r="D485" s="1"/>
      <c r="E485" s="1"/>
      <c r="F485" s="1"/>
      <c r="G485" s="1"/>
      <c r="H485" s="7"/>
      <c r="I485" s="1"/>
      <c r="J485" s="161">
        <v>0.4</v>
      </c>
      <c r="K485" s="142">
        <f>'UPAH BAHAN'!$H$20</f>
        <v>135000</v>
      </c>
      <c r="L485" s="100">
        <f>J485*K485</f>
        <v>54000</v>
      </c>
      <c r="M485" s="148" t="s">
        <v>233</v>
      </c>
      <c r="N485" s="101">
        <f t="shared" si="107"/>
        <v>54000</v>
      </c>
      <c r="O485" s="525"/>
      <c r="P485" s="132"/>
      <c r="Q485" s="140"/>
      <c r="R485" s="133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8"/>
    </row>
    <row r="486" spans="1:30" ht="14.1" customHeight="1" x14ac:dyDescent="0.3">
      <c r="A486" s="184"/>
      <c r="B486" s="106" t="s">
        <v>233</v>
      </c>
      <c r="C486" s="1" t="s">
        <v>289</v>
      </c>
      <c r="D486" s="1"/>
      <c r="E486" s="1"/>
      <c r="F486" s="1"/>
      <c r="G486" s="1"/>
      <c r="H486" s="7"/>
      <c r="I486" s="1"/>
      <c r="J486" s="161">
        <v>0.04</v>
      </c>
      <c r="K486" s="142">
        <f>'UPAH BAHAN'!$H$25</f>
        <v>150000</v>
      </c>
      <c r="L486" s="100">
        <f>J486*K486</f>
        <v>6000</v>
      </c>
      <c r="M486" s="148" t="s">
        <v>233</v>
      </c>
      <c r="N486" s="101">
        <f t="shared" si="107"/>
        <v>6000</v>
      </c>
      <c r="O486" s="525"/>
      <c r="P486" s="132"/>
      <c r="Q486" s="140"/>
      <c r="R486" s="133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8"/>
    </row>
    <row r="487" spans="1:30" ht="14.1" customHeight="1" x14ac:dyDescent="0.3">
      <c r="A487" s="184"/>
      <c r="B487" s="1"/>
      <c r="C487" s="1"/>
      <c r="D487" s="1"/>
      <c r="E487" s="1"/>
      <c r="F487" s="1"/>
      <c r="G487" s="1"/>
      <c r="H487" s="7"/>
      <c r="I487" s="107"/>
      <c r="J487" s="107"/>
      <c r="K487" s="150" t="s">
        <v>279</v>
      </c>
      <c r="L487" s="107">
        <f>SUM(L481:L486)</f>
        <v>69060</v>
      </c>
      <c r="M487" s="108">
        <f>SUM(M481:M486)</f>
        <v>3810</v>
      </c>
      <c r="N487" s="109">
        <f>SUM(N481:N486)</f>
        <v>72870</v>
      </c>
      <c r="O487" s="525"/>
      <c r="P487" s="132"/>
      <c r="Q487" s="140"/>
      <c r="R487" s="133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8"/>
    </row>
    <row r="488" spans="1:30" ht="14.1" customHeight="1" x14ac:dyDescent="0.3">
      <c r="A488" s="184"/>
      <c r="B488" s="1"/>
      <c r="C488" s="1"/>
      <c r="D488" s="1"/>
      <c r="E488" s="1"/>
      <c r="F488" s="1"/>
      <c r="G488" s="1"/>
      <c r="H488" s="7"/>
      <c r="I488" s="100"/>
      <c r="J488" s="100"/>
      <c r="K488" s="289" t="s">
        <v>512</v>
      </c>
      <c r="L488" s="100"/>
      <c r="M488" s="99"/>
      <c r="N488" s="101">
        <f>N487*15%</f>
        <v>10930.5</v>
      </c>
      <c r="O488" s="525"/>
      <c r="P488" s="132"/>
      <c r="Q488" s="140"/>
      <c r="R488" s="133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8"/>
    </row>
    <row r="489" spans="1:30" ht="14.1" customHeight="1" thickBot="1" x14ac:dyDescent="0.35">
      <c r="A489" s="184"/>
      <c r="B489" s="1"/>
      <c r="C489" s="1"/>
      <c r="D489" s="1"/>
      <c r="E489" s="1"/>
      <c r="F489" s="1"/>
      <c r="G489" s="1"/>
      <c r="H489" s="7"/>
      <c r="I489" s="100"/>
      <c r="J489" s="100"/>
      <c r="K489" s="154" t="s">
        <v>247</v>
      </c>
      <c r="L489" s="100"/>
      <c r="M489" s="148"/>
      <c r="N489" s="101">
        <f>N487+N488</f>
        <v>83800.5</v>
      </c>
      <c r="O489" s="525"/>
      <c r="P489" s="164"/>
      <c r="Q489" s="165"/>
      <c r="R489" s="166"/>
      <c r="S489" s="167"/>
      <c r="T489" s="167"/>
      <c r="U489" s="167"/>
      <c r="V489" s="167"/>
      <c r="W489" s="168"/>
      <c r="X489" s="168"/>
      <c r="Y489" s="167"/>
      <c r="Z489" s="167"/>
      <c r="AA489" s="167"/>
      <c r="AB489" s="167"/>
      <c r="AC489" s="167"/>
      <c r="AD489" s="169"/>
    </row>
    <row r="490" spans="1:30" ht="14.1" customHeight="1" thickBot="1" x14ac:dyDescent="0.35">
      <c r="A490" s="1178">
        <v>11</v>
      </c>
      <c r="B490" s="1179" t="s">
        <v>578</v>
      </c>
      <c r="C490" s="1180" t="s">
        <v>970</v>
      </c>
      <c r="D490" s="1181"/>
      <c r="E490" s="1181"/>
      <c r="F490" s="1181"/>
      <c r="G490" s="1182"/>
      <c r="H490" s="1183"/>
      <c r="I490" s="1184"/>
      <c r="J490" s="1185"/>
      <c r="K490" s="1186"/>
      <c r="L490" s="1187"/>
      <c r="M490" s="1188"/>
      <c r="N490" s="1189"/>
      <c r="O490" s="525"/>
      <c r="P490" s="256"/>
      <c r="Q490" s="257"/>
      <c r="R490" s="258"/>
      <c r="S490" s="259"/>
      <c r="T490" s="259"/>
      <c r="U490" s="259"/>
      <c r="V490" s="259"/>
      <c r="W490" s="260"/>
      <c r="X490" s="260"/>
      <c r="Y490" s="259"/>
      <c r="Z490" s="259"/>
      <c r="AA490" s="259"/>
      <c r="AB490" s="259"/>
      <c r="AC490" s="259"/>
      <c r="AD490" s="261"/>
    </row>
    <row r="491" spans="1:30" ht="14.1" customHeight="1" thickBot="1" x14ac:dyDescent="0.35">
      <c r="A491" s="1190"/>
      <c r="B491" s="1191"/>
      <c r="C491" s="1192" t="s">
        <v>971</v>
      </c>
      <c r="D491" s="1193"/>
      <c r="E491" s="1193"/>
      <c r="F491" s="1193"/>
      <c r="G491" s="1194"/>
      <c r="H491" s="1195"/>
      <c r="I491" s="1196"/>
      <c r="J491" s="1197"/>
      <c r="K491" s="1198"/>
      <c r="L491" s="1199"/>
      <c r="M491" s="1200"/>
      <c r="N491" s="1201"/>
      <c r="O491" s="525"/>
      <c r="P491" s="256"/>
      <c r="Q491" s="257"/>
      <c r="R491" s="258"/>
      <c r="S491" s="259"/>
      <c r="T491" s="259"/>
      <c r="U491" s="259"/>
      <c r="V491" s="259"/>
      <c r="W491" s="260"/>
      <c r="X491" s="260"/>
      <c r="Y491" s="259"/>
      <c r="Z491" s="259"/>
      <c r="AA491" s="259"/>
      <c r="AB491" s="259"/>
      <c r="AC491" s="259"/>
      <c r="AD491" s="261"/>
    </row>
    <row r="492" spans="1:30" ht="14.1" customHeight="1" thickBot="1" x14ac:dyDescent="0.35">
      <c r="A492" s="1202"/>
      <c r="B492" s="1203" t="s">
        <v>233</v>
      </c>
      <c r="C492" s="1180" t="s">
        <v>972</v>
      </c>
      <c r="D492" s="1180"/>
      <c r="E492" s="1180"/>
      <c r="F492" s="1180"/>
      <c r="G492" s="1182"/>
      <c r="H492" s="1183"/>
      <c r="I492" s="1184" t="s">
        <v>53</v>
      </c>
      <c r="J492" s="1185">
        <v>16</v>
      </c>
      <c r="K492" s="1186">
        <f>'UPAH BAHAN'!H45/J492</f>
        <v>2812.5</v>
      </c>
      <c r="L492" s="1187"/>
      <c r="M492" s="1188">
        <f>K492*J492</f>
        <v>45000</v>
      </c>
      <c r="N492" s="1204">
        <f>M492+L492</f>
        <v>45000</v>
      </c>
      <c r="O492" s="525"/>
      <c r="P492" s="256"/>
      <c r="Q492" s="257"/>
      <c r="R492" s="258"/>
      <c r="S492" s="259"/>
      <c r="T492" s="259"/>
      <c r="U492" s="259"/>
      <c r="V492" s="259"/>
      <c r="W492" s="260"/>
      <c r="X492" s="260"/>
      <c r="Y492" s="259"/>
      <c r="Z492" s="259"/>
      <c r="AA492" s="259"/>
      <c r="AB492" s="259"/>
      <c r="AC492" s="259"/>
      <c r="AD492" s="261"/>
    </row>
    <row r="493" spans="1:30" ht="14.1" customHeight="1" thickBot="1" x14ac:dyDescent="0.35">
      <c r="A493" s="1205"/>
      <c r="B493" s="1206" t="s">
        <v>233</v>
      </c>
      <c r="C493" s="593" t="s">
        <v>973</v>
      </c>
      <c r="D493" s="593"/>
      <c r="E493" s="593"/>
      <c r="F493" s="593"/>
      <c r="G493" s="249"/>
      <c r="H493" s="1207"/>
      <c r="I493" s="1208" t="s">
        <v>28</v>
      </c>
      <c r="J493" s="1209">
        <v>10.4</v>
      </c>
      <c r="K493" s="1210">
        <f>K481</f>
        <v>56000</v>
      </c>
      <c r="L493" s="1211"/>
      <c r="M493" s="1212">
        <f t="shared" ref="M493:M495" si="108">K493*J493</f>
        <v>582400</v>
      </c>
      <c r="N493" s="1213">
        <f t="shared" ref="N493:N499" si="109">M493+L493</f>
        <v>582400</v>
      </c>
      <c r="O493" s="525"/>
      <c r="P493" s="256"/>
      <c r="Q493" s="257"/>
      <c r="R493" s="258"/>
      <c r="S493" s="259"/>
      <c r="T493" s="259"/>
      <c r="U493" s="259"/>
      <c r="V493" s="259"/>
      <c r="W493" s="260"/>
      <c r="X493" s="260"/>
      <c r="Y493" s="259"/>
      <c r="Z493" s="259"/>
      <c r="AA493" s="259"/>
      <c r="AB493" s="259"/>
      <c r="AC493" s="259"/>
      <c r="AD493" s="261"/>
    </row>
    <row r="494" spans="1:30" ht="14.1" customHeight="1" thickBot="1" x14ac:dyDescent="0.35">
      <c r="A494" s="1205"/>
      <c r="B494" s="1206" t="s">
        <v>233</v>
      </c>
      <c r="C494" s="593" t="s">
        <v>974</v>
      </c>
      <c r="D494" s="593"/>
      <c r="E494" s="593"/>
      <c r="F494" s="593"/>
      <c r="G494" s="249"/>
      <c r="H494" s="1207"/>
      <c r="I494" s="1208" t="s">
        <v>28</v>
      </c>
      <c r="J494" s="1209">
        <v>1.62</v>
      </c>
      <c r="K494" s="1210">
        <v>1500</v>
      </c>
      <c r="L494" s="1211"/>
      <c r="M494" s="1212">
        <f t="shared" si="108"/>
        <v>2430</v>
      </c>
      <c r="N494" s="1213">
        <f t="shared" si="109"/>
        <v>2430</v>
      </c>
      <c r="O494" s="525"/>
      <c r="P494" s="256"/>
      <c r="Q494" s="257"/>
      <c r="R494" s="258"/>
      <c r="S494" s="259"/>
      <c r="T494" s="259"/>
      <c r="U494" s="259"/>
      <c r="V494" s="259"/>
      <c r="W494" s="260"/>
      <c r="X494" s="260"/>
      <c r="Y494" s="259"/>
      <c r="Z494" s="259"/>
      <c r="AA494" s="259"/>
      <c r="AB494" s="259"/>
      <c r="AC494" s="259"/>
      <c r="AD494" s="261"/>
    </row>
    <row r="495" spans="1:30" ht="14.1" customHeight="1" thickBot="1" x14ac:dyDescent="0.35">
      <c r="A495" s="1205"/>
      <c r="B495" s="1206" t="s">
        <v>233</v>
      </c>
      <c r="C495" s="593" t="s">
        <v>291</v>
      </c>
      <c r="D495" s="593"/>
      <c r="E495" s="593"/>
      <c r="F495" s="593"/>
      <c r="G495" s="249"/>
      <c r="H495" s="1207"/>
      <c r="I495" s="1208" t="s">
        <v>158</v>
      </c>
      <c r="J495" s="1209">
        <v>4.4999999999999998E-2</v>
      </c>
      <c r="K495" s="1210">
        <f>'UPAH BAHAN'!H38</f>
        <v>250000</v>
      </c>
      <c r="L495" s="1211"/>
      <c r="M495" s="1212">
        <f t="shared" si="108"/>
        <v>11250</v>
      </c>
      <c r="N495" s="1213">
        <f t="shared" si="109"/>
        <v>11250</v>
      </c>
      <c r="O495" s="525"/>
      <c r="P495" s="256"/>
      <c r="Q495" s="257"/>
      <c r="R495" s="258"/>
      <c r="S495" s="259"/>
      <c r="T495" s="259"/>
      <c r="U495" s="259"/>
      <c r="V495" s="259"/>
      <c r="W495" s="260"/>
      <c r="X495" s="260"/>
      <c r="Y495" s="259"/>
      <c r="Z495" s="259"/>
      <c r="AA495" s="259"/>
      <c r="AB495" s="259"/>
      <c r="AC495" s="259"/>
      <c r="AD495" s="261"/>
    </row>
    <row r="496" spans="1:30" ht="14.1" customHeight="1" thickBot="1" x14ac:dyDescent="0.35">
      <c r="A496" s="1205"/>
      <c r="B496" s="1206" t="s">
        <v>233</v>
      </c>
      <c r="C496" s="593" t="s">
        <v>975</v>
      </c>
      <c r="D496" s="593"/>
      <c r="E496" s="593"/>
      <c r="F496" s="593"/>
      <c r="G496" s="249"/>
      <c r="H496" s="1207"/>
      <c r="I496" s="1208" t="s">
        <v>583</v>
      </c>
      <c r="J496" s="1209">
        <v>0.35</v>
      </c>
      <c r="K496" s="1210">
        <f>K483</f>
        <v>105000</v>
      </c>
      <c r="L496" s="1211">
        <f t="shared" ref="L496:L499" si="110">K496*J496</f>
        <v>36750</v>
      </c>
      <c r="M496" s="1212"/>
      <c r="N496" s="1213">
        <f t="shared" si="109"/>
        <v>36750</v>
      </c>
      <c r="O496" s="525"/>
      <c r="P496" s="256"/>
      <c r="Q496" s="257"/>
      <c r="R496" s="258"/>
      <c r="S496" s="259"/>
      <c r="T496" s="259"/>
      <c r="U496" s="259"/>
      <c r="V496" s="259"/>
      <c r="W496" s="260"/>
      <c r="X496" s="260"/>
      <c r="Y496" s="259"/>
      <c r="Z496" s="259"/>
      <c r="AA496" s="259"/>
      <c r="AB496" s="259"/>
      <c r="AC496" s="259"/>
      <c r="AD496" s="261"/>
    </row>
    <row r="497" spans="1:30" ht="14.1" customHeight="1" thickBot="1" x14ac:dyDescent="0.35">
      <c r="A497" s="1205"/>
      <c r="B497" s="1206" t="s">
        <v>233</v>
      </c>
      <c r="C497" s="593" t="s">
        <v>135</v>
      </c>
      <c r="D497" s="593"/>
      <c r="E497" s="593"/>
      <c r="F497" s="593"/>
      <c r="G497" s="249"/>
      <c r="H497" s="1207"/>
      <c r="I497" s="1208" t="s">
        <v>583</v>
      </c>
      <c r="J497" s="1209">
        <v>3.5000000000000003E-2</v>
      </c>
      <c r="K497" s="1210">
        <f t="shared" ref="K497:K499" si="111">K484</f>
        <v>165000</v>
      </c>
      <c r="L497" s="1211">
        <f t="shared" si="110"/>
        <v>5775.0000000000009</v>
      </c>
      <c r="M497" s="1212"/>
      <c r="N497" s="1213">
        <f t="shared" si="109"/>
        <v>5775.0000000000009</v>
      </c>
      <c r="O497" s="525"/>
      <c r="P497" s="256"/>
      <c r="Q497" s="257"/>
      <c r="R497" s="258"/>
      <c r="S497" s="259"/>
      <c r="T497" s="259"/>
      <c r="U497" s="259"/>
      <c r="V497" s="259"/>
      <c r="W497" s="260"/>
      <c r="X497" s="260"/>
      <c r="Y497" s="259"/>
      <c r="Z497" s="259"/>
      <c r="AA497" s="259"/>
      <c r="AB497" s="259"/>
      <c r="AC497" s="259"/>
      <c r="AD497" s="261"/>
    </row>
    <row r="498" spans="1:30" ht="14.1" customHeight="1" thickBot="1" x14ac:dyDescent="0.35">
      <c r="A498" s="1205"/>
      <c r="B498" s="1206" t="s">
        <v>233</v>
      </c>
      <c r="C498" s="593" t="s">
        <v>584</v>
      </c>
      <c r="D498" s="593"/>
      <c r="E498" s="593"/>
      <c r="F498" s="593"/>
      <c r="G498" s="249"/>
      <c r="H498" s="1207"/>
      <c r="I498" s="1208" t="s">
        <v>583</v>
      </c>
      <c r="J498" s="1214">
        <v>0.7</v>
      </c>
      <c r="K498" s="1210">
        <f t="shared" si="111"/>
        <v>135000</v>
      </c>
      <c r="L498" s="1211">
        <f t="shared" si="110"/>
        <v>94500</v>
      </c>
      <c r="M498" s="1212"/>
      <c r="N498" s="1213">
        <f t="shared" si="109"/>
        <v>94500</v>
      </c>
      <c r="O498" s="525"/>
      <c r="P498" s="256"/>
      <c r="Q498" s="257"/>
      <c r="R498" s="258"/>
      <c r="S498" s="259"/>
      <c r="T498" s="259"/>
      <c r="U498" s="259"/>
      <c r="V498" s="259"/>
      <c r="W498" s="260"/>
      <c r="X498" s="260"/>
      <c r="Y498" s="259"/>
      <c r="Z498" s="259"/>
      <c r="AA498" s="259"/>
      <c r="AB498" s="259"/>
      <c r="AC498" s="259"/>
      <c r="AD498" s="261"/>
    </row>
    <row r="499" spans="1:30" ht="14.1" customHeight="1" thickBot="1" x14ac:dyDescent="0.35">
      <c r="A499" s="1215"/>
      <c r="B499" s="1216" t="s">
        <v>233</v>
      </c>
      <c r="C499" s="1192" t="s">
        <v>134</v>
      </c>
      <c r="D499" s="1192"/>
      <c r="E499" s="1192"/>
      <c r="F499" s="1192"/>
      <c r="G499" s="1194"/>
      <c r="H499" s="1195"/>
      <c r="I499" s="1196" t="s">
        <v>583</v>
      </c>
      <c r="J499" s="1217">
        <v>3.5000000000000003E-2</v>
      </c>
      <c r="K499" s="1210">
        <f t="shared" si="111"/>
        <v>150000</v>
      </c>
      <c r="L499" s="1199">
        <f t="shared" si="110"/>
        <v>5250.0000000000009</v>
      </c>
      <c r="M499" s="1200"/>
      <c r="N499" s="1218">
        <f t="shared" si="109"/>
        <v>5250.0000000000009</v>
      </c>
      <c r="O499" s="525"/>
      <c r="P499" s="256"/>
      <c r="Q499" s="257"/>
      <c r="R499" s="258"/>
      <c r="S499" s="259"/>
      <c r="T499" s="259"/>
      <c r="U499" s="259"/>
      <c r="V499" s="259"/>
      <c r="W499" s="260"/>
      <c r="X499" s="260"/>
      <c r="Y499" s="259"/>
      <c r="Z499" s="259"/>
      <c r="AA499" s="259"/>
      <c r="AB499" s="259"/>
      <c r="AC499" s="259"/>
      <c r="AD499" s="261"/>
    </row>
    <row r="500" spans="1:30" ht="14.1" customHeight="1" thickBot="1" x14ac:dyDescent="0.35">
      <c r="A500" s="1219"/>
      <c r="B500" s="1220"/>
      <c r="C500" s="1180"/>
      <c r="D500" s="1180"/>
      <c r="E500" s="1180"/>
      <c r="F500" s="1180"/>
      <c r="G500" s="1221"/>
      <c r="H500" s="1222"/>
      <c r="I500" s="1223"/>
      <c r="J500" s="1224"/>
      <c r="K500" s="1225" t="s">
        <v>279</v>
      </c>
      <c r="L500" s="1189">
        <f>SUM(L494:L499)</f>
        <v>142275</v>
      </c>
      <c r="M500" s="1189">
        <f>SUM(M494:M499)</f>
        <v>13680</v>
      </c>
      <c r="N500" s="1204">
        <f>SUM(N494:N499)</f>
        <v>155955</v>
      </c>
      <c r="O500" s="525"/>
      <c r="P500" s="256"/>
      <c r="Q500" s="257"/>
      <c r="R500" s="258"/>
      <c r="S500" s="259"/>
      <c r="T500" s="259"/>
      <c r="U500" s="259"/>
      <c r="V500" s="259"/>
      <c r="W500" s="260"/>
      <c r="X500" s="260"/>
      <c r="Y500" s="259"/>
      <c r="Z500" s="259"/>
      <c r="AA500" s="259"/>
      <c r="AB500" s="259"/>
      <c r="AC500" s="259"/>
      <c r="AD500" s="261"/>
    </row>
    <row r="501" spans="1:30" ht="14.1" customHeight="1" thickBot="1" x14ac:dyDescent="0.35">
      <c r="A501" s="1226"/>
      <c r="B501" s="1227"/>
      <c r="C501" s="1228"/>
      <c r="D501" s="1228"/>
      <c r="E501" s="1228"/>
      <c r="F501" s="1228"/>
      <c r="G501" s="1229"/>
      <c r="H501" s="1230"/>
      <c r="I501" s="1231"/>
      <c r="J501" s="290"/>
      <c r="K501" s="1232" t="s">
        <v>512</v>
      </c>
      <c r="L501" s="1233"/>
      <c r="M501" s="1233"/>
      <c r="N501" s="1213">
        <f>N500*15%</f>
        <v>23393.25</v>
      </c>
      <c r="O501" s="525"/>
      <c r="P501" s="256"/>
      <c r="Q501" s="257"/>
      <c r="R501" s="258"/>
      <c r="S501" s="259"/>
      <c r="T501" s="259"/>
      <c r="U501" s="259"/>
      <c r="V501" s="259"/>
      <c r="W501" s="260"/>
      <c r="X501" s="260"/>
      <c r="Y501" s="259"/>
      <c r="Z501" s="259"/>
      <c r="AA501" s="259"/>
      <c r="AB501" s="259"/>
      <c r="AC501" s="259"/>
      <c r="AD501" s="261"/>
    </row>
    <row r="502" spans="1:30" ht="14.1" customHeight="1" thickBot="1" x14ac:dyDescent="0.35">
      <c r="A502" s="1234"/>
      <c r="B502" s="1235"/>
      <c r="C502" s="1236"/>
      <c r="D502" s="1236"/>
      <c r="E502" s="1236"/>
      <c r="F502" s="1236"/>
      <c r="G502" s="1237"/>
      <c r="H502" s="1238"/>
      <c r="I502" s="1239"/>
      <c r="J502" s="1240"/>
      <c r="K502" s="1241" t="s">
        <v>247</v>
      </c>
      <c r="L502" s="1201"/>
      <c r="M502" s="1200"/>
      <c r="N502" s="1218">
        <f>N500+N501</f>
        <v>179348.25</v>
      </c>
      <c r="O502" s="525"/>
      <c r="P502" s="256"/>
      <c r="Q502" s="257"/>
      <c r="R502" s="258"/>
      <c r="S502" s="259"/>
      <c r="T502" s="259"/>
      <c r="U502" s="259"/>
      <c r="V502" s="259"/>
      <c r="W502" s="260"/>
      <c r="X502" s="260"/>
      <c r="Y502" s="259"/>
      <c r="Z502" s="259"/>
      <c r="AA502" s="259"/>
      <c r="AB502" s="259"/>
      <c r="AC502" s="259"/>
      <c r="AD502" s="261"/>
    </row>
    <row r="503" spans="1:30" ht="14.1" customHeight="1" thickBot="1" x14ac:dyDescent="0.35">
      <c r="A503" s="1178">
        <v>12</v>
      </c>
      <c r="B503" s="1179" t="s">
        <v>578</v>
      </c>
      <c r="C503" s="1180" t="s">
        <v>976</v>
      </c>
      <c r="D503" s="1181"/>
      <c r="E503" s="1181"/>
      <c r="F503" s="1181"/>
      <c r="G503" s="1182"/>
      <c r="H503" s="1183"/>
      <c r="I503" s="1184"/>
      <c r="J503" s="1185"/>
      <c r="K503" s="1186"/>
      <c r="L503" s="1187"/>
      <c r="M503" s="1188"/>
      <c r="N503" s="1189"/>
      <c r="O503" s="525"/>
      <c r="P503" s="256"/>
      <c r="Q503" s="257"/>
      <c r="R503" s="258"/>
      <c r="S503" s="259"/>
      <c r="T503" s="259"/>
      <c r="U503" s="259"/>
      <c r="V503" s="259"/>
      <c r="W503" s="260"/>
      <c r="X503" s="260"/>
      <c r="Y503" s="259"/>
      <c r="Z503" s="259"/>
      <c r="AA503" s="259"/>
      <c r="AB503" s="259"/>
      <c r="AC503" s="259"/>
      <c r="AD503" s="261"/>
    </row>
    <row r="504" spans="1:30" ht="14.1" customHeight="1" thickBot="1" x14ac:dyDescent="0.35">
      <c r="A504" s="1190"/>
      <c r="B504" s="1191"/>
      <c r="C504" s="1192" t="s">
        <v>971</v>
      </c>
      <c r="D504" s="1193"/>
      <c r="E504" s="1193"/>
      <c r="F504" s="1193"/>
      <c r="G504" s="1194"/>
      <c r="H504" s="1195"/>
      <c r="I504" s="1196"/>
      <c r="J504" s="1197"/>
      <c r="K504" s="1198"/>
      <c r="L504" s="1199"/>
      <c r="M504" s="1200"/>
      <c r="N504" s="1201"/>
      <c r="O504" s="525"/>
      <c r="P504" s="256"/>
      <c r="Q504" s="257"/>
      <c r="R504" s="258"/>
      <c r="S504" s="259"/>
      <c r="T504" s="259"/>
      <c r="U504" s="259"/>
      <c r="V504" s="259"/>
      <c r="W504" s="260"/>
      <c r="X504" s="260"/>
      <c r="Y504" s="259"/>
      <c r="Z504" s="259"/>
      <c r="AA504" s="259"/>
      <c r="AB504" s="259"/>
      <c r="AC504" s="259"/>
      <c r="AD504" s="261"/>
    </row>
    <row r="505" spans="1:30" ht="14.1" customHeight="1" thickBot="1" x14ac:dyDescent="0.35">
      <c r="A505" s="1202"/>
      <c r="B505" s="1203" t="s">
        <v>233</v>
      </c>
      <c r="C505" s="1180" t="s">
        <v>972</v>
      </c>
      <c r="D505" s="1180"/>
      <c r="E505" s="1180"/>
      <c r="F505" s="1180"/>
      <c r="G505" s="1182"/>
      <c r="H505" s="1183"/>
      <c r="I505" s="1184" t="s">
        <v>53</v>
      </c>
      <c r="J505" s="1185">
        <v>10</v>
      </c>
      <c r="K505" s="1186">
        <f>'UPAH BAHAN'!H46/J505</f>
        <v>4500</v>
      </c>
      <c r="L505" s="1187"/>
      <c r="M505" s="1188">
        <f>K505*J505</f>
        <v>45000</v>
      </c>
      <c r="N505" s="1204">
        <f>M505+L505</f>
        <v>45000</v>
      </c>
      <c r="O505" s="1249">
        <f>0.25*0.4</f>
        <v>0.1</v>
      </c>
      <c r="P505" s="256">
        <f>1/O505</f>
        <v>10</v>
      </c>
      <c r="Q505" s="257"/>
      <c r="R505" s="258"/>
      <c r="S505" s="259"/>
      <c r="T505" s="259"/>
      <c r="U505" s="259"/>
      <c r="V505" s="259"/>
      <c r="W505" s="260"/>
      <c r="X505" s="260"/>
      <c r="Y505" s="259"/>
      <c r="Z505" s="259"/>
      <c r="AA505" s="259"/>
      <c r="AB505" s="259"/>
      <c r="AC505" s="259"/>
      <c r="AD505" s="261"/>
    </row>
    <row r="506" spans="1:30" ht="14.1" customHeight="1" thickBot="1" x14ac:dyDescent="0.35">
      <c r="A506" s="1205"/>
      <c r="B506" s="1206" t="s">
        <v>233</v>
      </c>
      <c r="C506" s="593" t="s">
        <v>973</v>
      </c>
      <c r="D506" s="593"/>
      <c r="E506" s="593"/>
      <c r="F506" s="593"/>
      <c r="G506" s="249"/>
      <c r="H506" s="1207"/>
      <c r="I506" s="1208" t="s">
        <v>28</v>
      </c>
      <c r="J506" s="1209">
        <v>9.3000000000000007</v>
      </c>
      <c r="K506" s="1210">
        <f>K493</f>
        <v>56000</v>
      </c>
      <c r="L506" s="1211"/>
      <c r="M506" s="1212">
        <f t="shared" ref="M506:M508" si="112">K506*J506</f>
        <v>520800.00000000006</v>
      </c>
      <c r="N506" s="1213">
        <f t="shared" ref="N506:N512" si="113">M506+L506</f>
        <v>520800.00000000006</v>
      </c>
      <c r="O506" s="525"/>
      <c r="P506" s="256"/>
      <c r="Q506" s="257"/>
      <c r="R506" s="258"/>
      <c r="S506" s="259"/>
      <c r="T506" s="259"/>
      <c r="U506" s="259"/>
      <c r="V506" s="259"/>
      <c r="W506" s="260"/>
      <c r="X506" s="260"/>
      <c r="Y506" s="259"/>
      <c r="Z506" s="259"/>
      <c r="AA506" s="259"/>
      <c r="AB506" s="259"/>
      <c r="AC506" s="259"/>
      <c r="AD506" s="261"/>
    </row>
    <row r="507" spans="1:30" ht="14.1" customHeight="1" thickBot="1" x14ac:dyDescent="0.35">
      <c r="A507" s="1205"/>
      <c r="B507" s="1206" t="s">
        <v>233</v>
      </c>
      <c r="C507" s="593" t="s">
        <v>974</v>
      </c>
      <c r="D507" s="593"/>
      <c r="E507" s="593"/>
      <c r="F507" s="593"/>
      <c r="G507" s="249"/>
      <c r="H507" s="1207"/>
      <c r="I507" s="1208" t="s">
        <v>28</v>
      </c>
      <c r="J507" s="1209">
        <v>1.94</v>
      </c>
      <c r="K507" s="1210">
        <v>1500</v>
      </c>
      <c r="L507" s="1211"/>
      <c r="M507" s="1212">
        <f t="shared" si="112"/>
        <v>2910</v>
      </c>
      <c r="N507" s="1213">
        <f t="shared" si="113"/>
        <v>2910</v>
      </c>
      <c r="O507" s="525"/>
      <c r="P507" s="256"/>
      <c r="Q507" s="257"/>
      <c r="R507" s="258"/>
      <c r="S507" s="259"/>
      <c r="T507" s="259"/>
      <c r="U507" s="259"/>
      <c r="V507" s="259"/>
      <c r="W507" s="260"/>
      <c r="X507" s="260"/>
      <c r="Y507" s="259"/>
      <c r="Z507" s="259"/>
      <c r="AA507" s="259"/>
      <c r="AB507" s="259"/>
      <c r="AC507" s="259"/>
      <c r="AD507" s="261"/>
    </row>
    <row r="508" spans="1:30" ht="14.1" customHeight="1" thickBot="1" x14ac:dyDescent="0.35">
      <c r="A508" s="1205"/>
      <c r="B508" s="1206" t="s">
        <v>233</v>
      </c>
      <c r="C508" s="593" t="s">
        <v>291</v>
      </c>
      <c r="D508" s="593"/>
      <c r="E508" s="593"/>
      <c r="F508" s="593"/>
      <c r="G508" s="249"/>
      <c r="H508" s="1207"/>
      <c r="I508" s="1208" t="s">
        <v>158</v>
      </c>
      <c r="J508" s="1209">
        <v>1.7999999999999999E-2</v>
      </c>
      <c r="K508" s="1210">
        <f>K495</f>
        <v>250000</v>
      </c>
      <c r="L508" s="1211"/>
      <c r="M508" s="1212">
        <f t="shared" si="112"/>
        <v>4500</v>
      </c>
      <c r="N508" s="1213">
        <f t="shared" si="113"/>
        <v>4500</v>
      </c>
      <c r="O508" s="525"/>
      <c r="P508" s="256"/>
      <c r="Q508" s="257"/>
      <c r="R508" s="258"/>
      <c r="S508" s="259"/>
      <c r="T508" s="259"/>
      <c r="U508" s="259"/>
      <c r="V508" s="259"/>
      <c r="W508" s="260"/>
      <c r="X508" s="260"/>
      <c r="Y508" s="259"/>
      <c r="Z508" s="259"/>
      <c r="AA508" s="259"/>
      <c r="AB508" s="259"/>
      <c r="AC508" s="259"/>
      <c r="AD508" s="261"/>
    </row>
    <row r="509" spans="1:30" ht="14.1" customHeight="1" thickBot="1" x14ac:dyDescent="0.35">
      <c r="A509" s="1205"/>
      <c r="B509" s="1206" t="s">
        <v>233</v>
      </c>
      <c r="C509" s="593" t="s">
        <v>975</v>
      </c>
      <c r="D509" s="593"/>
      <c r="E509" s="593"/>
      <c r="F509" s="593"/>
      <c r="G509" s="249"/>
      <c r="H509" s="1207"/>
      <c r="I509" s="1208" t="s">
        <v>583</v>
      </c>
      <c r="J509" s="1209">
        <v>0.45</v>
      </c>
      <c r="K509" s="1210">
        <f>K496</f>
        <v>105000</v>
      </c>
      <c r="L509" s="1211">
        <f t="shared" ref="L509:L512" si="114">K509*J509</f>
        <v>47250</v>
      </c>
      <c r="M509" s="1212"/>
      <c r="N509" s="1213">
        <f t="shared" si="113"/>
        <v>47250</v>
      </c>
      <c r="O509" s="525"/>
      <c r="P509" s="256"/>
      <c r="Q509" s="257"/>
      <c r="R509" s="258"/>
      <c r="S509" s="259"/>
      <c r="T509" s="259"/>
      <c r="U509" s="259"/>
      <c r="V509" s="259"/>
      <c r="W509" s="260"/>
      <c r="X509" s="260"/>
      <c r="Y509" s="259"/>
      <c r="Z509" s="259"/>
      <c r="AA509" s="259"/>
      <c r="AB509" s="259"/>
      <c r="AC509" s="259"/>
      <c r="AD509" s="261"/>
    </row>
    <row r="510" spans="1:30" ht="14.1" customHeight="1" thickBot="1" x14ac:dyDescent="0.35">
      <c r="A510" s="1205"/>
      <c r="B510" s="1206" t="s">
        <v>233</v>
      </c>
      <c r="C510" s="593" t="s">
        <v>135</v>
      </c>
      <c r="D510" s="593"/>
      <c r="E510" s="593"/>
      <c r="F510" s="593"/>
      <c r="G510" s="249"/>
      <c r="H510" s="1207"/>
      <c r="I510" s="1208" t="s">
        <v>583</v>
      </c>
      <c r="J510" s="1209">
        <v>4.4999999999999998E-2</v>
      </c>
      <c r="K510" s="1210">
        <f>K497</f>
        <v>165000</v>
      </c>
      <c r="L510" s="1211">
        <f t="shared" si="114"/>
        <v>7425</v>
      </c>
      <c r="M510" s="1212"/>
      <c r="N510" s="1213">
        <f t="shared" si="113"/>
        <v>7425</v>
      </c>
      <c r="O510" s="525"/>
      <c r="P510" s="256"/>
      <c r="Q510" s="257"/>
      <c r="R510" s="258"/>
      <c r="S510" s="259"/>
      <c r="T510" s="259"/>
      <c r="U510" s="259"/>
      <c r="V510" s="259"/>
      <c r="W510" s="260"/>
      <c r="X510" s="260"/>
      <c r="Y510" s="259"/>
      <c r="Z510" s="259"/>
      <c r="AA510" s="259"/>
      <c r="AB510" s="259"/>
      <c r="AC510" s="259"/>
      <c r="AD510" s="261"/>
    </row>
    <row r="511" spans="1:30" ht="14.1" customHeight="1" thickBot="1" x14ac:dyDescent="0.35">
      <c r="A511" s="1205"/>
      <c r="B511" s="1206" t="s">
        <v>233</v>
      </c>
      <c r="C511" s="593" t="s">
        <v>584</v>
      </c>
      <c r="D511" s="593"/>
      <c r="E511" s="593"/>
      <c r="F511" s="593"/>
      <c r="G511" s="249"/>
      <c r="H511" s="1207"/>
      <c r="I511" s="1208" t="s">
        <v>583</v>
      </c>
      <c r="J511" s="1214">
        <v>0.9</v>
      </c>
      <c r="K511" s="1210">
        <f>K498</f>
        <v>135000</v>
      </c>
      <c r="L511" s="1211">
        <f t="shared" si="114"/>
        <v>121500</v>
      </c>
      <c r="M511" s="1212"/>
      <c r="N511" s="1213">
        <f t="shared" si="113"/>
        <v>121500</v>
      </c>
      <c r="O511" s="525"/>
      <c r="P511" s="256"/>
      <c r="Q511" s="257"/>
      <c r="R511" s="258"/>
      <c r="S511" s="259"/>
      <c r="T511" s="259"/>
      <c r="U511" s="259"/>
      <c r="V511" s="259"/>
      <c r="W511" s="260"/>
      <c r="X511" s="260"/>
      <c r="Y511" s="259"/>
      <c r="Z511" s="259"/>
      <c r="AA511" s="259"/>
      <c r="AB511" s="259"/>
      <c r="AC511" s="259"/>
      <c r="AD511" s="261"/>
    </row>
    <row r="512" spans="1:30" ht="14.1" customHeight="1" thickBot="1" x14ac:dyDescent="0.35">
      <c r="A512" s="1215"/>
      <c r="B512" s="1216" t="s">
        <v>233</v>
      </c>
      <c r="C512" s="1192" t="s">
        <v>134</v>
      </c>
      <c r="D512" s="1192"/>
      <c r="E512" s="1192"/>
      <c r="F512" s="1192"/>
      <c r="G512" s="1194"/>
      <c r="H512" s="1195"/>
      <c r="I512" s="1196" t="s">
        <v>583</v>
      </c>
      <c r="J512" s="1217">
        <v>4.4999999999999998E-2</v>
      </c>
      <c r="K512" s="1198">
        <f>K499</f>
        <v>150000</v>
      </c>
      <c r="L512" s="1199">
        <f t="shared" si="114"/>
        <v>6750</v>
      </c>
      <c r="M512" s="1200"/>
      <c r="N512" s="1218">
        <f t="shared" si="113"/>
        <v>6750</v>
      </c>
      <c r="O512" s="525"/>
      <c r="P512" s="256"/>
      <c r="Q512" s="257"/>
      <c r="R512" s="258"/>
      <c r="S512" s="259"/>
      <c r="T512" s="259"/>
      <c r="U512" s="259"/>
      <c r="V512" s="259"/>
      <c r="W512" s="260"/>
      <c r="X512" s="260"/>
      <c r="Y512" s="259"/>
      <c r="Z512" s="259"/>
      <c r="AA512" s="259"/>
      <c r="AB512" s="259"/>
      <c r="AC512" s="259"/>
      <c r="AD512" s="261"/>
    </row>
    <row r="513" spans="1:30" ht="14.1" customHeight="1" thickBot="1" x14ac:dyDescent="0.35">
      <c r="A513" s="1219"/>
      <c r="B513" s="1220"/>
      <c r="C513" s="1180"/>
      <c r="D513" s="1180"/>
      <c r="E513" s="1180"/>
      <c r="F513" s="1180"/>
      <c r="G513" s="1221"/>
      <c r="H513" s="1222"/>
      <c r="I513" s="1223"/>
      <c r="J513" s="1224"/>
      <c r="K513" s="1225" t="s">
        <v>279</v>
      </c>
      <c r="L513" s="1189">
        <f>SUM(L507:L512)</f>
        <v>182925</v>
      </c>
      <c r="M513" s="1189">
        <f>SUM(M507:M512)</f>
        <v>7410</v>
      </c>
      <c r="N513" s="1204">
        <f>SUM(N507:N512)</f>
        <v>190335</v>
      </c>
      <c r="O513" s="525"/>
      <c r="P513" s="256"/>
      <c r="Q513" s="257"/>
      <c r="R513" s="258"/>
      <c r="S513" s="259"/>
      <c r="T513" s="259"/>
      <c r="U513" s="259"/>
      <c r="V513" s="259"/>
      <c r="W513" s="260"/>
      <c r="X513" s="260"/>
      <c r="Y513" s="259"/>
      <c r="Z513" s="259"/>
      <c r="AA513" s="259"/>
      <c r="AB513" s="259"/>
      <c r="AC513" s="259"/>
      <c r="AD513" s="261"/>
    </row>
    <row r="514" spans="1:30" ht="14.1" customHeight="1" thickBot="1" x14ac:dyDescent="0.35">
      <c r="A514" s="1226"/>
      <c r="B514" s="1227"/>
      <c r="C514" s="1228"/>
      <c r="D514" s="1228"/>
      <c r="E514" s="1228"/>
      <c r="F514" s="1228"/>
      <c r="G514" s="1229"/>
      <c r="H514" s="1230"/>
      <c r="I514" s="1231"/>
      <c r="J514" s="290"/>
      <c r="K514" s="1232" t="s">
        <v>512</v>
      </c>
      <c r="L514" s="1233"/>
      <c r="M514" s="1233"/>
      <c r="N514" s="1213">
        <f>N513*15%</f>
        <v>28550.25</v>
      </c>
      <c r="O514" s="525"/>
      <c r="P514" s="256"/>
      <c r="Q514" s="257"/>
      <c r="R514" s="258"/>
      <c r="S514" s="259"/>
      <c r="T514" s="259"/>
      <c r="U514" s="259"/>
      <c r="V514" s="259"/>
      <c r="W514" s="260"/>
      <c r="X514" s="260"/>
      <c r="Y514" s="259"/>
      <c r="Z514" s="259"/>
      <c r="AA514" s="259"/>
      <c r="AB514" s="259"/>
      <c r="AC514" s="259"/>
      <c r="AD514" s="261"/>
    </row>
    <row r="515" spans="1:30" ht="14.1" customHeight="1" thickBot="1" x14ac:dyDescent="0.35">
      <c r="A515" s="1234"/>
      <c r="B515" s="1235"/>
      <c r="C515" s="1236"/>
      <c r="D515" s="1236"/>
      <c r="E515" s="1236"/>
      <c r="F515" s="1236"/>
      <c r="G515" s="1237"/>
      <c r="H515" s="1238"/>
      <c r="I515" s="1239"/>
      <c r="J515" s="1240"/>
      <c r="K515" s="1241" t="s">
        <v>247</v>
      </c>
      <c r="L515" s="1201"/>
      <c r="M515" s="1200"/>
      <c r="N515" s="1218">
        <f>N513+N514</f>
        <v>218885.25</v>
      </c>
      <c r="O515" s="525"/>
      <c r="P515" s="256"/>
      <c r="Q515" s="257"/>
      <c r="R515" s="258"/>
      <c r="S515" s="259"/>
      <c r="T515" s="259"/>
      <c r="U515" s="259"/>
      <c r="V515" s="259"/>
      <c r="W515" s="260"/>
      <c r="X515" s="260"/>
      <c r="Y515" s="259"/>
      <c r="Z515" s="259"/>
      <c r="AA515" s="259"/>
      <c r="AB515" s="259"/>
      <c r="AC515" s="259"/>
      <c r="AD515" s="261"/>
    </row>
    <row r="516" spans="1:30" ht="14.1" customHeight="1" thickBot="1" x14ac:dyDescent="0.35">
      <c r="A516" s="184"/>
      <c r="B516" s="1"/>
      <c r="C516" s="1"/>
      <c r="D516" s="1"/>
      <c r="E516" s="1"/>
      <c r="F516" s="1"/>
      <c r="G516" s="1"/>
      <c r="H516" s="996"/>
      <c r="I516" s="100"/>
      <c r="J516" s="100"/>
      <c r="K516" s="1176"/>
      <c r="L516" s="100"/>
      <c r="M516" s="1177"/>
      <c r="N516" s="101"/>
      <c r="O516" s="525"/>
      <c r="P516" s="256"/>
      <c r="Q516" s="257"/>
      <c r="R516" s="258"/>
      <c r="S516" s="259"/>
      <c r="T516" s="259"/>
      <c r="U516" s="259"/>
      <c r="V516" s="259"/>
      <c r="W516" s="260"/>
      <c r="X516" s="260"/>
      <c r="Y516" s="259"/>
      <c r="Z516" s="259"/>
      <c r="AA516" s="259"/>
      <c r="AB516" s="259"/>
      <c r="AC516" s="259"/>
      <c r="AD516" s="261"/>
    </row>
    <row r="517" spans="1:30" ht="13.5" customHeight="1" thickBot="1" x14ac:dyDescent="0.35">
      <c r="A517" s="183">
        <f>A480+1</f>
        <v>11</v>
      </c>
      <c r="B517" s="233" t="s">
        <v>473</v>
      </c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7"/>
      <c r="O517" s="527"/>
      <c r="P517" s="252"/>
      <c r="Q517" s="253"/>
      <c r="R517" s="253">
        <f t="shared" ref="R517:AC517" si="115">SUM(R482:R489)</f>
        <v>0</v>
      </c>
      <c r="S517" s="253">
        <f t="shared" si="115"/>
        <v>0</v>
      </c>
      <c r="T517" s="253">
        <f t="shared" si="115"/>
        <v>0</v>
      </c>
      <c r="U517" s="253">
        <f t="shared" si="115"/>
        <v>0</v>
      </c>
      <c r="V517" s="253">
        <f t="shared" si="115"/>
        <v>0</v>
      </c>
      <c r="W517" s="253">
        <f t="shared" si="115"/>
        <v>0</v>
      </c>
      <c r="X517" s="253">
        <f t="shared" si="115"/>
        <v>0</v>
      </c>
      <c r="Y517" s="253">
        <f t="shared" si="115"/>
        <v>0</v>
      </c>
      <c r="Z517" s="253">
        <f t="shared" si="115"/>
        <v>0</v>
      </c>
      <c r="AA517" s="253">
        <f t="shared" si="115"/>
        <v>0</v>
      </c>
      <c r="AB517" s="253">
        <f t="shared" si="115"/>
        <v>0</v>
      </c>
      <c r="AC517" s="253">
        <f t="shared" si="115"/>
        <v>0</v>
      </c>
      <c r="AD517" s="254"/>
    </row>
    <row r="518" spans="1:30" ht="14.1" customHeight="1" x14ac:dyDescent="0.3">
      <c r="A518" s="184"/>
      <c r="B518" s="106" t="s">
        <v>233</v>
      </c>
      <c r="C518" s="1" t="s">
        <v>151</v>
      </c>
      <c r="D518" s="1"/>
      <c r="E518" s="1"/>
      <c r="F518" s="1"/>
      <c r="G518" s="1"/>
      <c r="H518" s="7"/>
      <c r="I518" s="141" t="s">
        <v>148</v>
      </c>
      <c r="J518" s="161">
        <f>1000/1800</f>
        <v>0.55555555555555558</v>
      </c>
      <c r="K518" s="142">
        <f>'UPAH BAHAN'!$H$40</f>
        <v>180000</v>
      </c>
      <c r="L518" s="171" t="s">
        <v>233</v>
      </c>
      <c r="M518" s="99">
        <f>J518*K518</f>
        <v>100000</v>
      </c>
      <c r="N518" s="101">
        <f t="shared" ref="N518:N525" si="116">L518+M518</f>
        <v>100000</v>
      </c>
      <c r="O518" s="525"/>
    </row>
    <row r="519" spans="1:30" ht="14.1" customHeight="1" thickBot="1" x14ac:dyDescent="0.35">
      <c r="A519" s="184"/>
      <c r="B519" s="106" t="s">
        <v>233</v>
      </c>
      <c r="C519" s="1" t="s">
        <v>294</v>
      </c>
      <c r="D519" s="1"/>
      <c r="E519" s="1"/>
      <c r="F519" s="1"/>
      <c r="G519" s="1"/>
      <c r="H519" s="7"/>
      <c r="I519" s="141" t="s">
        <v>148</v>
      </c>
      <c r="J519" s="161">
        <f>869/1400</f>
        <v>0.62071428571428566</v>
      </c>
      <c r="K519" s="142">
        <f>'UPAH BAHAN'!$H$39</f>
        <v>250000</v>
      </c>
      <c r="L519" s="171" t="s">
        <v>233</v>
      </c>
      <c r="M519" s="99">
        <f>J519*K519</f>
        <v>155178.57142857142</v>
      </c>
      <c r="N519" s="101">
        <f t="shared" si="116"/>
        <v>155178.57142857142</v>
      </c>
      <c r="O519" s="525"/>
    </row>
    <row r="520" spans="1:30" ht="14.1" customHeight="1" thickBot="1" x14ac:dyDescent="0.35">
      <c r="A520" s="184"/>
      <c r="B520" s="106" t="s">
        <v>233</v>
      </c>
      <c r="C520" s="1" t="s">
        <v>152</v>
      </c>
      <c r="D520" s="1"/>
      <c r="E520" s="1"/>
      <c r="F520" s="1"/>
      <c r="G520" s="1"/>
      <c r="H520" s="7"/>
      <c r="I520" s="255" t="s">
        <v>153</v>
      </c>
      <c r="J520" s="161">
        <f>227/50</f>
        <v>4.54</v>
      </c>
      <c r="K520" s="142">
        <f>'UPAH BAHAN'!$H$41</f>
        <v>56000</v>
      </c>
      <c r="L520" s="171" t="s">
        <v>233</v>
      </c>
      <c r="M520" s="99">
        <f>J520*K520</f>
        <v>254240</v>
      </c>
      <c r="N520" s="101">
        <f t="shared" si="116"/>
        <v>254240</v>
      </c>
      <c r="O520" s="525"/>
      <c r="P520" s="156" t="str">
        <f>B649</f>
        <v>100 Kg Pekerjaan Pembesian</v>
      </c>
      <c r="Q520" s="157"/>
      <c r="R520" s="158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60"/>
    </row>
    <row r="521" spans="1:30" ht="14.1" customHeight="1" x14ac:dyDescent="0.3">
      <c r="A521" s="184"/>
      <c r="B521" s="106" t="s">
        <v>233</v>
      </c>
      <c r="C521" s="1" t="s">
        <v>128</v>
      </c>
      <c r="D521" s="1"/>
      <c r="E521" s="1"/>
      <c r="F521" s="1"/>
      <c r="G521" s="1"/>
      <c r="H521" s="7"/>
      <c r="I521" s="234" t="s">
        <v>477</v>
      </c>
      <c r="J521" s="161">
        <v>8.0299999999999996E-2</v>
      </c>
      <c r="K521" s="142">
        <f>'UPAH BAHAN'!$H$19</f>
        <v>105000</v>
      </c>
      <c r="L521" s="100">
        <f>J521*K521</f>
        <v>8431.5</v>
      </c>
      <c r="M521" s="148" t="s">
        <v>233</v>
      </c>
      <c r="N521" s="101">
        <f t="shared" si="116"/>
        <v>8431.5</v>
      </c>
      <c r="O521" s="525"/>
      <c r="P521" s="132"/>
      <c r="Q521" s="140"/>
      <c r="R521" s="133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8"/>
    </row>
    <row r="522" spans="1:30" ht="14.1" customHeight="1" x14ac:dyDescent="0.3">
      <c r="A522" s="184"/>
      <c r="B522" s="106" t="s">
        <v>233</v>
      </c>
      <c r="C522" s="1" t="s">
        <v>134</v>
      </c>
      <c r="D522" s="1"/>
      <c r="E522" s="1"/>
      <c r="F522" s="1"/>
      <c r="G522" s="1"/>
      <c r="H522" s="7"/>
      <c r="I522" s="234" t="s">
        <v>477</v>
      </c>
      <c r="J522" s="161">
        <v>1.61E-2</v>
      </c>
      <c r="K522" s="142">
        <f>'UPAH BAHAN'!$H$24</f>
        <v>165000</v>
      </c>
      <c r="L522" s="100">
        <f>J522*K522</f>
        <v>2656.5</v>
      </c>
      <c r="M522" s="148" t="s">
        <v>233</v>
      </c>
      <c r="N522" s="101">
        <f t="shared" si="116"/>
        <v>2656.5</v>
      </c>
      <c r="O522" s="525"/>
      <c r="P522" s="132"/>
      <c r="Q522" s="140"/>
      <c r="R522" s="133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8"/>
    </row>
    <row r="523" spans="1:30" ht="14.1" customHeight="1" x14ac:dyDescent="0.3">
      <c r="A523" s="184"/>
      <c r="B523" s="106" t="s">
        <v>233</v>
      </c>
      <c r="C523" s="1" t="s">
        <v>130</v>
      </c>
      <c r="D523" s="1"/>
      <c r="E523" s="1"/>
      <c r="F523" s="1"/>
      <c r="G523" s="1"/>
      <c r="H523" s="7"/>
      <c r="I523" s="234" t="s">
        <v>477</v>
      </c>
      <c r="J523" s="161">
        <v>8.0299999999999996E-2</v>
      </c>
      <c r="K523" s="142">
        <f>'UPAH BAHAN'!$H$20</f>
        <v>135000</v>
      </c>
      <c r="L523" s="100">
        <f>J523*K523</f>
        <v>10840.5</v>
      </c>
      <c r="M523" s="148" t="s">
        <v>233</v>
      </c>
      <c r="N523" s="101">
        <f t="shared" si="116"/>
        <v>10840.5</v>
      </c>
      <c r="O523" s="525"/>
      <c r="P523" s="132"/>
      <c r="Q523" s="140"/>
      <c r="R523" s="133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8"/>
    </row>
    <row r="524" spans="1:30" ht="14.1" customHeight="1" x14ac:dyDescent="0.3">
      <c r="A524" s="184"/>
      <c r="B524" s="106" t="s">
        <v>233</v>
      </c>
      <c r="C524" s="1" t="s">
        <v>289</v>
      </c>
      <c r="D524" s="1"/>
      <c r="E524" s="1"/>
      <c r="F524" s="1"/>
      <c r="G524" s="1"/>
      <c r="H524" s="7"/>
      <c r="I524" s="234" t="s">
        <v>477</v>
      </c>
      <c r="J524" s="161">
        <v>8.0000000000000002E-3</v>
      </c>
      <c r="K524" s="142">
        <f>'UPAH BAHAN'!$H$25</f>
        <v>150000</v>
      </c>
      <c r="L524" s="100">
        <f>J524*K524</f>
        <v>1200</v>
      </c>
      <c r="M524" s="148" t="s">
        <v>233</v>
      </c>
      <c r="N524" s="101">
        <f t="shared" si="116"/>
        <v>1200</v>
      </c>
      <c r="O524" s="525"/>
      <c r="P524" s="132"/>
      <c r="Q524" s="140"/>
      <c r="R524" s="133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8"/>
    </row>
    <row r="525" spans="1:30" ht="14.1" customHeight="1" x14ac:dyDescent="0.3">
      <c r="A525" s="184"/>
      <c r="B525" s="106" t="s">
        <v>233</v>
      </c>
      <c r="C525" s="1" t="s">
        <v>295</v>
      </c>
      <c r="D525" s="1"/>
      <c r="E525" s="1"/>
      <c r="F525" s="1"/>
      <c r="G525" s="1"/>
      <c r="H525" s="7"/>
      <c r="I525" s="106" t="s">
        <v>250</v>
      </c>
      <c r="J525" s="161">
        <v>1</v>
      </c>
      <c r="K525" s="142">
        <v>10000</v>
      </c>
      <c r="L525" s="100">
        <f>J525*K525</f>
        <v>10000</v>
      </c>
      <c r="M525" s="148" t="s">
        <v>233</v>
      </c>
      <c r="N525" s="101">
        <f t="shared" si="116"/>
        <v>10000</v>
      </c>
      <c r="O525" s="525"/>
      <c r="P525" s="132"/>
      <c r="Q525" s="140"/>
      <c r="R525" s="133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8"/>
    </row>
    <row r="526" spans="1:30" ht="14.1" customHeight="1" x14ac:dyDescent="0.3">
      <c r="A526" s="184"/>
      <c r="B526" s="1"/>
      <c r="C526" s="1"/>
      <c r="D526" s="1"/>
      <c r="E526" s="1"/>
      <c r="F526" s="1"/>
      <c r="G526" s="1"/>
      <c r="H526" s="7"/>
      <c r="I526" s="107"/>
      <c r="J526" s="107"/>
      <c r="K526" s="150" t="s">
        <v>279</v>
      </c>
      <c r="L526" s="107">
        <f>SUM(L518:L525)</f>
        <v>33128.5</v>
      </c>
      <c r="M526" s="108">
        <f>SUM(M518:M525)</f>
        <v>509418.57142857142</v>
      </c>
      <c r="N526" s="109">
        <f>SUM(N518:N525)</f>
        <v>542547.07142857136</v>
      </c>
      <c r="O526" s="525"/>
      <c r="P526" s="132"/>
      <c r="Q526" s="140"/>
      <c r="R526" s="133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8"/>
    </row>
    <row r="527" spans="1:30" ht="14.1" customHeight="1" thickBot="1" x14ac:dyDescent="0.35">
      <c r="A527" s="184"/>
      <c r="B527" s="1"/>
      <c r="C527" s="1"/>
      <c r="D527" s="1"/>
      <c r="E527" s="1"/>
      <c r="F527" s="1"/>
      <c r="G527" s="1"/>
      <c r="H527" s="7"/>
      <c r="I527" s="100"/>
      <c r="J527" s="100"/>
      <c r="K527" s="289" t="s">
        <v>512</v>
      </c>
      <c r="L527" s="100"/>
      <c r="M527" s="99"/>
      <c r="N527" s="101">
        <f>N526*15%</f>
        <v>81382.060714285704</v>
      </c>
      <c r="O527" s="525"/>
      <c r="P527" s="164"/>
      <c r="Q527" s="165"/>
      <c r="R527" s="166"/>
      <c r="S527" s="167"/>
      <c r="T527" s="167"/>
      <c r="U527" s="167"/>
      <c r="V527" s="167"/>
      <c r="W527" s="168"/>
      <c r="X527" s="168"/>
      <c r="Y527" s="167"/>
      <c r="Z527" s="167"/>
      <c r="AA527" s="167"/>
      <c r="AB527" s="167"/>
      <c r="AC527" s="167"/>
      <c r="AD527" s="169"/>
    </row>
    <row r="528" spans="1:30" ht="14.1" customHeight="1" thickBot="1" x14ac:dyDescent="0.35">
      <c r="A528" s="184"/>
      <c r="B528" s="1"/>
      <c r="C528" s="1"/>
      <c r="D528" s="1"/>
      <c r="E528" s="1"/>
      <c r="F528" s="1"/>
      <c r="G528" s="1"/>
      <c r="H528" s="7"/>
      <c r="I528" s="100"/>
      <c r="J528" s="100"/>
      <c r="K528" s="154" t="s">
        <v>247</v>
      </c>
      <c r="L528" s="100"/>
      <c r="M528" s="148"/>
      <c r="N528" s="101">
        <f>N526+N527</f>
        <v>623929.13214285707</v>
      </c>
      <c r="O528" s="525"/>
      <c r="P528" s="151"/>
      <c r="Q528" s="152"/>
      <c r="R528" s="152">
        <f t="shared" ref="R528:AC528" si="117">SUM(R521:R527)</f>
        <v>0</v>
      </c>
      <c r="S528" s="152">
        <f t="shared" si="117"/>
        <v>0</v>
      </c>
      <c r="T528" s="152">
        <f t="shared" si="117"/>
        <v>0</v>
      </c>
      <c r="U528" s="152">
        <f t="shared" si="117"/>
        <v>0</v>
      </c>
      <c r="V528" s="152">
        <f t="shared" si="117"/>
        <v>0</v>
      </c>
      <c r="W528" s="152">
        <f t="shared" si="117"/>
        <v>0</v>
      </c>
      <c r="X528" s="152">
        <f t="shared" si="117"/>
        <v>0</v>
      </c>
      <c r="Y528" s="152">
        <f t="shared" si="117"/>
        <v>0</v>
      </c>
      <c r="Z528" s="152">
        <f t="shared" si="117"/>
        <v>0</v>
      </c>
      <c r="AA528" s="152">
        <f t="shared" si="117"/>
        <v>0</v>
      </c>
      <c r="AB528" s="152">
        <f t="shared" si="117"/>
        <v>0</v>
      </c>
      <c r="AC528" s="152">
        <f t="shared" si="117"/>
        <v>0</v>
      </c>
      <c r="AD528" s="153"/>
    </row>
    <row r="529" spans="1:30" ht="14.1" customHeight="1" x14ac:dyDescent="0.3">
      <c r="A529" s="183">
        <f>A517+1</f>
        <v>12</v>
      </c>
      <c r="B529" s="233" t="s">
        <v>474</v>
      </c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7"/>
      <c r="O529" s="527"/>
    </row>
    <row r="530" spans="1:30" ht="14.1" customHeight="1" x14ac:dyDescent="0.3">
      <c r="A530" s="184"/>
      <c r="B530" s="106" t="s">
        <v>233</v>
      </c>
      <c r="C530" s="1" t="s">
        <v>151</v>
      </c>
      <c r="D530" s="1"/>
      <c r="E530" s="1"/>
      <c r="F530" s="1"/>
      <c r="G530" s="1"/>
      <c r="H530" s="7"/>
      <c r="I530" s="141" t="s">
        <v>148</v>
      </c>
      <c r="J530" s="161">
        <f>1012/1800</f>
        <v>0.56222222222222218</v>
      </c>
      <c r="K530" s="142">
        <f>'UPAH BAHAN'!$H$40</f>
        <v>180000</v>
      </c>
      <c r="L530" s="171" t="s">
        <v>233</v>
      </c>
      <c r="M530" s="99">
        <f>J530*K530</f>
        <v>101199.99999999999</v>
      </c>
      <c r="N530" s="101">
        <f t="shared" ref="N530:N537" si="118">L530+M530</f>
        <v>101199.99999999999</v>
      </c>
      <c r="O530" s="525"/>
    </row>
    <row r="531" spans="1:30" ht="14.1" customHeight="1" thickBot="1" x14ac:dyDescent="0.35">
      <c r="A531" s="184"/>
      <c r="B531" s="106" t="s">
        <v>233</v>
      </c>
      <c r="C531" s="1" t="s">
        <v>294</v>
      </c>
      <c r="D531" s="1"/>
      <c r="E531" s="1"/>
      <c r="F531" s="1"/>
      <c r="G531" s="1"/>
      <c r="H531" s="7"/>
      <c r="I531" s="141" t="s">
        <v>148</v>
      </c>
      <c r="J531" s="161">
        <f>828/1400</f>
        <v>0.59142857142857141</v>
      </c>
      <c r="K531" s="142">
        <f>'UPAH BAHAN'!$H$39</f>
        <v>250000</v>
      </c>
      <c r="L531" s="171" t="s">
        <v>233</v>
      </c>
      <c r="M531" s="99">
        <f>J531*K531</f>
        <v>147857.14285714284</v>
      </c>
      <c r="N531" s="101">
        <f t="shared" si="118"/>
        <v>147857.14285714284</v>
      </c>
      <c r="O531" s="525"/>
    </row>
    <row r="532" spans="1:30" ht="14.1" customHeight="1" thickBot="1" x14ac:dyDescent="0.35">
      <c r="A532" s="184"/>
      <c r="B532" s="106" t="s">
        <v>233</v>
      </c>
      <c r="C532" s="1" t="s">
        <v>152</v>
      </c>
      <c r="D532" s="1"/>
      <c r="E532" s="1"/>
      <c r="F532" s="1"/>
      <c r="G532" s="1"/>
      <c r="H532" s="7"/>
      <c r="I532" s="255" t="s">
        <v>153</v>
      </c>
      <c r="J532" s="161">
        <f>276/50</f>
        <v>5.52</v>
      </c>
      <c r="K532" s="142">
        <f>'UPAH BAHAN'!$H$41</f>
        <v>56000</v>
      </c>
      <c r="L532" s="171" t="s">
        <v>233</v>
      </c>
      <c r="M532" s="99">
        <f>J532*K532</f>
        <v>309120</v>
      </c>
      <c r="N532" s="101">
        <f t="shared" si="118"/>
        <v>309120</v>
      </c>
      <c r="O532" s="525"/>
      <c r="P532" s="156" t="str">
        <f>B661</f>
        <v>Pemasangan 1 m2 Bekisting untuk Pondasi Telapak Beton Bangunan (Termasuk Pembongkaran)</v>
      </c>
      <c r="Q532" s="157"/>
      <c r="R532" s="158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60"/>
    </row>
    <row r="533" spans="1:30" ht="14.1" customHeight="1" x14ac:dyDescent="0.3">
      <c r="A533" s="184"/>
      <c r="B533" s="106" t="s">
        <v>233</v>
      </c>
      <c r="C533" s="1" t="s">
        <v>128</v>
      </c>
      <c r="D533" s="1"/>
      <c r="E533" s="1"/>
      <c r="F533" s="1"/>
      <c r="G533" s="1"/>
      <c r="H533" s="7"/>
      <c r="I533" s="234" t="s">
        <v>477</v>
      </c>
      <c r="J533" s="161">
        <v>0.16059999999999999</v>
      </c>
      <c r="K533" s="142">
        <f>'UPAH BAHAN'!$H$19</f>
        <v>105000</v>
      </c>
      <c r="L533" s="100">
        <f>J533*K533</f>
        <v>16863</v>
      </c>
      <c r="M533" s="148" t="s">
        <v>233</v>
      </c>
      <c r="N533" s="101">
        <f t="shared" si="118"/>
        <v>16863</v>
      </c>
      <c r="O533" s="525"/>
      <c r="P533" s="132"/>
      <c r="Q533" s="140"/>
      <c r="R533" s="133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8"/>
    </row>
    <row r="534" spans="1:30" ht="14.1" customHeight="1" x14ac:dyDescent="0.3">
      <c r="A534" s="184"/>
      <c r="B534" s="106" t="s">
        <v>233</v>
      </c>
      <c r="C534" s="1" t="s">
        <v>134</v>
      </c>
      <c r="D534" s="1"/>
      <c r="E534" s="1"/>
      <c r="F534" s="1"/>
      <c r="G534" s="1"/>
      <c r="H534" s="7"/>
      <c r="I534" s="234" t="s">
        <v>477</v>
      </c>
      <c r="J534" s="161">
        <v>1.61E-2</v>
      </c>
      <c r="K534" s="142">
        <f>'UPAH BAHAN'!$H$24</f>
        <v>165000</v>
      </c>
      <c r="L534" s="100">
        <f>J534*K534</f>
        <v>2656.5</v>
      </c>
      <c r="M534" s="148" t="s">
        <v>233</v>
      </c>
      <c r="N534" s="101">
        <f t="shared" si="118"/>
        <v>2656.5</v>
      </c>
      <c r="O534" s="525"/>
      <c r="P534" s="132"/>
      <c r="Q534" s="140"/>
      <c r="R534" s="133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8"/>
    </row>
    <row r="535" spans="1:30" ht="14.1" customHeight="1" x14ac:dyDescent="0.3">
      <c r="A535" s="184"/>
      <c r="B535" s="106" t="s">
        <v>233</v>
      </c>
      <c r="C535" s="1" t="s">
        <v>130</v>
      </c>
      <c r="D535" s="1"/>
      <c r="E535" s="1"/>
      <c r="F535" s="1"/>
      <c r="G535" s="1"/>
      <c r="H535" s="7"/>
      <c r="I535" s="234" t="s">
        <v>477</v>
      </c>
      <c r="J535" s="161">
        <v>8.0299999999999996E-2</v>
      </c>
      <c r="K535" s="142">
        <f>'UPAH BAHAN'!$H$20</f>
        <v>135000</v>
      </c>
      <c r="L535" s="100">
        <f>J535*K535</f>
        <v>10840.5</v>
      </c>
      <c r="M535" s="148" t="s">
        <v>233</v>
      </c>
      <c r="N535" s="101">
        <f t="shared" si="118"/>
        <v>10840.5</v>
      </c>
      <c r="O535" s="525"/>
      <c r="P535" s="132"/>
      <c r="Q535" s="140"/>
      <c r="R535" s="133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8"/>
    </row>
    <row r="536" spans="1:30" ht="14.1" customHeight="1" x14ac:dyDescent="0.3">
      <c r="A536" s="184"/>
      <c r="B536" s="106" t="s">
        <v>233</v>
      </c>
      <c r="C536" s="1" t="s">
        <v>289</v>
      </c>
      <c r="D536" s="1"/>
      <c r="E536" s="1"/>
      <c r="F536" s="1"/>
      <c r="G536" s="1"/>
      <c r="H536" s="7"/>
      <c r="I536" s="234" t="s">
        <v>477</v>
      </c>
      <c r="J536" s="161">
        <v>8.0000000000000002E-3</v>
      </c>
      <c r="K536" s="142">
        <f>'UPAH BAHAN'!$H$25</f>
        <v>150000</v>
      </c>
      <c r="L536" s="100">
        <f>J536*K536</f>
        <v>1200</v>
      </c>
      <c r="M536" s="148" t="s">
        <v>233</v>
      </c>
      <c r="N536" s="101">
        <f t="shared" si="118"/>
        <v>1200</v>
      </c>
      <c r="O536" s="525"/>
      <c r="P536" s="132"/>
      <c r="Q536" s="140"/>
      <c r="R536" s="133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8"/>
    </row>
    <row r="537" spans="1:30" ht="14.1" customHeight="1" x14ac:dyDescent="0.3">
      <c r="A537" s="184"/>
      <c r="B537" s="106" t="s">
        <v>233</v>
      </c>
      <c r="C537" s="1" t="s">
        <v>295</v>
      </c>
      <c r="D537" s="1"/>
      <c r="E537" s="1"/>
      <c r="F537" s="1"/>
      <c r="G537" s="1"/>
      <c r="H537" s="7"/>
      <c r="I537" s="106" t="s">
        <v>250</v>
      </c>
      <c r="J537" s="161">
        <v>1</v>
      </c>
      <c r="K537" s="142">
        <f>$K$525</f>
        <v>10000</v>
      </c>
      <c r="L537" s="100">
        <f>J537*K537</f>
        <v>10000</v>
      </c>
      <c r="M537" s="148" t="s">
        <v>233</v>
      </c>
      <c r="N537" s="101">
        <f t="shared" si="118"/>
        <v>10000</v>
      </c>
      <c r="O537" s="525"/>
      <c r="P537" s="132"/>
      <c r="Q537" s="140"/>
      <c r="R537" s="133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8"/>
    </row>
    <row r="538" spans="1:30" ht="14.1" customHeight="1" x14ac:dyDescent="0.3">
      <c r="A538" s="184"/>
      <c r="B538" s="1"/>
      <c r="C538" s="1"/>
      <c r="D538" s="1"/>
      <c r="E538" s="1"/>
      <c r="F538" s="1"/>
      <c r="G538" s="1"/>
      <c r="H538" s="7"/>
      <c r="I538" s="107"/>
      <c r="J538" s="107"/>
      <c r="K538" s="150" t="s">
        <v>279</v>
      </c>
      <c r="L538" s="107">
        <f>SUM(L530:L537)</f>
        <v>41560</v>
      </c>
      <c r="M538" s="108">
        <f>SUM(M530:M537)</f>
        <v>558177.14285714284</v>
      </c>
      <c r="N538" s="109">
        <f>SUM(N530:N537)</f>
        <v>599737.14285714284</v>
      </c>
      <c r="O538" s="525"/>
      <c r="P538" s="132"/>
      <c r="Q538" s="140"/>
      <c r="R538" s="133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8"/>
    </row>
    <row r="539" spans="1:30" ht="14.1" customHeight="1" x14ac:dyDescent="0.3">
      <c r="A539" s="184"/>
      <c r="B539" s="1"/>
      <c r="C539" s="1"/>
      <c r="D539" s="1"/>
      <c r="E539" s="1"/>
      <c r="F539" s="1"/>
      <c r="G539" s="1"/>
      <c r="H539" s="7"/>
      <c r="I539" s="100"/>
      <c r="J539" s="100"/>
      <c r="K539" s="289" t="s">
        <v>512</v>
      </c>
      <c r="L539" s="100"/>
      <c r="M539" s="99"/>
      <c r="N539" s="101">
        <f>N538*15%</f>
        <v>89960.57142857142</v>
      </c>
      <c r="O539" s="525"/>
      <c r="P539" s="132"/>
      <c r="Q539" s="140"/>
      <c r="R539" s="133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8"/>
    </row>
    <row r="540" spans="1:30" ht="14.1" customHeight="1" thickBot="1" x14ac:dyDescent="0.35">
      <c r="A540" s="262"/>
      <c r="B540" s="263"/>
      <c r="C540" s="263"/>
      <c r="D540" s="263"/>
      <c r="E540" s="263"/>
      <c r="F540" s="263"/>
      <c r="G540" s="263"/>
      <c r="H540" s="264"/>
      <c r="I540" s="265"/>
      <c r="J540" s="265"/>
      <c r="K540" s="266" t="s">
        <v>247</v>
      </c>
      <c r="L540" s="265"/>
      <c r="M540" s="267"/>
      <c r="N540" s="268">
        <f>N538+N539</f>
        <v>689697.71428571432</v>
      </c>
      <c r="O540" s="525"/>
      <c r="P540" s="164"/>
      <c r="Q540" s="165"/>
      <c r="R540" s="166"/>
      <c r="S540" s="167"/>
      <c r="T540" s="167"/>
      <c r="U540" s="167"/>
      <c r="V540" s="167"/>
      <c r="W540" s="168"/>
      <c r="X540" s="168"/>
      <c r="Y540" s="167"/>
      <c r="Z540" s="167"/>
      <c r="AA540" s="167"/>
      <c r="AB540" s="167"/>
      <c r="AC540" s="167"/>
      <c r="AD540" s="169"/>
    </row>
    <row r="541" spans="1:30" ht="14.1" customHeight="1" thickBot="1" x14ac:dyDescent="0.35">
      <c r="A541" s="183">
        <f>A529+1</f>
        <v>13</v>
      </c>
      <c r="B541" s="233" t="s">
        <v>475</v>
      </c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7"/>
      <c r="O541" s="525"/>
      <c r="P541" s="256"/>
      <c r="Q541" s="257"/>
      <c r="R541" s="258"/>
      <c r="S541" s="259"/>
      <c r="T541" s="259"/>
      <c r="U541" s="259"/>
      <c r="V541" s="259"/>
      <c r="W541" s="260"/>
      <c r="X541" s="260"/>
      <c r="Y541" s="259"/>
      <c r="Z541" s="259"/>
      <c r="AA541" s="259"/>
      <c r="AB541" s="259"/>
      <c r="AC541" s="259"/>
      <c r="AD541" s="261"/>
    </row>
    <row r="542" spans="1:30" ht="14.1" customHeight="1" thickBot="1" x14ac:dyDescent="0.35">
      <c r="A542" s="184"/>
      <c r="B542" s="106" t="s">
        <v>233</v>
      </c>
      <c r="C542" s="1" t="s">
        <v>151</v>
      </c>
      <c r="D542" s="1"/>
      <c r="E542" s="1"/>
      <c r="F542" s="1"/>
      <c r="G542" s="1"/>
      <c r="H542" s="7"/>
      <c r="I542" s="141" t="s">
        <v>148</v>
      </c>
      <c r="J542" s="161">
        <f>1017/1800</f>
        <v>0.56499999999999995</v>
      </c>
      <c r="K542" s="142">
        <f>'UPAH BAHAN'!$H$40</f>
        <v>180000</v>
      </c>
      <c r="L542" s="171" t="s">
        <v>233</v>
      </c>
      <c r="M542" s="99">
        <f>J542*K542</f>
        <v>101699.99999999999</v>
      </c>
      <c r="N542" s="101">
        <f t="shared" ref="N542:N549" si="119">L542+M542</f>
        <v>101699.99999999999</v>
      </c>
      <c r="O542" s="525"/>
      <c r="P542" s="256"/>
      <c r="Q542" s="257"/>
      <c r="R542" s="258"/>
      <c r="S542" s="259"/>
      <c r="T542" s="259"/>
      <c r="U542" s="259"/>
      <c r="V542" s="259"/>
      <c r="W542" s="260"/>
      <c r="X542" s="260"/>
      <c r="Y542" s="259"/>
      <c r="Z542" s="259"/>
      <c r="AA542" s="259"/>
      <c r="AB542" s="259"/>
      <c r="AC542" s="259"/>
      <c r="AD542" s="261"/>
    </row>
    <row r="543" spans="1:30" ht="14.1" customHeight="1" thickBot="1" x14ac:dyDescent="0.35">
      <c r="A543" s="184"/>
      <c r="B543" s="106" t="s">
        <v>233</v>
      </c>
      <c r="C543" s="1" t="s">
        <v>294</v>
      </c>
      <c r="D543" s="1"/>
      <c r="E543" s="1"/>
      <c r="F543" s="1"/>
      <c r="G543" s="1"/>
      <c r="H543" s="7"/>
      <c r="I543" s="141" t="s">
        <v>148</v>
      </c>
      <c r="J543" s="161">
        <f>799/1400</f>
        <v>0.57071428571428573</v>
      </c>
      <c r="K543" s="142">
        <f>'UPAH BAHAN'!$H$39</f>
        <v>250000</v>
      </c>
      <c r="L543" s="171" t="s">
        <v>233</v>
      </c>
      <c r="M543" s="99">
        <f>J543*K543</f>
        <v>142678.57142857142</v>
      </c>
      <c r="N543" s="101">
        <f t="shared" si="119"/>
        <v>142678.57142857142</v>
      </c>
      <c r="O543" s="525"/>
      <c r="P543" s="256"/>
      <c r="Q543" s="257"/>
      <c r="R543" s="258"/>
      <c r="S543" s="259"/>
      <c r="T543" s="259"/>
      <c r="U543" s="259"/>
      <c r="V543" s="259"/>
      <c r="W543" s="260"/>
      <c r="X543" s="260"/>
      <c r="Y543" s="259"/>
      <c r="Z543" s="259"/>
      <c r="AA543" s="259"/>
      <c r="AB543" s="259"/>
      <c r="AC543" s="259"/>
      <c r="AD543" s="261"/>
    </row>
    <row r="544" spans="1:30" ht="14.1" customHeight="1" thickBot="1" x14ac:dyDescent="0.35">
      <c r="A544" s="184"/>
      <c r="B544" s="106" t="s">
        <v>233</v>
      </c>
      <c r="C544" s="1" t="s">
        <v>152</v>
      </c>
      <c r="D544" s="1"/>
      <c r="E544" s="1"/>
      <c r="F544" s="1"/>
      <c r="G544" s="1"/>
      <c r="H544" s="7"/>
      <c r="I544" s="255" t="s">
        <v>153</v>
      </c>
      <c r="J544" s="161">
        <f>299/50</f>
        <v>5.98</v>
      </c>
      <c r="K544" s="142">
        <f>'UPAH BAHAN'!$H$41</f>
        <v>56000</v>
      </c>
      <c r="L544" s="171" t="s">
        <v>233</v>
      </c>
      <c r="M544" s="99">
        <f>J544*K544</f>
        <v>334880</v>
      </c>
      <c r="N544" s="101">
        <f t="shared" si="119"/>
        <v>334880</v>
      </c>
      <c r="O544" s="525"/>
      <c r="P544" s="256"/>
      <c r="Q544" s="257"/>
      <c r="R544" s="258"/>
      <c r="S544" s="259"/>
      <c r="T544" s="259"/>
      <c r="U544" s="259"/>
      <c r="V544" s="259"/>
      <c r="W544" s="260"/>
      <c r="X544" s="260"/>
      <c r="Y544" s="259"/>
      <c r="Z544" s="259"/>
      <c r="AA544" s="259"/>
      <c r="AB544" s="259"/>
      <c r="AC544" s="259"/>
      <c r="AD544" s="261"/>
    </row>
    <row r="545" spans="1:30" ht="14.1" customHeight="1" thickBot="1" x14ac:dyDescent="0.35">
      <c r="A545" s="184"/>
      <c r="B545" s="106" t="s">
        <v>233</v>
      </c>
      <c r="C545" s="1" t="s">
        <v>128</v>
      </c>
      <c r="D545" s="1"/>
      <c r="E545" s="1"/>
      <c r="F545" s="1"/>
      <c r="G545" s="1"/>
      <c r="H545" s="7"/>
      <c r="I545" s="234" t="s">
        <v>477</v>
      </c>
      <c r="J545" s="161">
        <v>0.16059999999999999</v>
      </c>
      <c r="K545" s="142">
        <f>'UPAH BAHAN'!$H$19</f>
        <v>105000</v>
      </c>
      <c r="L545" s="100">
        <f>J545*K545</f>
        <v>16863</v>
      </c>
      <c r="M545" s="148" t="s">
        <v>233</v>
      </c>
      <c r="N545" s="101">
        <f t="shared" si="119"/>
        <v>16863</v>
      </c>
      <c r="O545" s="525"/>
      <c r="P545" s="256"/>
      <c r="Q545" s="257"/>
      <c r="R545" s="258"/>
      <c r="S545" s="259"/>
      <c r="T545" s="259"/>
      <c r="U545" s="259"/>
      <c r="V545" s="259"/>
      <c r="W545" s="260"/>
      <c r="X545" s="260"/>
      <c r="Y545" s="259"/>
      <c r="Z545" s="259"/>
      <c r="AA545" s="259"/>
      <c r="AB545" s="259"/>
      <c r="AC545" s="259"/>
      <c r="AD545" s="261"/>
    </row>
    <row r="546" spans="1:30" ht="14.1" customHeight="1" thickBot="1" x14ac:dyDescent="0.35">
      <c r="A546" s="184"/>
      <c r="B546" s="106" t="s">
        <v>233</v>
      </c>
      <c r="C546" s="1" t="s">
        <v>134</v>
      </c>
      <c r="D546" s="1"/>
      <c r="E546" s="1"/>
      <c r="F546" s="1"/>
      <c r="G546" s="1"/>
      <c r="H546" s="7"/>
      <c r="I546" s="234" t="s">
        <v>477</v>
      </c>
      <c r="J546" s="161">
        <v>1.61E-2</v>
      </c>
      <c r="K546" s="142">
        <f>'UPAH BAHAN'!$H$24</f>
        <v>165000</v>
      </c>
      <c r="L546" s="100">
        <f>J546*K546</f>
        <v>2656.5</v>
      </c>
      <c r="M546" s="148" t="s">
        <v>233</v>
      </c>
      <c r="N546" s="101">
        <f t="shared" si="119"/>
        <v>2656.5</v>
      </c>
      <c r="O546" s="525"/>
      <c r="P546" s="256"/>
      <c r="Q546" s="257"/>
      <c r="R546" s="258"/>
      <c r="S546" s="259"/>
      <c r="T546" s="259"/>
      <c r="U546" s="259"/>
      <c r="V546" s="259"/>
      <c r="W546" s="260"/>
      <c r="X546" s="260"/>
      <c r="Y546" s="259"/>
      <c r="Z546" s="259"/>
      <c r="AA546" s="259"/>
      <c r="AB546" s="259"/>
      <c r="AC546" s="259"/>
      <c r="AD546" s="261"/>
    </row>
    <row r="547" spans="1:30" ht="14.1" customHeight="1" thickBot="1" x14ac:dyDescent="0.35">
      <c r="A547" s="184"/>
      <c r="B547" s="106" t="s">
        <v>233</v>
      </c>
      <c r="C547" s="1" t="s">
        <v>130</v>
      </c>
      <c r="D547" s="1"/>
      <c r="E547" s="1"/>
      <c r="F547" s="1"/>
      <c r="G547" s="1"/>
      <c r="H547" s="7"/>
      <c r="I547" s="234" t="s">
        <v>477</v>
      </c>
      <c r="J547" s="161">
        <v>8.0299999999999996E-2</v>
      </c>
      <c r="K547" s="142">
        <f>'UPAH BAHAN'!$H$20</f>
        <v>135000</v>
      </c>
      <c r="L547" s="100">
        <f>J547*K547</f>
        <v>10840.5</v>
      </c>
      <c r="M547" s="148" t="s">
        <v>233</v>
      </c>
      <c r="N547" s="101">
        <f t="shared" si="119"/>
        <v>10840.5</v>
      </c>
      <c r="O547" s="525"/>
      <c r="P547" s="256"/>
      <c r="Q547" s="257"/>
      <c r="R547" s="258"/>
      <c r="S547" s="259"/>
      <c r="T547" s="259"/>
      <c r="U547" s="259"/>
      <c r="V547" s="259"/>
      <c r="W547" s="260"/>
      <c r="X547" s="260"/>
      <c r="Y547" s="259"/>
      <c r="Z547" s="259"/>
      <c r="AA547" s="259"/>
      <c r="AB547" s="259"/>
      <c r="AC547" s="259"/>
      <c r="AD547" s="261"/>
    </row>
    <row r="548" spans="1:30" ht="14.1" customHeight="1" thickBot="1" x14ac:dyDescent="0.35">
      <c r="A548" s="184"/>
      <c r="B548" s="106" t="s">
        <v>233</v>
      </c>
      <c r="C548" s="1" t="s">
        <v>289</v>
      </c>
      <c r="D548" s="1"/>
      <c r="E548" s="1"/>
      <c r="F548" s="1"/>
      <c r="G548" s="1"/>
      <c r="H548" s="7"/>
      <c r="I548" s="234" t="s">
        <v>477</v>
      </c>
      <c r="J548" s="161">
        <v>8.0000000000000002E-3</v>
      </c>
      <c r="K548" s="142">
        <f>'UPAH BAHAN'!$H$25</f>
        <v>150000</v>
      </c>
      <c r="L548" s="100">
        <f>J548*K548</f>
        <v>1200</v>
      </c>
      <c r="M548" s="148" t="s">
        <v>233</v>
      </c>
      <c r="N548" s="101">
        <f t="shared" si="119"/>
        <v>1200</v>
      </c>
      <c r="O548" s="525"/>
      <c r="P548" s="256"/>
      <c r="Q548" s="257"/>
      <c r="R548" s="258"/>
      <c r="S548" s="259"/>
      <c r="T548" s="259"/>
      <c r="U548" s="259"/>
      <c r="V548" s="259"/>
      <c r="W548" s="260"/>
      <c r="X548" s="260"/>
      <c r="Y548" s="259"/>
      <c r="Z548" s="259"/>
      <c r="AA548" s="259"/>
      <c r="AB548" s="259"/>
      <c r="AC548" s="259"/>
      <c r="AD548" s="261"/>
    </row>
    <row r="549" spans="1:30" ht="14.1" customHeight="1" thickBot="1" x14ac:dyDescent="0.35">
      <c r="A549" s="184"/>
      <c r="B549" s="106" t="s">
        <v>233</v>
      </c>
      <c r="C549" s="1" t="s">
        <v>295</v>
      </c>
      <c r="D549" s="1"/>
      <c r="E549" s="1"/>
      <c r="F549" s="1"/>
      <c r="G549" s="1"/>
      <c r="H549" s="7"/>
      <c r="I549" s="106" t="s">
        <v>250</v>
      </c>
      <c r="J549" s="161">
        <v>1</v>
      </c>
      <c r="K549" s="142">
        <f>$K$525</f>
        <v>10000</v>
      </c>
      <c r="L549" s="100">
        <f>J549*K549</f>
        <v>10000</v>
      </c>
      <c r="M549" s="148" t="s">
        <v>233</v>
      </c>
      <c r="N549" s="101">
        <f t="shared" si="119"/>
        <v>10000</v>
      </c>
      <c r="O549" s="525"/>
      <c r="P549" s="256"/>
      <c r="Q549" s="257"/>
      <c r="R549" s="258"/>
      <c r="S549" s="259"/>
      <c r="T549" s="259"/>
      <c r="U549" s="259"/>
      <c r="V549" s="259"/>
      <c r="W549" s="260"/>
      <c r="X549" s="260"/>
      <c r="Y549" s="259"/>
      <c r="Z549" s="259"/>
      <c r="AA549" s="259"/>
      <c r="AB549" s="259"/>
      <c r="AC549" s="259"/>
      <c r="AD549" s="261"/>
    </row>
    <row r="550" spans="1:30" s="238" customFormat="1" ht="14.1" customHeight="1" thickBot="1" x14ac:dyDescent="0.35">
      <c r="A550" s="184"/>
      <c r="B550" s="1"/>
      <c r="C550" s="1"/>
      <c r="D550" s="1"/>
      <c r="E550" s="1"/>
      <c r="F550" s="1"/>
      <c r="G550" s="1"/>
      <c r="H550" s="7"/>
      <c r="I550" s="107"/>
      <c r="J550" s="107"/>
      <c r="K550" s="150" t="s">
        <v>279</v>
      </c>
      <c r="L550" s="107">
        <f>SUM(L542:L549)</f>
        <v>41560</v>
      </c>
      <c r="M550" s="108">
        <f>SUM(M542:M549)</f>
        <v>579258.57142857136</v>
      </c>
      <c r="N550" s="109">
        <f>SUM(N542:N549)</f>
        <v>620818.57142857136</v>
      </c>
      <c r="O550" s="528"/>
      <c r="P550" s="239"/>
      <c r="Q550" s="240"/>
      <c r="R550" s="240">
        <f t="shared" ref="R550:AC550" si="120">SUM(R533:R540)</f>
        <v>0</v>
      </c>
      <c r="S550" s="240">
        <f t="shared" si="120"/>
        <v>0</v>
      </c>
      <c r="T550" s="240">
        <f t="shared" si="120"/>
        <v>0</v>
      </c>
      <c r="U550" s="240">
        <f t="shared" si="120"/>
        <v>0</v>
      </c>
      <c r="V550" s="240">
        <f t="shared" si="120"/>
        <v>0</v>
      </c>
      <c r="W550" s="240">
        <f t="shared" si="120"/>
        <v>0</v>
      </c>
      <c r="X550" s="240">
        <f t="shared" si="120"/>
        <v>0</v>
      </c>
      <c r="Y550" s="240">
        <f t="shared" si="120"/>
        <v>0</v>
      </c>
      <c r="Z550" s="240">
        <f t="shared" si="120"/>
        <v>0</v>
      </c>
      <c r="AA550" s="240">
        <f t="shared" si="120"/>
        <v>0</v>
      </c>
      <c r="AB550" s="240">
        <f t="shared" si="120"/>
        <v>0</v>
      </c>
      <c r="AC550" s="240">
        <f t="shared" si="120"/>
        <v>0</v>
      </c>
      <c r="AD550" s="241"/>
    </row>
    <row r="551" spans="1:30" ht="14.1" customHeight="1" x14ac:dyDescent="0.3">
      <c r="A551" s="184"/>
      <c r="B551" s="1"/>
      <c r="C551" s="1"/>
      <c r="D551" s="1"/>
      <c r="E551" s="1"/>
      <c r="F551" s="1"/>
      <c r="G551" s="1"/>
      <c r="H551" s="7"/>
      <c r="I551" s="100"/>
      <c r="J551" s="100"/>
      <c r="K551" s="289" t="s">
        <v>512</v>
      </c>
      <c r="L551" s="100"/>
      <c r="M551" s="99"/>
      <c r="N551" s="101">
        <f>N550*15%</f>
        <v>93122.785714285696</v>
      </c>
      <c r="O551" s="525"/>
    </row>
    <row r="552" spans="1:30" ht="14.1" customHeight="1" x14ac:dyDescent="0.3">
      <c r="A552" s="186"/>
      <c r="B552" s="173"/>
      <c r="C552" s="173"/>
      <c r="D552" s="173"/>
      <c r="E552" s="173"/>
      <c r="F552" s="173"/>
      <c r="G552" s="173"/>
      <c r="H552" s="174"/>
      <c r="I552" s="175"/>
      <c r="J552" s="175"/>
      <c r="K552" s="176" t="s">
        <v>247</v>
      </c>
      <c r="L552" s="175"/>
      <c r="M552" s="177"/>
      <c r="N552" s="116">
        <f>N550+N551</f>
        <v>713941.35714285704</v>
      </c>
      <c r="O552" s="525"/>
    </row>
    <row r="553" spans="1:30" ht="14.1" customHeight="1" x14ac:dyDescent="0.3">
      <c r="A553" s="183">
        <f>A541+1</f>
        <v>14</v>
      </c>
      <c r="B553" s="233" t="s">
        <v>476</v>
      </c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7"/>
      <c r="O553" s="525"/>
    </row>
    <row r="554" spans="1:30" ht="14.1" customHeight="1" x14ac:dyDescent="0.3">
      <c r="A554" s="184"/>
      <c r="B554" s="106" t="s">
        <v>233</v>
      </c>
      <c r="C554" s="1" t="s">
        <v>151</v>
      </c>
      <c r="D554" s="1"/>
      <c r="E554" s="1"/>
      <c r="F554" s="1"/>
      <c r="G554" s="1"/>
      <c r="H554" s="7"/>
      <c r="I554" s="141" t="s">
        <v>148</v>
      </c>
      <c r="J554" s="161">
        <f>1029/1800</f>
        <v>0.57166666666666666</v>
      </c>
      <c r="K554" s="142">
        <f>'UPAH BAHAN'!$H$40</f>
        <v>180000</v>
      </c>
      <c r="L554" s="171" t="s">
        <v>233</v>
      </c>
      <c r="M554" s="99">
        <f>J554*K554</f>
        <v>102900</v>
      </c>
      <c r="N554" s="101">
        <f t="shared" ref="N554:N561" si="121">L554+M554</f>
        <v>102900</v>
      </c>
      <c r="O554" s="525"/>
    </row>
    <row r="555" spans="1:30" ht="14.1" customHeight="1" thickBot="1" x14ac:dyDescent="0.35">
      <c r="A555" s="184"/>
      <c r="B555" s="106" t="s">
        <v>233</v>
      </c>
      <c r="C555" s="1" t="s">
        <v>294</v>
      </c>
      <c r="D555" s="1"/>
      <c r="E555" s="1"/>
      <c r="F555" s="1"/>
      <c r="G555" s="1"/>
      <c r="H555" s="7"/>
      <c r="I555" s="141" t="s">
        <v>148</v>
      </c>
      <c r="J555" s="161">
        <f>760/1400</f>
        <v>0.54285714285714282</v>
      </c>
      <c r="K555" s="142">
        <f>'UPAH BAHAN'!$H$39</f>
        <v>250000</v>
      </c>
      <c r="L555" s="171" t="s">
        <v>233</v>
      </c>
      <c r="M555" s="99">
        <f>J555*K555</f>
        <v>135714.28571428571</v>
      </c>
      <c r="N555" s="101">
        <f t="shared" si="121"/>
        <v>135714.28571428571</v>
      </c>
      <c r="O555" s="525"/>
    </row>
    <row r="556" spans="1:30" ht="14.1" customHeight="1" thickBot="1" x14ac:dyDescent="0.35">
      <c r="A556" s="184"/>
      <c r="B556" s="106" t="s">
        <v>233</v>
      </c>
      <c r="C556" s="1" t="s">
        <v>152</v>
      </c>
      <c r="D556" s="1"/>
      <c r="E556" s="1"/>
      <c r="F556" s="1"/>
      <c r="G556" s="1"/>
      <c r="H556" s="7"/>
      <c r="I556" s="255" t="s">
        <v>153</v>
      </c>
      <c r="J556" s="161">
        <f>326/50</f>
        <v>6.52</v>
      </c>
      <c r="K556" s="142">
        <f>'UPAH BAHAN'!$H$41</f>
        <v>56000</v>
      </c>
      <c r="L556" s="171" t="s">
        <v>233</v>
      </c>
      <c r="M556" s="99">
        <f>J556*K556</f>
        <v>365120</v>
      </c>
      <c r="N556" s="101">
        <f t="shared" si="121"/>
        <v>365120</v>
      </c>
      <c r="O556" s="525"/>
      <c r="P556" s="156" t="str">
        <f>B721</f>
        <v>10 m² Cetakan / Bekisting Expose</v>
      </c>
      <c r="Q556" s="157"/>
      <c r="R556" s="158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60"/>
    </row>
    <row r="557" spans="1:30" ht="14.1" customHeight="1" x14ac:dyDescent="0.3">
      <c r="A557" s="184"/>
      <c r="B557" s="106" t="s">
        <v>233</v>
      </c>
      <c r="C557" s="1" t="s">
        <v>128</v>
      </c>
      <c r="D557" s="1"/>
      <c r="E557" s="1"/>
      <c r="F557" s="1"/>
      <c r="G557" s="1"/>
      <c r="H557" s="7"/>
      <c r="I557" s="234" t="s">
        <v>477</v>
      </c>
      <c r="J557" s="161">
        <v>0.16059999999999999</v>
      </c>
      <c r="K557" s="142">
        <f>'UPAH BAHAN'!$H$19</f>
        <v>105000</v>
      </c>
      <c r="L557" s="100">
        <f>J557*K557</f>
        <v>16863</v>
      </c>
      <c r="M557" s="148" t="s">
        <v>233</v>
      </c>
      <c r="N557" s="101">
        <f t="shared" si="121"/>
        <v>16863</v>
      </c>
      <c r="O557" s="525"/>
      <c r="P557" s="132"/>
      <c r="Q557" s="140"/>
      <c r="R557" s="133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8"/>
    </row>
    <row r="558" spans="1:30" ht="14.1" customHeight="1" x14ac:dyDescent="0.3">
      <c r="A558" s="184"/>
      <c r="B558" s="106" t="s">
        <v>233</v>
      </c>
      <c r="C558" s="1" t="s">
        <v>134</v>
      </c>
      <c r="D558" s="1"/>
      <c r="E558" s="1"/>
      <c r="F558" s="1"/>
      <c r="G558" s="1"/>
      <c r="H558" s="7"/>
      <c r="I558" s="234" t="s">
        <v>477</v>
      </c>
      <c r="J558" s="161">
        <v>1.61E-2</v>
      </c>
      <c r="K558" s="142">
        <f>'UPAH BAHAN'!$H$24</f>
        <v>165000</v>
      </c>
      <c r="L558" s="100">
        <f>J558*K558</f>
        <v>2656.5</v>
      </c>
      <c r="M558" s="148" t="s">
        <v>233</v>
      </c>
      <c r="N558" s="101">
        <f t="shared" si="121"/>
        <v>2656.5</v>
      </c>
      <c r="O558" s="525"/>
      <c r="P558" s="132"/>
      <c r="Q558" s="140"/>
      <c r="R558" s="133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8"/>
    </row>
    <row r="559" spans="1:30" ht="14.1" customHeight="1" x14ac:dyDescent="0.3">
      <c r="A559" s="184"/>
      <c r="B559" s="106" t="s">
        <v>233</v>
      </c>
      <c r="C559" s="1" t="s">
        <v>130</v>
      </c>
      <c r="D559" s="1"/>
      <c r="E559" s="1"/>
      <c r="F559" s="1"/>
      <c r="G559" s="1"/>
      <c r="H559" s="7"/>
      <c r="I559" s="234" t="s">
        <v>477</v>
      </c>
      <c r="J559" s="161">
        <v>8.0299999999999996E-2</v>
      </c>
      <c r="K559" s="142">
        <f>'UPAH BAHAN'!$H$20</f>
        <v>135000</v>
      </c>
      <c r="L559" s="100">
        <f>J559*K559</f>
        <v>10840.5</v>
      </c>
      <c r="M559" s="148" t="s">
        <v>233</v>
      </c>
      <c r="N559" s="101">
        <f t="shared" si="121"/>
        <v>10840.5</v>
      </c>
      <c r="O559" s="525"/>
      <c r="P559" s="132"/>
      <c r="Q559" s="140"/>
      <c r="R559" s="133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8"/>
    </row>
    <row r="560" spans="1:30" ht="14.1" customHeight="1" x14ac:dyDescent="0.3">
      <c r="A560" s="184"/>
      <c r="B560" s="106" t="s">
        <v>233</v>
      </c>
      <c r="C560" s="1" t="s">
        <v>289</v>
      </c>
      <c r="D560" s="1"/>
      <c r="E560" s="1"/>
      <c r="F560" s="1"/>
      <c r="G560" s="1"/>
      <c r="H560" s="7"/>
      <c r="I560" s="234" t="s">
        <v>477</v>
      </c>
      <c r="J560" s="161">
        <v>8.0000000000000002E-3</v>
      </c>
      <c r="K560" s="142">
        <f>'UPAH BAHAN'!$H$25</f>
        <v>150000</v>
      </c>
      <c r="L560" s="100">
        <f>J560*K560</f>
        <v>1200</v>
      </c>
      <c r="M560" s="148" t="s">
        <v>233</v>
      </c>
      <c r="N560" s="101">
        <f t="shared" si="121"/>
        <v>1200</v>
      </c>
      <c r="O560" s="525"/>
      <c r="P560" s="132"/>
      <c r="Q560" s="140"/>
      <c r="R560" s="133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8"/>
    </row>
    <row r="561" spans="1:30" ht="14.1" customHeight="1" x14ac:dyDescent="0.3">
      <c r="A561" s="184"/>
      <c r="B561" s="106" t="s">
        <v>233</v>
      </c>
      <c r="C561" s="1" t="s">
        <v>295</v>
      </c>
      <c r="D561" s="1"/>
      <c r="E561" s="1"/>
      <c r="F561" s="1"/>
      <c r="G561" s="1"/>
      <c r="H561" s="7"/>
      <c r="I561" s="106" t="s">
        <v>250</v>
      </c>
      <c r="J561" s="161">
        <v>1</v>
      </c>
      <c r="K561" s="142">
        <f>$K$525</f>
        <v>10000</v>
      </c>
      <c r="L561" s="100">
        <f>J561*K561</f>
        <v>10000</v>
      </c>
      <c r="M561" s="148" t="s">
        <v>233</v>
      </c>
      <c r="N561" s="101">
        <f t="shared" si="121"/>
        <v>10000</v>
      </c>
      <c r="O561" s="525"/>
      <c r="P561" s="132"/>
      <c r="Q561" s="140"/>
      <c r="R561" s="133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8"/>
    </row>
    <row r="562" spans="1:30" ht="14.1" customHeight="1" x14ac:dyDescent="0.3">
      <c r="A562" s="184"/>
      <c r="B562" s="1"/>
      <c r="C562" s="1"/>
      <c r="D562" s="1"/>
      <c r="E562" s="1"/>
      <c r="F562" s="1"/>
      <c r="G562" s="1"/>
      <c r="H562" s="7"/>
      <c r="I562" s="107"/>
      <c r="J562" s="107"/>
      <c r="K562" s="150" t="s">
        <v>279</v>
      </c>
      <c r="L562" s="107">
        <f>SUM(L554:L561)</f>
        <v>41560</v>
      </c>
      <c r="M562" s="108">
        <f>SUM(M554:M561)</f>
        <v>603734.28571428568</v>
      </c>
      <c r="N562" s="109">
        <f>SUM(N554:N561)</f>
        <v>645294.28571428568</v>
      </c>
      <c r="O562" s="525"/>
      <c r="P562" s="132"/>
      <c r="Q562" s="140"/>
      <c r="R562" s="133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8"/>
    </row>
    <row r="563" spans="1:30" s="238" customFormat="1" ht="14.1" customHeight="1" x14ac:dyDescent="0.3">
      <c r="A563" s="184"/>
      <c r="B563" s="1"/>
      <c r="C563" s="1"/>
      <c r="D563" s="1"/>
      <c r="E563" s="1"/>
      <c r="F563" s="1"/>
      <c r="G563" s="1"/>
      <c r="H563" s="7"/>
      <c r="I563" s="100"/>
      <c r="J563" s="100"/>
      <c r="K563" s="289" t="s">
        <v>512</v>
      </c>
      <c r="L563" s="100"/>
      <c r="M563" s="99"/>
      <c r="N563" s="101">
        <f>N562*15%</f>
        <v>96794.142857142855</v>
      </c>
      <c r="O563" s="528"/>
      <c r="P563" s="242"/>
      <c r="Q563" s="243"/>
      <c r="R563" s="244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6"/>
    </row>
    <row r="564" spans="1:30" ht="14.1" customHeight="1" x14ac:dyDescent="0.3">
      <c r="A564" s="186"/>
      <c r="B564" s="173"/>
      <c r="C564" s="173"/>
      <c r="D564" s="173"/>
      <c r="E564" s="173"/>
      <c r="F564" s="173"/>
      <c r="G564" s="173"/>
      <c r="H564" s="174"/>
      <c r="I564" s="175"/>
      <c r="J564" s="175"/>
      <c r="K564" s="176" t="s">
        <v>247</v>
      </c>
      <c r="L564" s="175"/>
      <c r="M564" s="177"/>
      <c r="N564" s="116">
        <f>N562+N563</f>
        <v>742088.42857142852</v>
      </c>
      <c r="O564" s="525"/>
      <c r="P564" s="132"/>
      <c r="Q564" s="140"/>
      <c r="R564" s="133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8"/>
    </row>
    <row r="565" spans="1:30" ht="14.1" customHeight="1" x14ac:dyDescent="0.3">
      <c r="A565" s="183">
        <f>A553+1</f>
        <v>15</v>
      </c>
      <c r="B565" s="233" t="s">
        <v>478</v>
      </c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7"/>
      <c r="O565" s="525"/>
      <c r="P565" s="132"/>
      <c r="Q565" s="140"/>
      <c r="R565" s="133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8"/>
    </row>
    <row r="566" spans="1:30" ht="14.1" customHeight="1" thickBot="1" x14ac:dyDescent="0.35">
      <c r="A566" s="184"/>
      <c r="B566" s="106" t="s">
        <v>233</v>
      </c>
      <c r="C566" s="1" t="s">
        <v>151</v>
      </c>
      <c r="D566" s="1"/>
      <c r="E566" s="1"/>
      <c r="F566" s="1"/>
      <c r="G566" s="1"/>
      <c r="H566" s="7"/>
      <c r="I566" s="141" t="s">
        <v>148</v>
      </c>
      <c r="J566" s="161">
        <f>1031/1800</f>
        <v>0.57277777777777783</v>
      </c>
      <c r="K566" s="142">
        <f>'UPAH BAHAN'!$H$40</f>
        <v>180000</v>
      </c>
      <c r="L566" s="171" t="s">
        <v>233</v>
      </c>
      <c r="M566" s="99">
        <f>J566*K566</f>
        <v>103100.00000000001</v>
      </c>
      <c r="N566" s="101">
        <f t="shared" ref="N566:N573" si="122">L566+M566</f>
        <v>103100.00000000001</v>
      </c>
      <c r="O566" s="525"/>
      <c r="P566" s="164"/>
      <c r="Q566" s="165"/>
      <c r="R566" s="166"/>
      <c r="S566" s="167"/>
      <c r="T566" s="167"/>
      <c r="U566" s="167"/>
      <c r="V566" s="167"/>
      <c r="W566" s="168"/>
      <c r="X566" s="168"/>
      <c r="Y566" s="167"/>
      <c r="Z566" s="167"/>
      <c r="AA566" s="167"/>
      <c r="AB566" s="167"/>
      <c r="AC566" s="167"/>
      <c r="AD566" s="169"/>
    </row>
    <row r="567" spans="1:30" ht="14.1" customHeight="1" thickBot="1" x14ac:dyDescent="0.35">
      <c r="A567" s="184"/>
      <c r="B567" s="106" t="s">
        <v>233</v>
      </c>
      <c r="C567" s="1" t="s">
        <v>294</v>
      </c>
      <c r="D567" s="1"/>
      <c r="E567" s="1"/>
      <c r="F567" s="1"/>
      <c r="G567" s="1"/>
      <c r="H567" s="7"/>
      <c r="I567" s="141" t="s">
        <v>148</v>
      </c>
      <c r="J567" s="161">
        <f>731/1400</f>
        <v>0.52214285714285713</v>
      </c>
      <c r="K567" s="142">
        <f>'UPAH BAHAN'!$H$39</f>
        <v>250000</v>
      </c>
      <c r="L567" s="171" t="s">
        <v>233</v>
      </c>
      <c r="M567" s="99">
        <f>J567*K567</f>
        <v>130535.71428571429</v>
      </c>
      <c r="N567" s="101">
        <f t="shared" si="122"/>
        <v>130535.71428571429</v>
      </c>
      <c r="O567" s="525"/>
      <c r="P567" s="151"/>
      <c r="Q567" s="152"/>
      <c r="R567" s="152">
        <f>SUM(R557:R566)</f>
        <v>0</v>
      </c>
      <c r="S567" s="152">
        <f t="shared" ref="S567:AC567" si="123">SUM(S557:S566)</f>
        <v>0</v>
      </c>
      <c r="T567" s="152">
        <f t="shared" si="123"/>
        <v>0</v>
      </c>
      <c r="U567" s="152">
        <f t="shared" si="123"/>
        <v>0</v>
      </c>
      <c r="V567" s="152">
        <f t="shared" si="123"/>
        <v>0</v>
      </c>
      <c r="W567" s="152">
        <f t="shared" si="123"/>
        <v>0</v>
      </c>
      <c r="X567" s="152">
        <f t="shared" si="123"/>
        <v>0</v>
      </c>
      <c r="Y567" s="152">
        <f t="shared" si="123"/>
        <v>0</v>
      </c>
      <c r="Z567" s="152">
        <f t="shared" si="123"/>
        <v>0</v>
      </c>
      <c r="AA567" s="152">
        <f t="shared" si="123"/>
        <v>0</v>
      </c>
      <c r="AB567" s="152">
        <f t="shared" si="123"/>
        <v>0</v>
      </c>
      <c r="AC567" s="152">
        <f t="shared" si="123"/>
        <v>0</v>
      </c>
      <c r="AD567" s="153"/>
    </row>
    <row r="568" spans="1:30" ht="14.1" customHeight="1" x14ac:dyDescent="0.3">
      <c r="A568" s="184"/>
      <c r="B568" s="106" t="s">
        <v>233</v>
      </c>
      <c r="C568" s="1" t="s">
        <v>152</v>
      </c>
      <c r="D568" s="1"/>
      <c r="E568" s="1"/>
      <c r="F568" s="1"/>
      <c r="G568" s="1"/>
      <c r="H568" s="7"/>
      <c r="I568" s="255" t="s">
        <v>153</v>
      </c>
      <c r="J568" s="161">
        <f>352/50</f>
        <v>7.04</v>
      </c>
      <c r="K568" s="142">
        <f>'UPAH BAHAN'!$H$41</f>
        <v>56000</v>
      </c>
      <c r="L568" s="171" t="s">
        <v>233</v>
      </c>
      <c r="M568" s="99">
        <f>J568*K568</f>
        <v>394240</v>
      </c>
      <c r="N568" s="101">
        <f t="shared" si="122"/>
        <v>394240</v>
      </c>
      <c r="O568" s="525"/>
    </row>
    <row r="569" spans="1:30" ht="14.1" customHeight="1" x14ac:dyDescent="0.3">
      <c r="A569" s="184"/>
      <c r="B569" s="106" t="s">
        <v>233</v>
      </c>
      <c r="C569" s="1" t="s">
        <v>128</v>
      </c>
      <c r="D569" s="1"/>
      <c r="E569" s="1"/>
      <c r="F569" s="1"/>
      <c r="G569" s="1"/>
      <c r="H569" s="7"/>
      <c r="I569" s="234" t="s">
        <v>477</v>
      </c>
      <c r="J569" s="161">
        <v>0.16059999999999999</v>
      </c>
      <c r="K569" s="142">
        <f>'UPAH BAHAN'!$H$19</f>
        <v>105000</v>
      </c>
      <c r="L569" s="100">
        <f>J569*K569</f>
        <v>16863</v>
      </c>
      <c r="M569" s="148" t="s">
        <v>233</v>
      </c>
      <c r="N569" s="101">
        <f t="shared" si="122"/>
        <v>16863</v>
      </c>
      <c r="O569" s="525"/>
    </row>
    <row r="570" spans="1:30" ht="14.1" customHeight="1" x14ac:dyDescent="0.3">
      <c r="A570" s="184"/>
      <c r="B570" s="106" t="s">
        <v>233</v>
      </c>
      <c r="C570" s="1" t="s">
        <v>134</v>
      </c>
      <c r="D570" s="1"/>
      <c r="E570" s="1"/>
      <c r="F570" s="1"/>
      <c r="G570" s="1"/>
      <c r="H570" s="7"/>
      <c r="I570" s="234" t="s">
        <v>477</v>
      </c>
      <c r="J570" s="161">
        <v>1.61E-2</v>
      </c>
      <c r="K570" s="142">
        <f>'UPAH BAHAN'!$H$24</f>
        <v>165000</v>
      </c>
      <c r="L570" s="100">
        <f>J570*K570</f>
        <v>2656.5</v>
      </c>
      <c r="M570" s="148" t="s">
        <v>233</v>
      </c>
      <c r="N570" s="101">
        <f t="shared" si="122"/>
        <v>2656.5</v>
      </c>
      <c r="O570" s="525"/>
    </row>
    <row r="571" spans="1:30" ht="14.1" customHeight="1" x14ac:dyDescent="0.3">
      <c r="A571" s="184"/>
      <c r="B571" s="106" t="s">
        <v>233</v>
      </c>
      <c r="C571" s="1" t="s">
        <v>130</v>
      </c>
      <c r="D571" s="1"/>
      <c r="E571" s="1"/>
      <c r="F571" s="1"/>
      <c r="G571" s="1"/>
      <c r="H571" s="7"/>
      <c r="I571" s="234" t="s">
        <v>477</v>
      </c>
      <c r="J571" s="161">
        <v>8.0299999999999996E-2</v>
      </c>
      <c r="K571" s="142">
        <f>'UPAH BAHAN'!$H$20</f>
        <v>135000</v>
      </c>
      <c r="L571" s="100">
        <f>J571*K571</f>
        <v>10840.5</v>
      </c>
      <c r="M571" s="148" t="s">
        <v>233</v>
      </c>
      <c r="N571" s="101">
        <f t="shared" si="122"/>
        <v>10840.5</v>
      </c>
      <c r="O571" s="525"/>
    </row>
    <row r="572" spans="1:30" ht="14.1" customHeight="1" x14ac:dyDescent="0.3">
      <c r="A572" s="184"/>
      <c r="B572" s="106" t="s">
        <v>233</v>
      </c>
      <c r="C572" s="1" t="s">
        <v>289</v>
      </c>
      <c r="D572" s="1"/>
      <c r="E572" s="1"/>
      <c r="F572" s="1"/>
      <c r="G572" s="1"/>
      <c r="H572" s="7"/>
      <c r="I572" s="234" t="s">
        <v>477</v>
      </c>
      <c r="J572" s="161">
        <v>8.0000000000000002E-3</v>
      </c>
      <c r="K572" s="142">
        <f>'UPAH BAHAN'!$H$25</f>
        <v>150000</v>
      </c>
      <c r="L572" s="100">
        <f>J572*K572</f>
        <v>1200</v>
      </c>
      <c r="M572" s="148" t="s">
        <v>233</v>
      </c>
      <c r="N572" s="101">
        <f t="shared" si="122"/>
        <v>1200</v>
      </c>
      <c r="O572" s="525"/>
    </row>
    <row r="573" spans="1:30" ht="14.1" customHeight="1" x14ac:dyDescent="0.3">
      <c r="A573" s="184"/>
      <c r="B573" s="106" t="s">
        <v>233</v>
      </c>
      <c r="C573" s="1" t="s">
        <v>295</v>
      </c>
      <c r="D573" s="1"/>
      <c r="E573" s="1"/>
      <c r="F573" s="1"/>
      <c r="G573" s="1"/>
      <c r="H573" s="7"/>
      <c r="I573" s="106" t="s">
        <v>250</v>
      </c>
      <c r="J573" s="161">
        <v>1</v>
      </c>
      <c r="K573" s="142">
        <f>$K$525</f>
        <v>10000</v>
      </c>
      <c r="L573" s="100">
        <f>J573*K573</f>
        <v>10000</v>
      </c>
      <c r="M573" s="148" t="s">
        <v>233</v>
      </c>
      <c r="N573" s="101">
        <f t="shared" si="122"/>
        <v>10000</v>
      </c>
      <c r="O573" s="525"/>
    </row>
    <row r="574" spans="1:30" ht="14.1" customHeight="1" x14ac:dyDescent="0.3">
      <c r="A574" s="184"/>
      <c r="B574" s="1"/>
      <c r="C574" s="1"/>
      <c r="D574" s="1"/>
      <c r="E574" s="1"/>
      <c r="F574" s="1"/>
      <c r="G574" s="1"/>
      <c r="H574" s="7"/>
      <c r="I574" s="107"/>
      <c r="J574" s="107"/>
      <c r="K574" s="150" t="s">
        <v>279</v>
      </c>
      <c r="L574" s="107">
        <f>SUM(L566:L573)</f>
        <v>41560</v>
      </c>
      <c r="M574" s="108">
        <f>SUM(M566:M573)</f>
        <v>627875.71428571432</v>
      </c>
      <c r="N574" s="109">
        <f>SUM(N566:N573)</f>
        <v>669435.71428571432</v>
      </c>
      <c r="O574" s="525"/>
    </row>
    <row r="575" spans="1:30" ht="14.1" customHeight="1" x14ac:dyDescent="0.3">
      <c r="A575" s="184"/>
      <c r="B575" s="1"/>
      <c r="C575" s="1"/>
      <c r="D575" s="1"/>
      <c r="E575" s="1"/>
      <c r="F575" s="1"/>
      <c r="G575" s="1"/>
      <c r="H575" s="7"/>
      <c r="I575" s="100"/>
      <c r="J575" s="100"/>
      <c r="K575" s="289" t="s">
        <v>512</v>
      </c>
      <c r="L575" s="100"/>
      <c r="M575" s="99"/>
      <c r="N575" s="101">
        <f>N574*15%</f>
        <v>100415.35714285714</v>
      </c>
      <c r="O575" s="525"/>
    </row>
    <row r="576" spans="1:30" ht="14.1" customHeight="1" x14ac:dyDescent="0.3">
      <c r="A576" s="186"/>
      <c r="B576" s="173"/>
      <c r="C576" s="173"/>
      <c r="D576" s="173"/>
      <c r="E576" s="173"/>
      <c r="F576" s="173"/>
      <c r="G576" s="173"/>
      <c r="H576" s="174"/>
      <c r="I576" s="175"/>
      <c r="J576" s="175"/>
      <c r="K576" s="176" t="s">
        <v>247</v>
      </c>
      <c r="L576" s="175"/>
      <c r="M576" s="177"/>
      <c r="N576" s="116">
        <f>N574+N575</f>
        <v>769851.07142857148</v>
      </c>
      <c r="O576" s="525"/>
    </row>
    <row r="577" spans="1:30" ht="14.1" customHeight="1" x14ac:dyDescent="0.3">
      <c r="A577" s="183">
        <f>A565+1</f>
        <v>16</v>
      </c>
      <c r="B577" s="233" t="s">
        <v>479</v>
      </c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7"/>
      <c r="O577" s="525"/>
    </row>
    <row r="578" spans="1:30" s="238" customFormat="1" ht="14.1" customHeight="1" thickBot="1" x14ac:dyDescent="0.35">
      <c r="A578" s="184"/>
      <c r="B578" s="106" t="s">
        <v>233</v>
      </c>
      <c r="C578" s="1" t="s">
        <v>151</v>
      </c>
      <c r="D578" s="1"/>
      <c r="E578" s="1"/>
      <c r="F578" s="1"/>
      <c r="G578" s="1"/>
      <c r="H578" s="7"/>
      <c r="I578" s="141" t="s">
        <v>148</v>
      </c>
      <c r="J578" s="161">
        <f>1047/1800</f>
        <v>0.58166666666666667</v>
      </c>
      <c r="K578" s="142">
        <f>'UPAH BAHAN'!$H$40</f>
        <v>180000</v>
      </c>
      <c r="L578" s="171" t="s">
        <v>233</v>
      </c>
      <c r="M578" s="99">
        <f>J578*K578</f>
        <v>104700</v>
      </c>
      <c r="N578" s="101">
        <f t="shared" ref="N578:N585" si="124">L578+M578</f>
        <v>104700</v>
      </c>
      <c r="O578" s="528"/>
    </row>
    <row r="579" spans="1:30" ht="14.1" customHeight="1" thickBot="1" x14ac:dyDescent="0.35">
      <c r="A579" s="184"/>
      <c r="B579" s="106" t="s">
        <v>233</v>
      </c>
      <c r="C579" s="1" t="s">
        <v>294</v>
      </c>
      <c r="D579" s="1"/>
      <c r="E579" s="1"/>
      <c r="F579" s="1"/>
      <c r="G579" s="1"/>
      <c r="H579" s="7"/>
      <c r="I579" s="141" t="s">
        <v>148</v>
      </c>
      <c r="J579" s="161">
        <f>698/1400</f>
        <v>0.49857142857142855</v>
      </c>
      <c r="K579" s="142">
        <f>'UPAH BAHAN'!$H$39</f>
        <v>250000</v>
      </c>
      <c r="L579" s="171" t="s">
        <v>233</v>
      </c>
      <c r="M579" s="99">
        <f>J579*K579</f>
        <v>124642.85714285714</v>
      </c>
      <c r="N579" s="101">
        <f t="shared" si="124"/>
        <v>124642.85714285714</v>
      </c>
      <c r="O579" s="525"/>
      <c r="P579" s="156" t="str">
        <f>B743</f>
        <v>1 m³ Beton  bertulang camp 1:2:3 untuk lantai Bronkaptering</v>
      </c>
      <c r="Q579" s="157"/>
      <c r="R579" s="158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60"/>
    </row>
    <row r="580" spans="1:30" ht="14.1" customHeight="1" x14ac:dyDescent="0.3">
      <c r="A580" s="184"/>
      <c r="B580" s="106" t="s">
        <v>233</v>
      </c>
      <c r="C580" s="1" t="s">
        <v>152</v>
      </c>
      <c r="D580" s="1"/>
      <c r="E580" s="1"/>
      <c r="F580" s="1"/>
      <c r="G580" s="1"/>
      <c r="H580" s="7"/>
      <c r="I580" s="255" t="s">
        <v>153</v>
      </c>
      <c r="J580" s="161">
        <f>371/50</f>
        <v>7.42</v>
      </c>
      <c r="K580" s="142">
        <f>'UPAH BAHAN'!$H$41</f>
        <v>56000</v>
      </c>
      <c r="L580" s="171" t="s">
        <v>233</v>
      </c>
      <c r="M580" s="99">
        <f>J580*K580</f>
        <v>415520</v>
      </c>
      <c r="N580" s="101">
        <f t="shared" si="124"/>
        <v>415520</v>
      </c>
      <c r="O580" s="525"/>
      <c r="P580" s="132"/>
      <c r="Q580" s="140"/>
      <c r="R580" s="133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8"/>
    </row>
    <row r="581" spans="1:30" ht="14.1" customHeight="1" x14ac:dyDescent="0.3">
      <c r="A581" s="184"/>
      <c r="B581" s="106" t="s">
        <v>233</v>
      </c>
      <c r="C581" s="1" t="s">
        <v>128</v>
      </c>
      <c r="D581" s="1"/>
      <c r="E581" s="1"/>
      <c r="F581" s="1"/>
      <c r="G581" s="1"/>
      <c r="H581" s="7"/>
      <c r="I581" s="234" t="s">
        <v>477</v>
      </c>
      <c r="J581" s="161">
        <v>0.16059999999999999</v>
      </c>
      <c r="K581" s="142">
        <f>'UPAH BAHAN'!$H$19</f>
        <v>105000</v>
      </c>
      <c r="L581" s="100">
        <f>J581*K581</f>
        <v>16863</v>
      </c>
      <c r="M581" s="148" t="s">
        <v>233</v>
      </c>
      <c r="N581" s="101">
        <f t="shared" si="124"/>
        <v>16863</v>
      </c>
      <c r="O581" s="525"/>
      <c r="P581" s="132"/>
      <c r="Q581" s="140"/>
      <c r="R581" s="133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8"/>
    </row>
    <row r="582" spans="1:30" ht="14.1" customHeight="1" x14ac:dyDescent="0.3">
      <c r="A582" s="184"/>
      <c r="B582" s="106" t="s">
        <v>233</v>
      </c>
      <c r="C582" s="1" t="s">
        <v>134</v>
      </c>
      <c r="D582" s="1"/>
      <c r="E582" s="1"/>
      <c r="F582" s="1"/>
      <c r="G582" s="1"/>
      <c r="H582" s="7"/>
      <c r="I582" s="234" t="s">
        <v>477</v>
      </c>
      <c r="J582" s="161">
        <v>1.61E-2</v>
      </c>
      <c r="K582" s="142">
        <f>'UPAH BAHAN'!$H$24</f>
        <v>165000</v>
      </c>
      <c r="L582" s="100">
        <f>J582*K582</f>
        <v>2656.5</v>
      </c>
      <c r="M582" s="148" t="s">
        <v>233</v>
      </c>
      <c r="N582" s="101">
        <f t="shared" si="124"/>
        <v>2656.5</v>
      </c>
      <c r="O582" s="525"/>
      <c r="P582" s="132"/>
      <c r="Q582" s="140"/>
      <c r="R582" s="133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8"/>
    </row>
    <row r="583" spans="1:30" ht="14.1" customHeight="1" x14ac:dyDescent="0.3">
      <c r="A583" s="184"/>
      <c r="B583" s="106" t="s">
        <v>233</v>
      </c>
      <c r="C583" s="1" t="s">
        <v>130</v>
      </c>
      <c r="D583" s="1"/>
      <c r="E583" s="1"/>
      <c r="F583" s="1"/>
      <c r="G583" s="1"/>
      <c r="H583" s="7"/>
      <c r="I583" s="234" t="s">
        <v>477</v>
      </c>
      <c r="J583" s="161">
        <v>8.0299999999999996E-2</v>
      </c>
      <c r="K583" s="142">
        <f>'UPAH BAHAN'!$H$20</f>
        <v>135000</v>
      </c>
      <c r="L583" s="100">
        <f>J583*K583</f>
        <v>10840.5</v>
      </c>
      <c r="M583" s="148" t="s">
        <v>233</v>
      </c>
      <c r="N583" s="101">
        <f t="shared" si="124"/>
        <v>10840.5</v>
      </c>
      <c r="O583" s="525"/>
      <c r="P583" s="132"/>
      <c r="Q583" s="140"/>
      <c r="R583" s="133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8"/>
    </row>
    <row r="584" spans="1:30" ht="14.1" customHeight="1" x14ac:dyDescent="0.3">
      <c r="A584" s="184"/>
      <c r="B584" s="106" t="s">
        <v>233</v>
      </c>
      <c r="C584" s="1" t="s">
        <v>289</v>
      </c>
      <c r="D584" s="1"/>
      <c r="E584" s="1"/>
      <c r="F584" s="1"/>
      <c r="G584" s="1"/>
      <c r="H584" s="7"/>
      <c r="I584" s="234" t="s">
        <v>477</v>
      </c>
      <c r="J584" s="161">
        <v>8.0000000000000002E-3</v>
      </c>
      <c r="K584" s="142">
        <f>'UPAH BAHAN'!$H$25</f>
        <v>150000</v>
      </c>
      <c r="L584" s="100">
        <f>J584*K584</f>
        <v>1200</v>
      </c>
      <c r="M584" s="148" t="s">
        <v>233</v>
      </c>
      <c r="N584" s="101">
        <f t="shared" si="124"/>
        <v>1200</v>
      </c>
      <c r="O584" s="525"/>
      <c r="P584" s="132"/>
      <c r="Q584" s="140"/>
      <c r="R584" s="133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8"/>
    </row>
    <row r="585" spans="1:30" ht="14.1" customHeight="1" x14ac:dyDescent="0.3">
      <c r="A585" s="184"/>
      <c r="B585" s="106" t="s">
        <v>233</v>
      </c>
      <c r="C585" s="1" t="s">
        <v>295</v>
      </c>
      <c r="D585" s="1"/>
      <c r="E585" s="1"/>
      <c r="F585" s="1"/>
      <c r="G585" s="1"/>
      <c r="H585" s="7"/>
      <c r="I585" s="106" t="s">
        <v>250</v>
      </c>
      <c r="J585" s="161">
        <v>1</v>
      </c>
      <c r="K585" s="142">
        <f>$K$525</f>
        <v>10000</v>
      </c>
      <c r="L585" s="100">
        <f>J585*K585</f>
        <v>10000</v>
      </c>
      <c r="M585" s="148" t="s">
        <v>233</v>
      </c>
      <c r="N585" s="101">
        <f t="shared" si="124"/>
        <v>10000</v>
      </c>
      <c r="O585" s="525"/>
      <c r="P585" s="132"/>
      <c r="Q585" s="140"/>
      <c r="R585" s="133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8"/>
    </row>
    <row r="586" spans="1:30" ht="14.1" customHeight="1" x14ac:dyDescent="0.3">
      <c r="A586" s="184"/>
      <c r="B586" s="1"/>
      <c r="C586" s="1"/>
      <c r="D586" s="1"/>
      <c r="E586" s="1"/>
      <c r="F586" s="1"/>
      <c r="G586" s="1"/>
      <c r="H586" s="7"/>
      <c r="I586" s="107"/>
      <c r="J586" s="107"/>
      <c r="K586" s="150" t="s">
        <v>279</v>
      </c>
      <c r="L586" s="107">
        <f>SUM(L578:L585)</f>
        <v>41560</v>
      </c>
      <c r="M586" s="516">
        <f>SUM(M578:M585)</f>
        <v>644862.85714285716</v>
      </c>
      <c r="N586" s="109">
        <f>SUM(N578:N585)</f>
        <v>686422.85714285716</v>
      </c>
      <c r="O586" s="525"/>
      <c r="P586" s="132"/>
      <c r="Q586" s="140"/>
      <c r="R586" s="133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8"/>
    </row>
    <row r="587" spans="1:30" ht="14.1" customHeight="1" x14ac:dyDescent="0.3">
      <c r="A587" s="184"/>
      <c r="B587" s="1"/>
      <c r="C587" s="1"/>
      <c r="D587" s="1"/>
      <c r="E587" s="1"/>
      <c r="F587" s="1"/>
      <c r="G587" s="1"/>
      <c r="H587" s="7"/>
      <c r="I587" s="100"/>
      <c r="J587" s="100"/>
      <c r="K587" s="289" t="s">
        <v>512</v>
      </c>
      <c r="L587" s="100"/>
      <c r="M587" s="99"/>
      <c r="N587" s="101">
        <f>N586*15%</f>
        <v>102963.42857142857</v>
      </c>
      <c r="O587" s="525"/>
      <c r="P587" s="132"/>
      <c r="Q587" s="140"/>
      <c r="R587" s="133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8"/>
    </row>
    <row r="588" spans="1:30" ht="14.1" customHeight="1" thickBot="1" x14ac:dyDescent="0.35">
      <c r="A588" s="186"/>
      <c r="B588" s="173"/>
      <c r="C588" s="173"/>
      <c r="D588" s="173"/>
      <c r="E588" s="173"/>
      <c r="F588" s="173"/>
      <c r="G588" s="173"/>
      <c r="H588" s="174"/>
      <c r="I588" s="175"/>
      <c r="J588" s="175"/>
      <c r="K588" s="176" t="s">
        <v>247</v>
      </c>
      <c r="L588" s="175"/>
      <c r="M588" s="177"/>
      <c r="N588" s="116">
        <f>N586+N587</f>
        <v>789386.28571428568</v>
      </c>
      <c r="O588" s="525"/>
      <c r="P588" s="164"/>
      <c r="Q588" s="165"/>
      <c r="R588" s="166"/>
      <c r="S588" s="167"/>
      <c r="T588" s="167"/>
      <c r="U588" s="167"/>
      <c r="V588" s="167"/>
      <c r="W588" s="168"/>
      <c r="X588" s="168"/>
      <c r="Y588" s="167"/>
      <c r="Z588" s="167"/>
      <c r="AA588" s="167"/>
      <c r="AB588" s="167"/>
      <c r="AC588" s="167"/>
      <c r="AD588" s="169"/>
    </row>
    <row r="589" spans="1:30" ht="14.1" customHeight="1" thickBot="1" x14ac:dyDescent="0.35">
      <c r="A589" s="183">
        <f>A577+1</f>
        <v>17</v>
      </c>
      <c r="B589" s="233" t="s">
        <v>480</v>
      </c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7"/>
      <c r="O589" s="525"/>
      <c r="P589" s="151"/>
      <c r="Q589" s="152"/>
      <c r="R589" s="152">
        <f t="shared" ref="R589:AC589" si="125">SUM(R580:R588)</f>
        <v>0</v>
      </c>
      <c r="S589" s="152">
        <f t="shared" si="125"/>
        <v>0</v>
      </c>
      <c r="T589" s="152">
        <f t="shared" si="125"/>
        <v>0</v>
      </c>
      <c r="U589" s="152">
        <f t="shared" si="125"/>
        <v>0</v>
      </c>
      <c r="V589" s="152">
        <f t="shared" si="125"/>
        <v>0</v>
      </c>
      <c r="W589" s="152">
        <f t="shared" si="125"/>
        <v>0</v>
      </c>
      <c r="X589" s="152">
        <f t="shared" si="125"/>
        <v>0</v>
      </c>
      <c r="Y589" s="152">
        <f t="shared" si="125"/>
        <v>0</v>
      </c>
      <c r="Z589" s="152">
        <f t="shared" si="125"/>
        <v>0</v>
      </c>
      <c r="AA589" s="152">
        <f t="shared" si="125"/>
        <v>0</v>
      </c>
      <c r="AB589" s="152">
        <f t="shared" si="125"/>
        <v>0</v>
      </c>
      <c r="AC589" s="152">
        <f t="shared" si="125"/>
        <v>0</v>
      </c>
      <c r="AD589" s="153"/>
    </row>
    <row r="590" spans="1:30" ht="14.1" customHeight="1" x14ac:dyDescent="0.3">
      <c r="A590" s="184"/>
      <c r="B590" s="106" t="s">
        <v>233</v>
      </c>
      <c r="C590" s="1" t="s">
        <v>151</v>
      </c>
      <c r="D590" s="1"/>
      <c r="E590" s="1"/>
      <c r="F590" s="1"/>
      <c r="G590" s="1"/>
      <c r="H590" s="7"/>
      <c r="I590" s="141" t="s">
        <v>148</v>
      </c>
      <c r="J590" s="161">
        <f>1039/1800</f>
        <v>0.57722222222222219</v>
      </c>
      <c r="K590" s="142">
        <f>'UPAH BAHAN'!$H$40</f>
        <v>180000</v>
      </c>
      <c r="L590" s="171" t="s">
        <v>233</v>
      </c>
      <c r="M590" s="99">
        <f>J590*K590</f>
        <v>103900</v>
      </c>
      <c r="N590" s="101">
        <f t="shared" ref="N590:N597" si="126">L590+M590</f>
        <v>103900</v>
      </c>
      <c r="O590" s="525"/>
    </row>
    <row r="591" spans="1:30" ht="14.1" customHeight="1" thickBot="1" x14ac:dyDescent="0.35">
      <c r="A591" s="184"/>
      <c r="B591" s="106" t="s">
        <v>233</v>
      </c>
      <c r="C591" s="1" t="s">
        <v>294</v>
      </c>
      <c r="D591" s="1"/>
      <c r="E591" s="1"/>
      <c r="F591" s="1"/>
      <c r="G591" s="1"/>
      <c r="H591" s="7"/>
      <c r="I591" s="141" t="s">
        <v>148</v>
      </c>
      <c r="J591" s="161">
        <f>692/1400</f>
        <v>0.49428571428571427</v>
      </c>
      <c r="K591" s="142">
        <f>'UPAH BAHAN'!$H$39</f>
        <v>250000</v>
      </c>
      <c r="L591" s="171" t="s">
        <v>233</v>
      </c>
      <c r="M591" s="99">
        <f>J591*K591</f>
        <v>123571.42857142857</v>
      </c>
      <c r="N591" s="101">
        <f t="shared" si="126"/>
        <v>123571.42857142857</v>
      </c>
      <c r="O591" s="525"/>
    </row>
    <row r="592" spans="1:30" ht="14.1" customHeight="1" thickBot="1" x14ac:dyDescent="0.35">
      <c r="A592" s="184"/>
      <c r="B592" s="106" t="s">
        <v>233</v>
      </c>
      <c r="C592" s="1" t="s">
        <v>152</v>
      </c>
      <c r="D592" s="1"/>
      <c r="E592" s="1"/>
      <c r="F592" s="1"/>
      <c r="G592" s="1"/>
      <c r="H592" s="7"/>
      <c r="I592" s="255" t="s">
        <v>153</v>
      </c>
      <c r="J592" s="161">
        <f>384/50</f>
        <v>7.68</v>
      </c>
      <c r="K592" s="142">
        <f>'UPAH BAHAN'!$H$41</f>
        <v>56000</v>
      </c>
      <c r="L592" s="171" t="s">
        <v>233</v>
      </c>
      <c r="M592" s="99">
        <f>J592*K592</f>
        <v>430080</v>
      </c>
      <c r="N592" s="101">
        <f t="shared" si="126"/>
        <v>430080</v>
      </c>
      <c r="O592" s="525"/>
      <c r="P592" s="156" t="str">
        <f>B756</f>
        <v>1 m³ Beton  bertulang camp 1:2:3 untuk atap Bronkaptering</v>
      </c>
      <c r="Q592" s="157"/>
      <c r="R592" s="158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60"/>
    </row>
    <row r="593" spans="1:30" ht="14.1" customHeight="1" x14ac:dyDescent="0.3">
      <c r="A593" s="184"/>
      <c r="B593" s="106" t="s">
        <v>233</v>
      </c>
      <c r="C593" s="1" t="s">
        <v>128</v>
      </c>
      <c r="D593" s="1"/>
      <c r="E593" s="1"/>
      <c r="F593" s="1"/>
      <c r="G593" s="1"/>
      <c r="H593" s="7"/>
      <c r="I593" s="234" t="s">
        <v>477</v>
      </c>
      <c r="J593" s="161">
        <v>0.16059999999999999</v>
      </c>
      <c r="K593" s="142">
        <f>'UPAH BAHAN'!$H$19</f>
        <v>105000</v>
      </c>
      <c r="L593" s="100">
        <f>J593*K593</f>
        <v>16863</v>
      </c>
      <c r="M593" s="148" t="s">
        <v>233</v>
      </c>
      <c r="N593" s="101">
        <f t="shared" si="126"/>
        <v>16863</v>
      </c>
      <c r="O593" s="525"/>
      <c r="P593" s="132"/>
      <c r="Q593" s="140"/>
      <c r="R593" s="133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8"/>
    </row>
    <row r="594" spans="1:30" ht="14.1" customHeight="1" x14ac:dyDescent="0.3">
      <c r="A594" s="184"/>
      <c r="B594" s="106" t="s">
        <v>233</v>
      </c>
      <c r="C594" s="1" t="s">
        <v>134</v>
      </c>
      <c r="D594" s="1"/>
      <c r="E594" s="1"/>
      <c r="F594" s="1"/>
      <c r="G594" s="1"/>
      <c r="H594" s="7"/>
      <c r="I594" s="234" t="s">
        <v>477</v>
      </c>
      <c r="J594" s="161">
        <v>1.61E-2</v>
      </c>
      <c r="K594" s="142">
        <f>'UPAH BAHAN'!$H$24</f>
        <v>165000</v>
      </c>
      <c r="L594" s="100">
        <f>J594*K594</f>
        <v>2656.5</v>
      </c>
      <c r="M594" s="148" t="s">
        <v>233</v>
      </c>
      <c r="N594" s="101">
        <f t="shared" si="126"/>
        <v>2656.5</v>
      </c>
      <c r="O594" s="525"/>
      <c r="P594" s="132"/>
      <c r="Q594" s="140"/>
      <c r="R594" s="133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8"/>
    </row>
    <row r="595" spans="1:30" ht="14.1" customHeight="1" x14ac:dyDescent="0.3">
      <c r="A595" s="184"/>
      <c r="B595" s="106" t="s">
        <v>233</v>
      </c>
      <c r="C595" s="1" t="s">
        <v>130</v>
      </c>
      <c r="D595" s="1"/>
      <c r="E595" s="1"/>
      <c r="F595" s="1"/>
      <c r="G595" s="1"/>
      <c r="H595" s="7"/>
      <c r="I595" s="234" t="s">
        <v>477</v>
      </c>
      <c r="J595" s="161">
        <v>8.0299999999999996E-2</v>
      </c>
      <c r="K595" s="142">
        <f>'UPAH BAHAN'!$H$20</f>
        <v>135000</v>
      </c>
      <c r="L595" s="100">
        <f>J595*K595</f>
        <v>10840.5</v>
      </c>
      <c r="M595" s="148" t="s">
        <v>233</v>
      </c>
      <c r="N595" s="101">
        <f t="shared" si="126"/>
        <v>10840.5</v>
      </c>
      <c r="O595" s="525"/>
      <c r="P595" s="132"/>
      <c r="Q595" s="140"/>
      <c r="R595" s="133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8"/>
    </row>
    <row r="596" spans="1:30" ht="14.1" customHeight="1" x14ac:dyDescent="0.3">
      <c r="A596" s="184"/>
      <c r="B596" s="106" t="s">
        <v>233</v>
      </c>
      <c r="C596" s="1" t="s">
        <v>289</v>
      </c>
      <c r="D596" s="1"/>
      <c r="E596" s="1"/>
      <c r="F596" s="1"/>
      <c r="G596" s="1"/>
      <c r="H596" s="7"/>
      <c r="I596" s="234" t="s">
        <v>477</v>
      </c>
      <c r="J596" s="161">
        <v>8.0000000000000002E-3</v>
      </c>
      <c r="K596" s="142">
        <f>'UPAH BAHAN'!$H$25</f>
        <v>150000</v>
      </c>
      <c r="L596" s="100">
        <f>J596*K596</f>
        <v>1200</v>
      </c>
      <c r="M596" s="148" t="s">
        <v>233</v>
      </c>
      <c r="N596" s="101">
        <f t="shared" si="126"/>
        <v>1200</v>
      </c>
      <c r="O596" s="525"/>
      <c r="P596" s="132"/>
      <c r="Q596" s="140"/>
      <c r="R596" s="133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8"/>
    </row>
    <row r="597" spans="1:30" ht="14.1" customHeight="1" x14ac:dyDescent="0.3">
      <c r="A597" s="184"/>
      <c r="B597" s="106" t="s">
        <v>233</v>
      </c>
      <c r="C597" s="1" t="s">
        <v>295</v>
      </c>
      <c r="D597" s="1"/>
      <c r="E597" s="1"/>
      <c r="F597" s="1"/>
      <c r="G597" s="1"/>
      <c r="H597" s="7"/>
      <c r="I597" s="106" t="s">
        <v>250</v>
      </c>
      <c r="J597" s="161">
        <v>1</v>
      </c>
      <c r="K597" s="142">
        <f>$K$525</f>
        <v>10000</v>
      </c>
      <c r="L597" s="100">
        <f>J597*K597</f>
        <v>10000</v>
      </c>
      <c r="M597" s="148" t="s">
        <v>233</v>
      </c>
      <c r="N597" s="101">
        <f t="shared" si="126"/>
        <v>10000</v>
      </c>
      <c r="O597" s="525"/>
      <c r="P597" s="132"/>
      <c r="Q597" s="140"/>
      <c r="R597" s="133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8"/>
    </row>
    <row r="598" spans="1:30" ht="14.1" customHeight="1" x14ac:dyDescent="0.3">
      <c r="A598" s="184"/>
      <c r="B598" s="1"/>
      <c r="C598" s="1"/>
      <c r="D598" s="1"/>
      <c r="E598" s="1"/>
      <c r="F598" s="1"/>
      <c r="G598" s="1"/>
      <c r="H598" s="7"/>
      <c r="I598" s="107"/>
      <c r="J598" s="107"/>
      <c r="K598" s="150" t="s">
        <v>279</v>
      </c>
      <c r="L598" s="107">
        <f>SUM(L590:L597)</f>
        <v>41560</v>
      </c>
      <c r="M598" s="108">
        <f>SUM(M590:M597)</f>
        <v>657551.42857142864</v>
      </c>
      <c r="N598" s="109">
        <f>SUM(N590:N597)</f>
        <v>699111.42857142864</v>
      </c>
      <c r="O598" s="525"/>
      <c r="P598" s="132"/>
      <c r="Q598" s="140"/>
      <c r="R598" s="133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8"/>
    </row>
    <row r="599" spans="1:30" ht="14.1" customHeight="1" x14ac:dyDescent="0.3">
      <c r="A599" s="184"/>
      <c r="B599" s="1"/>
      <c r="C599" s="1"/>
      <c r="D599" s="1"/>
      <c r="E599" s="1"/>
      <c r="F599" s="1"/>
      <c r="G599" s="1"/>
      <c r="H599" s="7"/>
      <c r="I599" s="100"/>
      <c r="J599" s="100"/>
      <c r="K599" s="289" t="s">
        <v>512</v>
      </c>
      <c r="L599" s="100"/>
      <c r="M599" s="99"/>
      <c r="N599" s="101">
        <f>N598*15%</f>
        <v>104866.71428571429</v>
      </c>
      <c r="O599" s="525"/>
      <c r="P599" s="132"/>
      <c r="Q599" s="140"/>
      <c r="R599" s="133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8"/>
    </row>
    <row r="600" spans="1:30" s="238" customFormat="1" ht="14.1" customHeight="1" x14ac:dyDescent="0.3">
      <c r="A600" s="186"/>
      <c r="B600" s="173"/>
      <c r="C600" s="173"/>
      <c r="D600" s="173"/>
      <c r="E600" s="173"/>
      <c r="F600" s="173"/>
      <c r="G600" s="173"/>
      <c r="H600" s="174"/>
      <c r="I600" s="175"/>
      <c r="J600" s="175"/>
      <c r="K600" s="176" t="s">
        <v>247</v>
      </c>
      <c r="L600" s="175"/>
      <c r="M600" s="177"/>
      <c r="N600" s="116">
        <f>N598+N599</f>
        <v>803978.14285714296</v>
      </c>
      <c r="O600" s="528"/>
      <c r="P600" s="242"/>
      <c r="Q600" s="243"/>
      <c r="R600" s="244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  <c r="AD600" s="246"/>
    </row>
    <row r="601" spans="1:30" s="238" customFormat="1" ht="14.1" customHeight="1" x14ac:dyDescent="0.3">
      <c r="A601" s="183">
        <f>A589+1</f>
        <v>18</v>
      </c>
      <c r="B601" s="233" t="s">
        <v>481</v>
      </c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7"/>
      <c r="O601" s="528"/>
      <c r="P601" s="242"/>
      <c r="Q601" s="243"/>
      <c r="R601" s="244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  <c r="AD601" s="246"/>
    </row>
    <row r="602" spans="1:30" ht="14.1" customHeight="1" x14ac:dyDescent="0.3">
      <c r="A602" s="184"/>
      <c r="B602" s="106" t="s">
        <v>233</v>
      </c>
      <c r="C602" s="1" t="s">
        <v>151</v>
      </c>
      <c r="D602" s="1"/>
      <c r="E602" s="1"/>
      <c r="F602" s="1"/>
      <c r="G602" s="1"/>
      <c r="H602" s="7"/>
      <c r="I602" s="141" t="s">
        <v>148</v>
      </c>
      <c r="J602" s="161">
        <f>1026/1800</f>
        <v>0.56999999999999995</v>
      </c>
      <c r="K602" s="142">
        <f>'UPAH BAHAN'!$H$40</f>
        <v>180000</v>
      </c>
      <c r="L602" s="171" t="s">
        <v>233</v>
      </c>
      <c r="M602" s="99">
        <f>J602*K602</f>
        <v>102599.99999999999</v>
      </c>
      <c r="N602" s="101">
        <f t="shared" ref="N602:N609" si="127">L602+M602</f>
        <v>102599.99999999999</v>
      </c>
      <c r="O602" s="525"/>
      <c r="P602" s="132"/>
      <c r="Q602" s="140"/>
      <c r="R602" s="133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8"/>
    </row>
    <row r="603" spans="1:30" ht="14.1" customHeight="1" thickBot="1" x14ac:dyDescent="0.35">
      <c r="A603" s="184"/>
      <c r="B603" s="106" t="s">
        <v>233</v>
      </c>
      <c r="C603" s="1" t="s">
        <v>294</v>
      </c>
      <c r="D603" s="1"/>
      <c r="E603" s="1"/>
      <c r="F603" s="1"/>
      <c r="G603" s="1"/>
      <c r="H603" s="7"/>
      <c r="I603" s="141" t="s">
        <v>148</v>
      </c>
      <c r="J603" s="161">
        <f>684/1400</f>
        <v>0.48857142857142855</v>
      </c>
      <c r="K603" s="142">
        <f>'UPAH BAHAN'!$H$39</f>
        <v>250000</v>
      </c>
      <c r="L603" s="171" t="s">
        <v>233</v>
      </c>
      <c r="M603" s="99">
        <f>J603*K603</f>
        <v>122142.85714285713</v>
      </c>
      <c r="N603" s="101">
        <f t="shared" si="127"/>
        <v>122142.85714285713</v>
      </c>
      <c r="O603" s="525"/>
      <c r="P603" s="164"/>
      <c r="Q603" s="165"/>
      <c r="R603" s="166"/>
      <c r="S603" s="167"/>
      <c r="T603" s="167"/>
      <c r="U603" s="167"/>
      <c r="V603" s="167"/>
      <c r="W603" s="168"/>
      <c r="X603" s="168"/>
      <c r="Y603" s="167"/>
      <c r="Z603" s="167"/>
      <c r="AA603" s="167"/>
      <c r="AB603" s="167"/>
      <c r="AC603" s="167"/>
      <c r="AD603" s="169"/>
    </row>
    <row r="604" spans="1:30" ht="14.1" customHeight="1" thickBot="1" x14ac:dyDescent="0.35">
      <c r="A604" s="184"/>
      <c r="B604" s="106" t="s">
        <v>233</v>
      </c>
      <c r="C604" s="1" t="s">
        <v>152</v>
      </c>
      <c r="D604" s="1"/>
      <c r="E604" s="1"/>
      <c r="F604" s="1"/>
      <c r="G604" s="1"/>
      <c r="H604" s="7"/>
      <c r="I604" s="255" t="s">
        <v>153</v>
      </c>
      <c r="J604" s="161">
        <f>406/50</f>
        <v>8.1199999999999992</v>
      </c>
      <c r="K604" s="142">
        <f>'UPAH BAHAN'!$H$41</f>
        <v>56000</v>
      </c>
      <c r="L604" s="171" t="s">
        <v>233</v>
      </c>
      <c r="M604" s="99">
        <f>J604*K604</f>
        <v>454719.99999999994</v>
      </c>
      <c r="N604" s="101">
        <f t="shared" si="127"/>
        <v>454719.99999999994</v>
      </c>
      <c r="O604" s="525"/>
      <c r="P604" s="151"/>
      <c r="Q604" s="152"/>
      <c r="R604" s="152">
        <f t="shared" ref="R604:AC604" si="128">SUM(R593:R603)</f>
        <v>0</v>
      </c>
      <c r="S604" s="152">
        <f t="shared" si="128"/>
        <v>0</v>
      </c>
      <c r="T604" s="152">
        <f t="shared" si="128"/>
        <v>0</v>
      </c>
      <c r="U604" s="152">
        <f t="shared" si="128"/>
        <v>0</v>
      </c>
      <c r="V604" s="152">
        <f t="shared" si="128"/>
        <v>0</v>
      </c>
      <c r="W604" s="152">
        <f t="shared" si="128"/>
        <v>0</v>
      </c>
      <c r="X604" s="152">
        <f t="shared" si="128"/>
        <v>0</v>
      </c>
      <c r="Y604" s="152">
        <f t="shared" si="128"/>
        <v>0</v>
      </c>
      <c r="Z604" s="152">
        <f t="shared" si="128"/>
        <v>0</v>
      </c>
      <c r="AA604" s="152">
        <f t="shared" si="128"/>
        <v>0</v>
      </c>
      <c r="AB604" s="152">
        <f t="shared" si="128"/>
        <v>0</v>
      </c>
      <c r="AC604" s="152">
        <f t="shared" si="128"/>
        <v>0</v>
      </c>
      <c r="AD604" s="153"/>
    </row>
    <row r="605" spans="1:30" ht="14.1" customHeight="1" x14ac:dyDescent="0.3">
      <c r="A605" s="184"/>
      <c r="B605" s="106" t="s">
        <v>233</v>
      </c>
      <c r="C605" s="1" t="s">
        <v>128</v>
      </c>
      <c r="D605" s="1"/>
      <c r="E605" s="1"/>
      <c r="F605" s="1"/>
      <c r="G605" s="1"/>
      <c r="H605" s="7"/>
      <c r="I605" s="234" t="s">
        <v>477</v>
      </c>
      <c r="J605" s="161">
        <v>0.16059999999999999</v>
      </c>
      <c r="K605" s="142">
        <f>'UPAH BAHAN'!$H$19</f>
        <v>105000</v>
      </c>
      <c r="L605" s="100">
        <f>J605*K605</f>
        <v>16863</v>
      </c>
      <c r="M605" s="148" t="s">
        <v>233</v>
      </c>
      <c r="N605" s="101">
        <f t="shared" si="127"/>
        <v>16863</v>
      </c>
      <c r="O605" s="525"/>
    </row>
    <row r="606" spans="1:30" ht="14.1" customHeight="1" thickBot="1" x14ac:dyDescent="0.35">
      <c r="A606" s="184"/>
      <c r="B606" s="106" t="s">
        <v>233</v>
      </c>
      <c r="C606" s="1" t="s">
        <v>134</v>
      </c>
      <c r="D606" s="1"/>
      <c r="E606" s="1"/>
      <c r="F606" s="1"/>
      <c r="G606" s="1"/>
      <c r="H606" s="7"/>
      <c r="I606" s="234" t="s">
        <v>477</v>
      </c>
      <c r="J606" s="161">
        <v>1.61E-2</v>
      </c>
      <c r="K606" s="142">
        <f>'UPAH BAHAN'!$H$24</f>
        <v>165000</v>
      </c>
      <c r="L606" s="100">
        <f>J606*K606</f>
        <v>2656.5</v>
      </c>
      <c r="M606" s="148" t="s">
        <v>233</v>
      </c>
      <c r="N606" s="101">
        <f t="shared" si="127"/>
        <v>2656.5</v>
      </c>
      <c r="O606" s="525"/>
    </row>
    <row r="607" spans="1:30" ht="14.1" customHeight="1" thickBot="1" x14ac:dyDescent="0.35">
      <c r="A607" s="184"/>
      <c r="B607" s="106" t="s">
        <v>233</v>
      </c>
      <c r="C607" s="1" t="s">
        <v>130</v>
      </c>
      <c r="D607" s="1"/>
      <c r="E607" s="1"/>
      <c r="F607" s="1"/>
      <c r="G607" s="1"/>
      <c r="H607" s="7"/>
      <c r="I607" s="234" t="s">
        <v>477</v>
      </c>
      <c r="J607" s="161">
        <v>8.0299999999999996E-2</v>
      </c>
      <c r="K607" s="142">
        <f>'UPAH BAHAN'!$H$20</f>
        <v>135000</v>
      </c>
      <c r="L607" s="100">
        <f>J607*K607</f>
        <v>10840.5</v>
      </c>
      <c r="M607" s="148" t="s">
        <v>233</v>
      </c>
      <c r="N607" s="101">
        <f t="shared" si="127"/>
        <v>10840.5</v>
      </c>
      <c r="O607" s="525"/>
      <c r="P607" s="156" t="str">
        <f>B770</f>
        <v>1 m³ Beton  bertulang camp 1:2:3 untuk dinding Bronkaptering</v>
      </c>
      <c r="Q607" s="157"/>
      <c r="R607" s="158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60"/>
    </row>
    <row r="608" spans="1:30" ht="14.1" customHeight="1" x14ac:dyDescent="0.3">
      <c r="A608" s="184"/>
      <c r="B608" s="106" t="s">
        <v>233</v>
      </c>
      <c r="C608" s="1" t="s">
        <v>289</v>
      </c>
      <c r="D608" s="1"/>
      <c r="E608" s="1"/>
      <c r="F608" s="1"/>
      <c r="G608" s="1"/>
      <c r="H608" s="7"/>
      <c r="I608" s="234" t="s">
        <v>477</v>
      </c>
      <c r="J608" s="161">
        <v>8.0000000000000002E-3</v>
      </c>
      <c r="K608" s="142">
        <f>'UPAH BAHAN'!$H$25</f>
        <v>150000</v>
      </c>
      <c r="L608" s="100">
        <f>J608*K608</f>
        <v>1200</v>
      </c>
      <c r="M608" s="148" t="s">
        <v>233</v>
      </c>
      <c r="N608" s="101">
        <f t="shared" si="127"/>
        <v>1200</v>
      </c>
      <c r="O608" s="525"/>
      <c r="P608" s="132"/>
      <c r="Q608" s="140"/>
      <c r="R608" s="133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8"/>
    </row>
    <row r="609" spans="1:30" ht="14.1" customHeight="1" x14ac:dyDescent="0.3">
      <c r="A609" s="184"/>
      <c r="B609" s="106" t="s">
        <v>233</v>
      </c>
      <c r="C609" s="1" t="s">
        <v>295</v>
      </c>
      <c r="D609" s="1"/>
      <c r="E609" s="1"/>
      <c r="F609" s="1"/>
      <c r="G609" s="1"/>
      <c r="H609" s="7"/>
      <c r="I609" s="106" t="s">
        <v>250</v>
      </c>
      <c r="J609" s="161">
        <v>1</v>
      </c>
      <c r="K609" s="142">
        <f>$K$525</f>
        <v>10000</v>
      </c>
      <c r="L609" s="100">
        <f>J609*K609</f>
        <v>10000</v>
      </c>
      <c r="M609" s="148" t="s">
        <v>233</v>
      </c>
      <c r="N609" s="101">
        <f t="shared" si="127"/>
        <v>10000</v>
      </c>
      <c r="O609" s="525"/>
      <c r="P609" s="132"/>
      <c r="Q609" s="140"/>
      <c r="R609" s="133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8"/>
    </row>
    <row r="610" spans="1:30" ht="14.1" customHeight="1" x14ac:dyDescent="0.3">
      <c r="A610" s="184"/>
      <c r="B610" s="1"/>
      <c r="C610" s="1"/>
      <c r="D610" s="1"/>
      <c r="E610" s="1"/>
      <c r="F610" s="1"/>
      <c r="G610" s="1"/>
      <c r="H610" s="7"/>
      <c r="I610" s="107"/>
      <c r="J610" s="107"/>
      <c r="K610" s="150" t="s">
        <v>279</v>
      </c>
      <c r="L610" s="107">
        <f>SUM(L602:L609)</f>
        <v>41560</v>
      </c>
      <c r="M610" s="108">
        <f>SUM(M602:M609)</f>
        <v>679462.85714285704</v>
      </c>
      <c r="N610" s="109">
        <f>SUM(N602:N609)</f>
        <v>721022.85714285704</v>
      </c>
      <c r="O610" s="525"/>
      <c r="P610" s="132"/>
      <c r="Q610" s="140"/>
      <c r="R610" s="133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8"/>
    </row>
    <row r="611" spans="1:30" ht="14.1" customHeight="1" x14ac:dyDescent="0.3">
      <c r="A611" s="184"/>
      <c r="B611" s="1"/>
      <c r="C611" s="1"/>
      <c r="D611" s="1"/>
      <c r="E611" s="1"/>
      <c r="F611" s="1"/>
      <c r="G611" s="1"/>
      <c r="H611" s="7"/>
      <c r="I611" s="100"/>
      <c r="J611" s="100"/>
      <c r="K611" s="289" t="s">
        <v>512</v>
      </c>
      <c r="L611" s="100"/>
      <c r="M611" s="99"/>
      <c r="N611" s="101">
        <f>N610*15%</f>
        <v>108153.42857142855</v>
      </c>
      <c r="O611" s="525"/>
      <c r="P611" s="132"/>
      <c r="Q611" s="140"/>
      <c r="R611" s="133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8"/>
    </row>
    <row r="612" spans="1:30" ht="14.1" customHeight="1" x14ac:dyDescent="0.3">
      <c r="A612" s="186"/>
      <c r="B612" s="173"/>
      <c r="C612" s="173"/>
      <c r="D612" s="173"/>
      <c r="E612" s="173"/>
      <c r="F612" s="173"/>
      <c r="G612" s="173"/>
      <c r="H612" s="174"/>
      <c r="I612" s="175"/>
      <c r="J612" s="175"/>
      <c r="K612" s="176" t="s">
        <v>247</v>
      </c>
      <c r="L612" s="175"/>
      <c r="M612" s="177"/>
      <c r="N612" s="116">
        <f>N610+N611</f>
        <v>829176.28571428556</v>
      </c>
      <c r="O612" s="525"/>
      <c r="P612" s="132"/>
      <c r="Q612" s="140"/>
      <c r="R612" s="133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8"/>
    </row>
    <row r="613" spans="1:30" ht="14.1" customHeight="1" x14ac:dyDescent="0.3">
      <c r="A613" s="183">
        <f>A601+1</f>
        <v>19</v>
      </c>
      <c r="B613" s="233" t="s">
        <v>482</v>
      </c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7"/>
      <c r="O613" s="525"/>
      <c r="P613" s="132"/>
      <c r="Q613" s="140"/>
      <c r="R613" s="133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8"/>
    </row>
    <row r="614" spans="1:30" s="238" customFormat="1" ht="14.1" customHeight="1" x14ac:dyDescent="0.3">
      <c r="A614" s="184"/>
      <c r="B614" s="106" t="s">
        <v>233</v>
      </c>
      <c r="C614" s="1" t="s">
        <v>151</v>
      </c>
      <c r="D614" s="1"/>
      <c r="E614" s="1"/>
      <c r="F614" s="1"/>
      <c r="G614" s="1"/>
      <c r="H614" s="7"/>
      <c r="I614" s="141" t="s">
        <v>148</v>
      </c>
      <c r="J614" s="161">
        <f>1026/1800</f>
        <v>0.56999999999999995</v>
      </c>
      <c r="K614" s="142">
        <f>'UPAH BAHAN'!$H$40</f>
        <v>180000</v>
      </c>
      <c r="L614" s="171" t="s">
        <v>233</v>
      </c>
      <c r="M614" s="99">
        <f>J614*K614</f>
        <v>102599.99999999999</v>
      </c>
      <c r="N614" s="101">
        <f t="shared" ref="N614:N621" si="129">L614+M614</f>
        <v>102599.99999999999</v>
      </c>
      <c r="O614" s="528"/>
      <c r="P614" s="242"/>
      <c r="Q614" s="243"/>
      <c r="R614" s="244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  <c r="AD614" s="246"/>
    </row>
    <row r="615" spans="1:30" ht="14.1" customHeight="1" x14ac:dyDescent="0.3">
      <c r="A615" s="184"/>
      <c r="B615" s="106" t="s">
        <v>233</v>
      </c>
      <c r="C615" s="1" t="s">
        <v>294</v>
      </c>
      <c r="D615" s="1"/>
      <c r="E615" s="1"/>
      <c r="F615" s="1"/>
      <c r="G615" s="1"/>
      <c r="H615" s="7"/>
      <c r="I615" s="141" t="s">
        <v>148</v>
      </c>
      <c r="J615" s="161">
        <f>684/1400</f>
        <v>0.48857142857142855</v>
      </c>
      <c r="K615" s="142">
        <f>'UPAH BAHAN'!$H$39</f>
        <v>250000</v>
      </c>
      <c r="L615" s="171" t="s">
        <v>233</v>
      </c>
      <c r="M615" s="99">
        <f>J615*K615</f>
        <v>122142.85714285713</v>
      </c>
      <c r="N615" s="101">
        <f t="shared" si="129"/>
        <v>122142.85714285713</v>
      </c>
      <c r="O615" s="525"/>
      <c r="P615" s="132"/>
      <c r="Q615" s="140"/>
      <c r="R615" s="133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8"/>
    </row>
    <row r="616" spans="1:30" ht="14.1" customHeight="1" x14ac:dyDescent="0.3">
      <c r="A616" s="184"/>
      <c r="B616" s="106" t="s">
        <v>233</v>
      </c>
      <c r="C616" s="1" t="s">
        <v>152</v>
      </c>
      <c r="D616" s="1"/>
      <c r="E616" s="1"/>
      <c r="F616" s="1"/>
      <c r="G616" s="1"/>
      <c r="H616" s="7"/>
      <c r="I616" s="255" t="s">
        <v>153</v>
      </c>
      <c r="J616" s="161">
        <f>406/50</f>
        <v>8.1199999999999992</v>
      </c>
      <c r="K616" s="142">
        <f>'UPAH BAHAN'!$H$41</f>
        <v>56000</v>
      </c>
      <c r="L616" s="171" t="s">
        <v>233</v>
      </c>
      <c r="M616" s="99">
        <f>J616*K616</f>
        <v>454719.99999999994</v>
      </c>
      <c r="N616" s="101">
        <f t="shared" si="129"/>
        <v>454719.99999999994</v>
      </c>
      <c r="O616" s="525"/>
      <c r="P616" s="132"/>
      <c r="Q616" s="140"/>
      <c r="R616" s="133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8"/>
    </row>
    <row r="617" spans="1:30" ht="14.1" customHeight="1" thickBot="1" x14ac:dyDescent="0.35">
      <c r="A617" s="184"/>
      <c r="B617" s="106" t="s">
        <v>233</v>
      </c>
      <c r="C617" s="1" t="s">
        <v>128</v>
      </c>
      <c r="D617" s="1"/>
      <c r="E617" s="1"/>
      <c r="F617" s="1"/>
      <c r="G617" s="1"/>
      <c r="H617" s="7"/>
      <c r="I617" s="234" t="s">
        <v>477</v>
      </c>
      <c r="J617" s="161">
        <v>0.16059999999999999</v>
      </c>
      <c r="K617" s="142">
        <f>'UPAH BAHAN'!$H$19</f>
        <v>105000</v>
      </c>
      <c r="L617" s="100">
        <f>J617*K617</f>
        <v>16863</v>
      </c>
      <c r="M617" s="148" t="s">
        <v>233</v>
      </c>
      <c r="N617" s="101">
        <f t="shared" si="129"/>
        <v>16863</v>
      </c>
      <c r="O617" s="525"/>
      <c r="P617" s="164"/>
      <c r="Q617" s="165"/>
      <c r="R617" s="166"/>
      <c r="S617" s="167"/>
      <c r="T617" s="167"/>
      <c r="U617" s="167"/>
      <c r="V617" s="167"/>
      <c r="W617" s="168"/>
      <c r="X617" s="168"/>
      <c r="Y617" s="167"/>
      <c r="Z617" s="167"/>
      <c r="AA617" s="167"/>
      <c r="AB617" s="167"/>
      <c r="AC617" s="167"/>
      <c r="AD617" s="169"/>
    </row>
    <row r="618" spans="1:30" ht="14.1" customHeight="1" thickBot="1" x14ac:dyDescent="0.35">
      <c r="A618" s="184"/>
      <c r="B618" s="106" t="s">
        <v>233</v>
      </c>
      <c r="C618" s="1" t="s">
        <v>134</v>
      </c>
      <c r="D618" s="1"/>
      <c r="E618" s="1"/>
      <c r="F618" s="1"/>
      <c r="G618" s="1"/>
      <c r="H618" s="7"/>
      <c r="I618" s="234" t="s">
        <v>477</v>
      </c>
      <c r="J618" s="161">
        <v>1.61E-2</v>
      </c>
      <c r="K618" s="142">
        <f>'UPAH BAHAN'!$H$24</f>
        <v>165000</v>
      </c>
      <c r="L618" s="100">
        <f>J618*K618</f>
        <v>2656.5</v>
      </c>
      <c r="M618" s="148" t="s">
        <v>233</v>
      </c>
      <c r="N618" s="101">
        <f t="shared" si="129"/>
        <v>2656.5</v>
      </c>
      <c r="O618" s="525"/>
      <c r="P618" s="151"/>
      <c r="Q618" s="152"/>
      <c r="R618" s="152">
        <f t="shared" ref="R618:AC618" si="130">SUM(R608:R617)</f>
        <v>0</v>
      </c>
      <c r="S618" s="152">
        <f t="shared" si="130"/>
        <v>0</v>
      </c>
      <c r="T618" s="152">
        <f t="shared" si="130"/>
        <v>0</v>
      </c>
      <c r="U618" s="152">
        <f t="shared" si="130"/>
        <v>0</v>
      </c>
      <c r="V618" s="152">
        <f t="shared" si="130"/>
        <v>0</v>
      </c>
      <c r="W618" s="152">
        <f t="shared" si="130"/>
        <v>0</v>
      </c>
      <c r="X618" s="152">
        <f t="shared" si="130"/>
        <v>0</v>
      </c>
      <c r="Y618" s="152">
        <f t="shared" si="130"/>
        <v>0</v>
      </c>
      <c r="Z618" s="152">
        <f t="shared" si="130"/>
        <v>0</v>
      </c>
      <c r="AA618" s="152">
        <f t="shared" si="130"/>
        <v>0</v>
      </c>
      <c r="AB618" s="152">
        <f t="shared" si="130"/>
        <v>0</v>
      </c>
      <c r="AC618" s="152">
        <f t="shared" si="130"/>
        <v>0</v>
      </c>
      <c r="AD618" s="153"/>
    </row>
    <row r="619" spans="1:30" ht="14.1" customHeight="1" x14ac:dyDescent="0.3">
      <c r="A619" s="184"/>
      <c r="B619" s="106" t="s">
        <v>233</v>
      </c>
      <c r="C619" s="1" t="s">
        <v>130</v>
      </c>
      <c r="D619" s="1"/>
      <c r="E619" s="1"/>
      <c r="F619" s="1"/>
      <c r="G619" s="1"/>
      <c r="H619" s="7"/>
      <c r="I619" s="234" t="s">
        <v>477</v>
      </c>
      <c r="J619" s="161">
        <v>8.0299999999999996E-2</v>
      </c>
      <c r="K619" s="142">
        <f>'UPAH BAHAN'!$H$20</f>
        <v>135000</v>
      </c>
      <c r="L619" s="100">
        <f>J619*K619</f>
        <v>10840.5</v>
      </c>
      <c r="M619" s="148" t="s">
        <v>233</v>
      </c>
      <c r="N619" s="101">
        <f t="shared" si="129"/>
        <v>10840.5</v>
      </c>
      <c r="O619" s="525"/>
    </row>
    <row r="620" spans="1:30" ht="14.1" customHeight="1" thickBot="1" x14ac:dyDescent="0.35">
      <c r="A620" s="184"/>
      <c r="B620" s="106" t="s">
        <v>233</v>
      </c>
      <c r="C620" s="1" t="s">
        <v>289</v>
      </c>
      <c r="D620" s="1"/>
      <c r="E620" s="1"/>
      <c r="F620" s="1"/>
      <c r="G620" s="1"/>
      <c r="H620" s="7"/>
      <c r="I620" s="234" t="s">
        <v>477</v>
      </c>
      <c r="J620" s="161">
        <v>8.0000000000000002E-3</v>
      </c>
      <c r="K620" s="142">
        <f>'UPAH BAHAN'!$H$25</f>
        <v>150000</v>
      </c>
      <c r="L620" s="100">
        <f>J620*K620</f>
        <v>1200</v>
      </c>
      <c r="M620" s="148" t="s">
        <v>233</v>
      </c>
      <c r="N620" s="101">
        <f t="shared" si="129"/>
        <v>1200</v>
      </c>
      <c r="O620" s="525"/>
    </row>
    <row r="621" spans="1:30" ht="14.1" customHeight="1" thickBot="1" x14ac:dyDescent="0.35">
      <c r="A621" s="184"/>
      <c r="B621" s="106" t="s">
        <v>233</v>
      </c>
      <c r="C621" s="1" t="s">
        <v>295</v>
      </c>
      <c r="D621" s="1"/>
      <c r="E621" s="1"/>
      <c r="F621" s="1"/>
      <c r="G621" s="1"/>
      <c r="H621" s="7"/>
      <c r="I621" s="106" t="s">
        <v>250</v>
      </c>
      <c r="J621" s="161">
        <v>1</v>
      </c>
      <c r="K621" s="142">
        <f>$K$525</f>
        <v>10000</v>
      </c>
      <c r="L621" s="100">
        <f>J621*K621</f>
        <v>10000</v>
      </c>
      <c r="M621" s="148" t="s">
        <v>233</v>
      </c>
      <c r="N621" s="101">
        <f t="shared" si="129"/>
        <v>10000</v>
      </c>
      <c r="O621" s="525"/>
      <c r="P621" s="156" t="str">
        <f>B784</f>
        <v>1 m³ Beton  bertulang camp 1:2:3 untuk lantai Hidran Umum</v>
      </c>
      <c r="Q621" s="157"/>
      <c r="R621" s="158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60"/>
    </row>
    <row r="622" spans="1:30" ht="14.1" customHeight="1" x14ac:dyDescent="0.3">
      <c r="A622" s="184"/>
      <c r="B622" s="1"/>
      <c r="C622" s="1"/>
      <c r="D622" s="1"/>
      <c r="E622" s="1"/>
      <c r="F622" s="1"/>
      <c r="G622" s="1"/>
      <c r="H622" s="7"/>
      <c r="I622" s="107"/>
      <c r="J622" s="107"/>
      <c r="K622" s="150" t="s">
        <v>279</v>
      </c>
      <c r="L622" s="107">
        <f>SUM(L614:L621)</f>
        <v>41560</v>
      </c>
      <c r="M622" s="108">
        <f>SUM(M614:M621)</f>
        <v>679462.85714285704</v>
      </c>
      <c r="N622" s="109">
        <f>SUM(N614:N621)</f>
        <v>721022.85714285704</v>
      </c>
      <c r="O622" s="525"/>
      <c r="P622" s="132"/>
      <c r="Q622" s="140"/>
      <c r="R622" s="133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8"/>
    </row>
    <row r="623" spans="1:30" ht="14.1" customHeight="1" x14ac:dyDescent="0.3">
      <c r="A623" s="184"/>
      <c r="B623" s="1"/>
      <c r="C623" s="1"/>
      <c r="D623" s="1"/>
      <c r="E623" s="1"/>
      <c r="F623" s="1"/>
      <c r="G623" s="1"/>
      <c r="H623" s="7"/>
      <c r="I623" s="100"/>
      <c r="J623" s="100"/>
      <c r="K623" s="289" t="s">
        <v>512</v>
      </c>
      <c r="L623" s="100"/>
      <c r="M623" s="99"/>
      <c r="N623" s="101">
        <f>N622*15%</f>
        <v>108153.42857142855</v>
      </c>
      <c r="O623" s="525"/>
      <c r="P623" s="132"/>
      <c r="Q623" s="140"/>
      <c r="R623" s="133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8"/>
    </row>
    <row r="624" spans="1:30" ht="14.1" customHeight="1" x14ac:dyDescent="0.3">
      <c r="A624" s="186"/>
      <c r="B624" s="173"/>
      <c r="C624" s="173"/>
      <c r="D624" s="173"/>
      <c r="E624" s="173"/>
      <c r="F624" s="173"/>
      <c r="G624" s="173"/>
      <c r="H624" s="174"/>
      <c r="I624" s="175"/>
      <c r="J624" s="175"/>
      <c r="K624" s="176" t="s">
        <v>247</v>
      </c>
      <c r="L624" s="175"/>
      <c r="M624" s="177"/>
      <c r="N624" s="116">
        <f>N622+N623</f>
        <v>829176.28571428556</v>
      </c>
      <c r="O624" s="525"/>
      <c r="P624" s="132"/>
      <c r="Q624" s="140"/>
      <c r="R624" s="133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8"/>
    </row>
    <row r="625" spans="1:30" ht="14.1" customHeight="1" x14ac:dyDescent="0.3">
      <c r="A625" s="183">
        <f>A613+1</f>
        <v>20</v>
      </c>
      <c r="B625" s="233" t="s">
        <v>483</v>
      </c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7"/>
      <c r="O625" s="525"/>
      <c r="P625" s="132"/>
      <c r="Q625" s="140"/>
      <c r="R625" s="133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8"/>
    </row>
    <row r="626" spans="1:30" ht="14.1" customHeight="1" x14ac:dyDescent="0.3">
      <c r="A626" s="184"/>
      <c r="B626" s="106" t="s">
        <v>233</v>
      </c>
      <c r="C626" s="1" t="s">
        <v>151</v>
      </c>
      <c r="D626" s="1"/>
      <c r="E626" s="1"/>
      <c r="F626" s="1"/>
      <c r="G626" s="1"/>
      <c r="H626" s="7"/>
      <c r="I626" s="141" t="s">
        <v>148</v>
      </c>
      <c r="J626" s="161">
        <f>1006/1800</f>
        <v>0.55888888888888888</v>
      </c>
      <c r="K626" s="142">
        <f>'UPAH BAHAN'!$H$40</f>
        <v>180000</v>
      </c>
      <c r="L626" s="171" t="s">
        <v>233</v>
      </c>
      <c r="M626" s="99">
        <f>J626*K626</f>
        <v>100600</v>
      </c>
      <c r="N626" s="101">
        <f t="shared" ref="N626:N633" si="131">L626+M626</f>
        <v>100600</v>
      </c>
      <c r="O626" s="525"/>
      <c r="P626" s="132"/>
      <c r="Q626" s="140"/>
      <c r="R626" s="133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8"/>
    </row>
    <row r="627" spans="1:30" ht="14.1" customHeight="1" x14ac:dyDescent="0.3">
      <c r="A627" s="184"/>
      <c r="B627" s="106" t="s">
        <v>233</v>
      </c>
      <c r="C627" s="1" t="s">
        <v>294</v>
      </c>
      <c r="D627" s="1"/>
      <c r="E627" s="1"/>
      <c r="F627" s="1"/>
      <c r="G627" s="1"/>
      <c r="H627" s="7"/>
      <c r="I627" s="141" t="s">
        <v>148</v>
      </c>
      <c r="J627" s="161">
        <f>670/1400</f>
        <v>0.47857142857142859</v>
      </c>
      <c r="K627" s="142">
        <f>'UPAH BAHAN'!$H$39</f>
        <v>250000</v>
      </c>
      <c r="L627" s="171" t="s">
        <v>233</v>
      </c>
      <c r="M627" s="99">
        <f>J627*K627</f>
        <v>119642.85714285714</v>
      </c>
      <c r="N627" s="101">
        <f t="shared" si="131"/>
        <v>119642.85714285714</v>
      </c>
      <c r="O627" s="525"/>
      <c r="P627" s="132"/>
      <c r="Q627" s="140"/>
      <c r="R627" s="133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8"/>
    </row>
    <row r="628" spans="1:30" s="238" customFormat="1" ht="14.1" customHeight="1" x14ac:dyDescent="0.3">
      <c r="A628" s="184"/>
      <c r="B628" s="106" t="s">
        <v>233</v>
      </c>
      <c r="C628" s="1" t="s">
        <v>152</v>
      </c>
      <c r="D628" s="1"/>
      <c r="E628" s="1"/>
      <c r="F628" s="1"/>
      <c r="G628" s="1"/>
      <c r="H628" s="7"/>
      <c r="I628" s="255" t="s">
        <v>153</v>
      </c>
      <c r="J628" s="161">
        <f>439/50</f>
        <v>8.7799999999999994</v>
      </c>
      <c r="K628" s="142">
        <f>'UPAH BAHAN'!$H$41</f>
        <v>56000</v>
      </c>
      <c r="L628" s="171" t="s">
        <v>233</v>
      </c>
      <c r="M628" s="99">
        <f>J628*K628</f>
        <v>491679.99999999994</v>
      </c>
      <c r="N628" s="101">
        <f t="shared" si="131"/>
        <v>491679.99999999994</v>
      </c>
      <c r="O628" s="528"/>
      <c r="P628" s="242"/>
      <c r="Q628" s="243"/>
      <c r="R628" s="244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  <c r="AD628" s="246"/>
    </row>
    <row r="629" spans="1:30" ht="14.1" customHeight="1" x14ac:dyDescent="0.3">
      <c r="A629" s="184"/>
      <c r="B629" s="106" t="s">
        <v>233</v>
      </c>
      <c r="C629" s="1" t="s">
        <v>128</v>
      </c>
      <c r="D629" s="1"/>
      <c r="E629" s="1"/>
      <c r="F629" s="1"/>
      <c r="G629" s="1"/>
      <c r="H629" s="7"/>
      <c r="I629" s="234" t="s">
        <v>477</v>
      </c>
      <c r="J629" s="161">
        <v>0.16059999999999999</v>
      </c>
      <c r="K629" s="142">
        <f>'UPAH BAHAN'!$H$19</f>
        <v>105000</v>
      </c>
      <c r="L629" s="100">
        <f>J629*K629</f>
        <v>16863</v>
      </c>
      <c r="M629" s="148" t="s">
        <v>233</v>
      </c>
      <c r="N629" s="101">
        <f t="shared" si="131"/>
        <v>16863</v>
      </c>
      <c r="O629" s="525"/>
      <c r="P629" s="132"/>
      <c r="Q629" s="140"/>
      <c r="R629" s="133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8"/>
    </row>
    <row r="630" spans="1:30" ht="14.1" customHeight="1" thickBot="1" x14ac:dyDescent="0.35">
      <c r="A630" s="184"/>
      <c r="B630" s="106" t="s">
        <v>233</v>
      </c>
      <c r="C630" s="1" t="s">
        <v>134</v>
      </c>
      <c r="D630" s="1"/>
      <c r="E630" s="1"/>
      <c r="F630" s="1"/>
      <c r="G630" s="1"/>
      <c r="H630" s="7"/>
      <c r="I630" s="234" t="s">
        <v>477</v>
      </c>
      <c r="J630" s="161">
        <v>1.61E-2</v>
      </c>
      <c r="K630" s="142">
        <f>'UPAH BAHAN'!$H$24</f>
        <v>165000</v>
      </c>
      <c r="L630" s="100">
        <f>J630*K630</f>
        <v>2656.5</v>
      </c>
      <c r="M630" s="148" t="s">
        <v>233</v>
      </c>
      <c r="N630" s="101">
        <f t="shared" si="131"/>
        <v>2656.5</v>
      </c>
      <c r="O630" s="525"/>
      <c r="P630" s="164"/>
      <c r="Q630" s="165"/>
      <c r="R630" s="166"/>
      <c r="S630" s="167"/>
      <c r="T630" s="167"/>
      <c r="U630" s="167"/>
      <c r="V630" s="167"/>
      <c r="W630" s="168"/>
      <c r="X630" s="168"/>
      <c r="Y630" s="167"/>
      <c r="Z630" s="167"/>
      <c r="AA630" s="167"/>
      <c r="AB630" s="167"/>
      <c r="AC630" s="167"/>
      <c r="AD630" s="169"/>
    </row>
    <row r="631" spans="1:30" ht="14.1" customHeight="1" thickBot="1" x14ac:dyDescent="0.35">
      <c r="A631" s="184"/>
      <c r="B631" s="106" t="s">
        <v>233</v>
      </c>
      <c r="C631" s="1" t="s">
        <v>130</v>
      </c>
      <c r="D631" s="1"/>
      <c r="E631" s="1"/>
      <c r="F631" s="1"/>
      <c r="G631" s="1"/>
      <c r="H631" s="7"/>
      <c r="I631" s="234" t="s">
        <v>477</v>
      </c>
      <c r="J631" s="161">
        <v>8.0299999999999996E-2</v>
      </c>
      <c r="K631" s="142">
        <f>'UPAH BAHAN'!$H$20</f>
        <v>135000</v>
      </c>
      <c r="L631" s="100">
        <f>J631*K631</f>
        <v>10840.5</v>
      </c>
      <c r="M631" s="148" t="s">
        <v>233</v>
      </c>
      <c r="N631" s="101">
        <f t="shared" si="131"/>
        <v>10840.5</v>
      </c>
      <c r="O631" s="525"/>
      <c r="P631" s="151"/>
      <c r="Q631" s="152"/>
      <c r="R631" s="152">
        <f t="shared" ref="R631:AC631" si="132">SUM(R622:R630)</f>
        <v>0</v>
      </c>
      <c r="S631" s="152">
        <f t="shared" si="132"/>
        <v>0</v>
      </c>
      <c r="T631" s="152">
        <f t="shared" si="132"/>
        <v>0</v>
      </c>
      <c r="U631" s="152">
        <f t="shared" si="132"/>
        <v>0</v>
      </c>
      <c r="V631" s="152">
        <f t="shared" si="132"/>
        <v>0</v>
      </c>
      <c r="W631" s="152">
        <f t="shared" si="132"/>
        <v>0</v>
      </c>
      <c r="X631" s="152">
        <f t="shared" si="132"/>
        <v>0</v>
      </c>
      <c r="Y631" s="152">
        <f t="shared" si="132"/>
        <v>0</v>
      </c>
      <c r="Z631" s="152">
        <f t="shared" si="132"/>
        <v>0</v>
      </c>
      <c r="AA631" s="152">
        <f t="shared" si="132"/>
        <v>0</v>
      </c>
      <c r="AB631" s="152">
        <f t="shared" si="132"/>
        <v>0</v>
      </c>
      <c r="AC631" s="152">
        <f t="shared" si="132"/>
        <v>0</v>
      </c>
      <c r="AD631" s="153"/>
    </row>
    <row r="632" spans="1:30" ht="14.1" customHeight="1" x14ac:dyDescent="0.3">
      <c r="A632" s="184"/>
      <c r="B632" s="106" t="s">
        <v>233</v>
      </c>
      <c r="C632" s="1" t="s">
        <v>289</v>
      </c>
      <c r="D632" s="1"/>
      <c r="E632" s="1"/>
      <c r="F632" s="1"/>
      <c r="G632" s="1"/>
      <c r="H632" s="7"/>
      <c r="I632" s="234" t="s">
        <v>477</v>
      </c>
      <c r="J632" s="161">
        <v>8.0000000000000002E-3</v>
      </c>
      <c r="K632" s="142">
        <f>'UPAH BAHAN'!$H$25</f>
        <v>150000</v>
      </c>
      <c r="L632" s="100">
        <f>J632*K632</f>
        <v>1200</v>
      </c>
      <c r="M632" s="148" t="s">
        <v>233</v>
      </c>
      <c r="N632" s="101">
        <f t="shared" si="131"/>
        <v>1200</v>
      </c>
      <c r="O632" s="525"/>
    </row>
    <row r="633" spans="1:30" ht="14.1" customHeight="1" x14ac:dyDescent="0.3">
      <c r="A633" s="184"/>
      <c r="B633" s="106" t="s">
        <v>233</v>
      </c>
      <c r="C633" s="1" t="s">
        <v>295</v>
      </c>
      <c r="D633" s="1"/>
      <c r="E633" s="1"/>
      <c r="F633" s="1"/>
      <c r="G633" s="1"/>
      <c r="H633" s="7"/>
      <c r="I633" s="106" t="s">
        <v>250</v>
      </c>
      <c r="J633" s="161">
        <v>1</v>
      </c>
      <c r="K633" s="142">
        <f>$K$525</f>
        <v>10000</v>
      </c>
      <c r="L633" s="100">
        <f>J633*K633</f>
        <v>10000</v>
      </c>
      <c r="M633" s="148" t="s">
        <v>233</v>
      </c>
      <c r="N633" s="101">
        <f t="shared" si="131"/>
        <v>10000</v>
      </c>
      <c r="O633" s="525"/>
    </row>
    <row r="634" spans="1:30" ht="14.1" customHeight="1" thickBot="1" x14ac:dyDescent="0.35">
      <c r="A634" s="184"/>
      <c r="B634" s="1"/>
      <c r="C634" s="1"/>
      <c r="D634" s="1"/>
      <c r="E634" s="1"/>
      <c r="F634" s="1"/>
      <c r="G634" s="1"/>
      <c r="H634" s="7"/>
      <c r="I634" s="107"/>
      <c r="J634" s="107"/>
      <c r="K634" s="150" t="s">
        <v>279</v>
      </c>
      <c r="L634" s="107">
        <f>SUM(L626:L633)</f>
        <v>41560</v>
      </c>
      <c r="M634" s="108">
        <f>SUM(M626:M633)</f>
        <v>711922.85714285704</v>
      </c>
      <c r="N634" s="109">
        <f>SUM(N626:N633)</f>
        <v>753482.85714285704</v>
      </c>
      <c r="O634" s="525"/>
    </row>
    <row r="635" spans="1:30" ht="14.1" customHeight="1" thickBot="1" x14ac:dyDescent="0.35">
      <c r="A635" s="184"/>
      <c r="B635" s="1"/>
      <c r="C635" s="1"/>
      <c r="D635" s="1"/>
      <c r="E635" s="1"/>
      <c r="F635" s="1"/>
      <c r="G635" s="1"/>
      <c r="H635" s="7"/>
      <c r="I635" s="100"/>
      <c r="J635" s="100"/>
      <c r="K635" s="289" t="s">
        <v>512</v>
      </c>
      <c r="L635" s="100"/>
      <c r="M635" s="99"/>
      <c r="N635" s="101">
        <f>N634*15%</f>
        <v>113022.42857142855</v>
      </c>
      <c r="O635" s="525"/>
      <c r="P635" s="156" t="str">
        <f>B798</f>
        <v>1 Kg Pekerjaan Besi Profil / Plat</v>
      </c>
      <c r="Q635" s="157"/>
      <c r="R635" s="158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60"/>
    </row>
    <row r="636" spans="1:30" ht="14.1" customHeight="1" x14ac:dyDescent="0.3">
      <c r="A636" s="186"/>
      <c r="B636" s="173"/>
      <c r="C636" s="173"/>
      <c r="D636" s="173"/>
      <c r="E636" s="173"/>
      <c r="F636" s="173"/>
      <c r="G636" s="173"/>
      <c r="H636" s="174"/>
      <c r="I636" s="175"/>
      <c r="J636" s="175"/>
      <c r="K636" s="176" t="s">
        <v>247</v>
      </c>
      <c r="L636" s="175"/>
      <c r="M636" s="177"/>
      <c r="N636" s="116">
        <f>N634+N635</f>
        <v>866505.28571428556</v>
      </c>
      <c r="O636" s="525"/>
      <c r="P636" s="132"/>
      <c r="Q636" s="140"/>
      <c r="R636" s="133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8"/>
    </row>
    <row r="637" spans="1:30" ht="14.1" customHeight="1" x14ac:dyDescent="0.3">
      <c r="A637" s="183">
        <f>A625+1</f>
        <v>21</v>
      </c>
      <c r="B637" s="233" t="s">
        <v>484</v>
      </c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7"/>
      <c r="O637" s="525"/>
      <c r="P637" s="132"/>
      <c r="Q637" s="140"/>
      <c r="R637" s="133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8"/>
    </row>
    <row r="638" spans="1:30" ht="14.1" customHeight="1" x14ac:dyDescent="0.3">
      <c r="A638" s="184"/>
      <c r="B638" s="106" t="s">
        <v>233</v>
      </c>
      <c r="C638" s="1" t="s">
        <v>151</v>
      </c>
      <c r="D638" s="1"/>
      <c r="E638" s="1"/>
      <c r="F638" s="1"/>
      <c r="G638" s="1"/>
      <c r="H638" s="7"/>
      <c r="I638" s="141" t="s">
        <v>148</v>
      </c>
      <c r="J638" s="161">
        <f>1000/1800</f>
        <v>0.55555555555555558</v>
      </c>
      <c r="K638" s="142">
        <f>'UPAH BAHAN'!$H$40</f>
        <v>180000</v>
      </c>
      <c r="L638" s="171" t="s">
        <v>233</v>
      </c>
      <c r="M638" s="99">
        <f>J638*K638</f>
        <v>100000</v>
      </c>
      <c r="N638" s="101">
        <f t="shared" ref="N638:N645" si="133">L638+M638</f>
        <v>100000</v>
      </c>
      <c r="O638" s="525"/>
      <c r="P638" s="132"/>
      <c r="Q638" s="140"/>
      <c r="R638" s="133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8"/>
    </row>
    <row r="639" spans="1:30" ht="14.1" customHeight="1" x14ac:dyDescent="0.3">
      <c r="A639" s="184"/>
      <c r="B639" s="106" t="s">
        <v>233</v>
      </c>
      <c r="C639" s="1" t="s">
        <v>294</v>
      </c>
      <c r="D639" s="1"/>
      <c r="E639" s="1"/>
      <c r="F639" s="1"/>
      <c r="G639" s="1"/>
      <c r="H639" s="7"/>
      <c r="I639" s="141" t="s">
        <v>148</v>
      </c>
      <c r="J639" s="161">
        <f>667/1400</f>
        <v>0.47642857142857142</v>
      </c>
      <c r="K639" s="142">
        <f>'UPAH BAHAN'!$H$39</f>
        <v>250000</v>
      </c>
      <c r="L639" s="171" t="s">
        <v>233</v>
      </c>
      <c r="M639" s="99">
        <f>J639*K639</f>
        <v>119107.14285714286</v>
      </c>
      <c r="N639" s="101">
        <f t="shared" si="133"/>
        <v>119107.14285714286</v>
      </c>
      <c r="O639" s="525"/>
      <c r="P639" s="132"/>
      <c r="Q639" s="140"/>
      <c r="R639" s="133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8"/>
    </row>
    <row r="640" spans="1:30" ht="14.1" customHeight="1" thickBot="1" x14ac:dyDescent="0.35">
      <c r="A640" s="184"/>
      <c r="B640" s="106" t="s">
        <v>233</v>
      </c>
      <c r="C640" s="1" t="s">
        <v>152</v>
      </c>
      <c r="D640" s="1"/>
      <c r="E640" s="1"/>
      <c r="F640" s="1"/>
      <c r="G640" s="1"/>
      <c r="H640" s="7"/>
      <c r="I640" s="255" t="s">
        <v>153</v>
      </c>
      <c r="J640" s="161">
        <f>448/50</f>
        <v>8.9600000000000009</v>
      </c>
      <c r="K640" s="142">
        <f>'UPAH BAHAN'!$H$41</f>
        <v>56000</v>
      </c>
      <c r="L640" s="171" t="s">
        <v>233</v>
      </c>
      <c r="M640" s="99">
        <f>J640*K640</f>
        <v>501760.00000000006</v>
      </c>
      <c r="N640" s="101">
        <f t="shared" si="133"/>
        <v>501760.00000000006</v>
      </c>
      <c r="O640" s="525"/>
      <c r="P640" s="164"/>
      <c r="Q640" s="165"/>
      <c r="R640" s="166"/>
      <c r="S640" s="167"/>
      <c r="T640" s="167"/>
      <c r="U640" s="167"/>
      <c r="V640" s="167"/>
      <c r="W640" s="168"/>
      <c r="X640" s="168"/>
      <c r="Y640" s="167"/>
      <c r="Z640" s="167"/>
      <c r="AA640" s="167"/>
      <c r="AB640" s="167"/>
      <c r="AC640" s="167"/>
      <c r="AD640" s="169"/>
    </row>
    <row r="641" spans="1:30" ht="14.1" customHeight="1" thickBot="1" x14ac:dyDescent="0.35">
      <c r="A641" s="184"/>
      <c r="B641" s="106" t="s">
        <v>233</v>
      </c>
      <c r="C641" s="1" t="s">
        <v>128</v>
      </c>
      <c r="D641" s="1"/>
      <c r="E641" s="1"/>
      <c r="F641" s="1"/>
      <c r="G641" s="1"/>
      <c r="H641" s="7"/>
      <c r="I641" s="234" t="s">
        <v>477</v>
      </c>
      <c r="J641" s="161">
        <v>0.16059999999999999</v>
      </c>
      <c r="K641" s="142">
        <f>'UPAH BAHAN'!$H$19</f>
        <v>105000</v>
      </c>
      <c r="L641" s="100">
        <f>J641*K641</f>
        <v>16863</v>
      </c>
      <c r="M641" s="148" t="s">
        <v>233</v>
      </c>
      <c r="N641" s="101">
        <f t="shared" si="133"/>
        <v>16863</v>
      </c>
      <c r="O641" s="525"/>
      <c r="P641" s="151"/>
      <c r="Q641" s="152"/>
      <c r="R641" s="152">
        <f t="shared" ref="R641:AC641" si="134">SUM(R636:R640)</f>
        <v>0</v>
      </c>
      <c r="S641" s="152">
        <f t="shared" si="134"/>
        <v>0</v>
      </c>
      <c r="T641" s="152">
        <f t="shared" si="134"/>
        <v>0</v>
      </c>
      <c r="U641" s="152">
        <f t="shared" si="134"/>
        <v>0</v>
      </c>
      <c r="V641" s="152">
        <f t="shared" si="134"/>
        <v>0</v>
      </c>
      <c r="W641" s="152">
        <f t="shared" si="134"/>
        <v>0</v>
      </c>
      <c r="X641" s="152">
        <f t="shared" si="134"/>
        <v>0</v>
      </c>
      <c r="Y641" s="152">
        <f t="shared" si="134"/>
        <v>0</v>
      </c>
      <c r="Z641" s="152">
        <f t="shared" si="134"/>
        <v>0</v>
      </c>
      <c r="AA641" s="152">
        <f t="shared" si="134"/>
        <v>0</v>
      </c>
      <c r="AB641" s="152">
        <f t="shared" si="134"/>
        <v>0</v>
      </c>
      <c r="AC641" s="152">
        <f t="shared" si="134"/>
        <v>0</v>
      </c>
      <c r="AD641" s="153"/>
    </row>
    <row r="642" spans="1:30" s="238" customFormat="1" ht="14.1" customHeight="1" x14ac:dyDescent="0.3">
      <c r="A642" s="184"/>
      <c r="B642" s="106" t="s">
        <v>233</v>
      </c>
      <c r="C642" s="1" t="s">
        <v>134</v>
      </c>
      <c r="D642" s="1"/>
      <c r="E642" s="1"/>
      <c r="F642" s="1"/>
      <c r="G642" s="1"/>
      <c r="H642" s="7"/>
      <c r="I642" s="234" t="s">
        <v>477</v>
      </c>
      <c r="J642" s="161">
        <v>1.61E-2</v>
      </c>
      <c r="K642" s="142">
        <f>'UPAH BAHAN'!$H$24</f>
        <v>165000</v>
      </c>
      <c r="L642" s="100">
        <f>J642*K642</f>
        <v>2656.5</v>
      </c>
      <c r="M642" s="148" t="s">
        <v>233</v>
      </c>
      <c r="N642" s="101">
        <f t="shared" si="133"/>
        <v>2656.5</v>
      </c>
      <c r="O642" s="528"/>
    </row>
    <row r="643" spans="1:30" ht="14.1" customHeight="1" thickBot="1" x14ac:dyDescent="0.35">
      <c r="A643" s="184"/>
      <c r="B643" s="106" t="s">
        <v>233</v>
      </c>
      <c r="C643" s="1" t="s">
        <v>130</v>
      </c>
      <c r="D643" s="1"/>
      <c r="E643" s="1"/>
      <c r="F643" s="1"/>
      <c r="G643" s="1"/>
      <c r="H643" s="7"/>
      <c r="I643" s="234" t="s">
        <v>477</v>
      </c>
      <c r="J643" s="161">
        <v>8.0299999999999996E-2</v>
      </c>
      <c r="K643" s="142">
        <f>'UPAH BAHAN'!$H$20</f>
        <v>135000</v>
      </c>
      <c r="L643" s="100">
        <f>J643*K643</f>
        <v>10840.5</v>
      </c>
      <c r="M643" s="148" t="s">
        <v>233</v>
      </c>
      <c r="N643" s="101">
        <f t="shared" si="133"/>
        <v>10840.5</v>
      </c>
      <c r="O643" s="525"/>
    </row>
    <row r="644" spans="1:30" ht="14.1" customHeight="1" thickBot="1" x14ac:dyDescent="0.35">
      <c r="A644" s="184"/>
      <c r="B644" s="106" t="s">
        <v>233</v>
      </c>
      <c r="C644" s="1" t="s">
        <v>289</v>
      </c>
      <c r="D644" s="1"/>
      <c r="E644" s="1"/>
      <c r="F644" s="1"/>
      <c r="G644" s="1"/>
      <c r="H644" s="7"/>
      <c r="I644" s="234" t="s">
        <v>477</v>
      </c>
      <c r="J644" s="161">
        <v>8.0000000000000002E-3</v>
      </c>
      <c r="K644" s="142">
        <f>'UPAH BAHAN'!$H$25</f>
        <v>150000</v>
      </c>
      <c r="L644" s="100">
        <f>J644*K644</f>
        <v>1200</v>
      </c>
      <c r="M644" s="148" t="s">
        <v>233</v>
      </c>
      <c r="N644" s="101">
        <f t="shared" si="133"/>
        <v>1200</v>
      </c>
      <c r="O644" s="525"/>
      <c r="P644" s="156" t="str">
        <f>B807</f>
        <v>1 Kg Pekerjaan Besi Siku / Strip</v>
      </c>
      <c r="Q644" s="157"/>
      <c r="R644" s="158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60"/>
    </row>
    <row r="645" spans="1:30" ht="14.1" customHeight="1" x14ac:dyDescent="0.3">
      <c r="A645" s="184"/>
      <c r="B645" s="106" t="s">
        <v>233</v>
      </c>
      <c r="C645" s="1" t="s">
        <v>295</v>
      </c>
      <c r="D645" s="1"/>
      <c r="E645" s="1"/>
      <c r="F645" s="1"/>
      <c r="G645" s="1"/>
      <c r="H645" s="7"/>
      <c r="I645" s="106" t="s">
        <v>250</v>
      </c>
      <c r="J645" s="161">
        <v>1</v>
      </c>
      <c r="K645" s="142">
        <f>$K$525</f>
        <v>10000</v>
      </c>
      <c r="L645" s="100">
        <f>J645*K645</f>
        <v>10000</v>
      </c>
      <c r="M645" s="148" t="s">
        <v>233</v>
      </c>
      <c r="N645" s="101">
        <f t="shared" si="133"/>
        <v>10000</v>
      </c>
      <c r="O645" s="525"/>
      <c r="P645" s="132"/>
      <c r="Q645" s="140"/>
      <c r="R645" s="133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8"/>
    </row>
    <row r="646" spans="1:30" ht="14.1" customHeight="1" x14ac:dyDescent="0.3">
      <c r="A646" s="184"/>
      <c r="B646" s="1"/>
      <c r="C646" s="1"/>
      <c r="D646" s="1"/>
      <c r="E646" s="1"/>
      <c r="F646" s="1"/>
      <c r="G646" s="1"/>
      <c r="H646" s="7"/>
      <c r="I646" s="107"/>
      <c r="J646" s="107"/>
      <c r="K646" s="150" t="s">
        <v>279</v>
      </c>
      <c r="L646" s="107">
        <f>SUM(L638:L645)</f>
        <v>41560</v>
      </c>
      <c r="M646" s="108">
        <f>SUM(M638:M645)</f>
        <v>720867.14285714296</v>
      </c>
      <c r="N646" s="109">
        <f>SUM(N638:N645)</f>
        <v>762427.14285714296</v>
      </c>
      <c r="O646" s="525"/>
      <c r="P646" s="132"/>
      <c r="Q646" s="140"/>
      <c r="R646" s="133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8"/>
    </row>
    <row r="647" spans="1:30" ht="14.1" customHeight="1" x14ac:dyDescent="0.3">
      <c r="A647" s="184"/>
      <c r="B647" s="1"/>
      <c r="C647" s="1"/>
      <c r="D647" s="1"/>
      <c r="E647" s="1"/>
      <c r="F647" s="1"/>
      <c r="G647" s="1"/>
      <c r="H647" s="7"/>
      <c r="I647" s="100"/>
      <c r="J647" s="100"/>
      <c r="K647" s="289" t="s">
        <v>512</v>
      </c>
      <c r="L647" s="100"/>
      <c r="M647" s="99"/>
      <c r="N647" s="101">
        <f>N646*15%</f>
        <v>114364.07142857143</v>
      </c>
      <c r="O647" s="525"/>
      <c r="P647" s="132"/>
      <c r="Q647" s="140"/>
      <c r="R647" s="133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8"/>
    </row>
    <row r="648" spans="1:30" ht="14.1" customHeight="1" x14ac:dyDescent="0.3">
      <c r="A648" s="186"/>
      <c r="B648" s="173"/>
      <c r="C648" s="173"/>
      <c r="D648" s="173"/>
      <c r="E648" s="173"/>
      <c r="F648" s="173"/>
      <c r="G648" s="173"/>
      <c r="H648" s="174"/>
      <c r="I648" s="175"/>
      <c r="J648" s="175"/>
      <c r="K648" s="176" t="s">
        <v>247</v>
      </c>
      <c r="L648" s="175"/>
      <c r="M648" s="177"/>
      <c r="N648" s="116">
        <f>N646+N647</f>
        <v>876791.21428571444</v>
      </c>
      <c r="O648" s="525"/>
      <c r="P648" s="132"/>
      <c r="Q648" s="140"/>
      <c r="R648" s="133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8"/>
    </row>
    <row r="649" spans="1:30" ht="14.1" customHeight="1" x14ac:dyDescent="0.3">
      <c r="A649" s="183">
        <f>A637+1</f>
        <v>22</v>
      </c>
      <c r="B649" s="95" t="s">
        <v>296</v>
      </c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7"/>
      <c r="O649" s="527"/>
      <c r="P649" s="132"/>
      <c r="Q649" s="140"/>
      <c r="R649" s="133"/>
      <c r="S649" s="279"/>
      <c r="T649" s="279"/>
      <c r="U649" s="279"/>
      <c r="V649" s="279"/>
      <c r="W649" s="279"/>
      <c r="X649" s="279"/>
      <c r="Y649" s="279"/>
      <c r="Z649" s="279"/>
      <c r="AA649" s="279"/>
      <c r="AB649" s="279"/>
      <c r="AC649" s="279"/>
      <c r="AD649" s="280"/>
    </row>
    <row r="650" spans="1:30" ht="14.1" customHeight="1" x14ac:dyDescent="0.3">
      <c r="A650" s="184"/>
      <c r="B650" s="106" t="s">
        <v>233</v>
      </c>
      <c r="C650" s="1" t="s">
        <v>297</v>
      </c>
      <c r="D650" s="1"/>
      <c r="E650" s="1"/>
      <c r="F650" s="1"/>
      <c r="G650" s="1"/>
      <c r="H650" s="7"/>
      <c r="I650" s="141" t="s">
        <v>28</v>
      </c>
      <c r="J650" s="99">
        <v>110</v>
      </c>
      <c r="K650" s="142">
        <f>'UPAH BAHAN'!$H$47</f>
        <v>11000</v>
      </c>
      <c r="L650" s="171" t="s">
        <v>233</v>
      </c>
      <c r="M650" s="99">
        <f>J650*K650</f>
        <v>1210000</v>
      </c>
      <c r="N650" s="101">
        <f t="shared" ref="N650:N656" si="135">L650+M650</f>
        <v>1210000</v>
      </c>
      <c r="O650" s="525"/>
      <c r="P650" s="132"/>
      <c r="Q650" s="140"/>
      <c r="R650" s="133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8"/>
    </row>
    <row r="651" spans="1:30" ht="14.1" customHeight="1" x14ac:dyDescent="0.3">
      <c r="A651" s="184"/>
      <c r="B651" s="106" t="s">
        <v>233</v>
      </c>
      <c r="C651" s="1" t="s">
        <v>298</v>
      </c>
      <c r="D651" s="1"/>
      <c r="E651" s="1"/>
      <c r="F651" s="1"/>
      <c r="G651" s="1"/>
      <c r="H651" s="7"/>
      <c r="I651" s="141" t="s">
        <v>28</v>
      </c>
      <c r="J651" s="99">
        <v>1</v>
      </c>
      <c r="K651" s="142">
        <f>'UPAH BAHAN'!$H$49</f>
        <v>18100</v>
      </c>
      <c r="L651" s="171" t="s">
        <v>233</v>
      </c>
      <c r="M651" s="99">
        <f>J651*K651</f>
        <v>18100</v>
      </c>
      <c r="N651" s="101">
        <f t="shared" si="135"/>
        <v>18100</v>
      </c>
      <c r="O651" s="525"/>
      <c r="P651" s="132"/>
      <c r="Q651" s="140"/>
      <c r="R651" s="133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8"/>
    </row>
    <row r="652" spans="1:30" ht="14.1" customHeight="1" x14ac:dyDescent="0.3">
      <c r="A652" s="184"/>
      <c r="B652" s="106" t="s">
        <v>233</v>
      </c>
      <c r="C652" s="1" t="s">
        <v>128</v>
      </c>
      <c r="D652" s="1"/>
      <c r="E652" s="1"/>
      <c r="F652" s="1"/>
      <c r="G652" s="1"/>
      <c r="H652" s="7"/>
      <c r="I652" s="106"/>
      <c r="J652" s="161">
        <v>2.5</v>
      </c>
      <c r="K652" s="142">
        <f>'UPAH BAHAN'!$H$19</f>
        <v>105000</v>
      </c>
      <c r="L652" s="100">
        <f>J652*K652</f>
        <v>262500</v>
      </c>
      <c r="M652" s="148" t="s">
        <v>233</v>
      </c>
      <c r="N652" s="101">
        <f t="shared" si="135"/>
        <v>262500</v>
      </c>
      <c r="O652" s="525"/>
      <c r="P652" s="132"/>
      <c r="Q652" s="140"/>
      <c r="R652" s="133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8"/>
    </row>
    <row r="653" spans="1:30" ht="14.1" customHeight="1" x14ac:dyDescent="0.3">
      <c r="A653" s="184"/>
      <c r="B653" s="106" t="s">
        <v>233</v>
      </c>
      <c r="C653" s="1" t="s">
        <v>132</v>
      </c>
      <c r="D653" s="1"/>
      <c r="E653" s="1"/>
      <c r="F653" s="1"/>
      <c r="G653" s="1"/>
      <c r="H653" s="7"/>
      <c r="I653" s="106"/>
      <c r="J653" s="161">
        <v>1.5</v>
      </c>
      <c r="K653" s="142">
        <f>'UPAH BAHAN'!$H$22</f>
        <v>135000</v>
      </c>
      <c r="L653" s="100">
        <f>J653*K653</f>
        <v>202500</v>
      </c>
      <c r="M653" s="148" t="s">
        <v>233</v>
      </c>
      <c r="N653" s="101">
        <f t="shared" si="135"/>
        <v>202500</v>
      </c>
      <c r="O653" s="525"/>
      <c r="P653" s="132"/>
      <c r="Q653" s="140"/>
      <c r="R653" s="133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8"/>
    </row>
    <row r="654" spans="1:30" s="238" customFormat="1" ht="14.1" customHeight="1" x14ac:dyDescent="0.3">
      <c r="A654" s="184"/>
      <c r="B654" s="106" t="s">
        <v>233</v>
      </c>
      <c r="C654" s="1" t="s">
        <v>289</v>
      </c>
      <c r="D654" s="1"/>
      <c r="E654" s="1"/>
      <c r="F654" s="1"/>
      <c r="G654" s="1"/>
      <c r="H654" s="7"/>
      <c r="I654" s="106"/>
      <c r="J654" s="161">
        <v>0.01</v>
      </c>
      <c r="K654" s="142">
        <f>'UPAH BAHAN'!$H$25</f>
        <v>150000</v>
      </c>
      <c r="L654" s="100">
        <f>J654*K654</f>
        <v>1500</v>
      </c>
      <c r="M654" s="148" t="s">
        <v>233</v>
      </c>
      <c r="N654" s="101">
        <f t="shared" si="135"/>
        <v>1500</v>
      </c>
      <c r="O654" s="528"/>
      <c r="P654" s="242"/>
      <c r="Q654" s="243"/>
      <c r="R654" s="244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  <c r="AD654" s="246"/>
    </row>
    <row r="655" spans="1:30" ht="14.1" customHeight="1" x14ac:dyDescent="0.3">
      <c r="A655" s="184"/>
      <c r="B655" s="106" t="s">
        <v>233</v>
      </c>
      <c r="C655" s="1" t="s">
        <v>134</v>
      </c>
      <c r="D655" s="1"/>
      <c r="E655" s="1"/>
      <c r="F655" s="1"/>
      <c r="G655" s="1"/>
      <c r="H655" s="7"/>
      <c r="I655" s="106"/>
      <c r="J655" s="161">
        <v>0.01</v>
      </c>
      <c r="K655" s="142">
        <f>'UPAH BAHAN'!$H$24</f>
        <v>165000</v>
      </c>
      <c r="L655" s="100">
        <f>J655*K655</f>
        <v>1650</v>
      </c>
      <c r="M655" s="148" t="s">
        <v>233</v>
      </c>
      <c r="N655" s="101">
        <f t="shared" si="135"/>
        <v>1650</v>
      </c>
      <c r="O655" s="525"/>
      <c r="P655" s="132"/>
      <c r="Q655" s="140"/>
      <c r="R655" s="133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8"/>
    </row>
    <row r="656" spans="1:30" ht="14.1" customHeight="1" x14ac:dyDescent="0.3">
      <c r="A656" s="184"/>
      <c r="B656" s="106" t="s">
        <v>233</v>
      </c>
      <c r="C656" s="1" t="s">
        <v>295</v>
      </c>
      <c r="D656" s="1"/>
      <c r="E656" s="1"/>
      <c r="F656" s="1"/>
      <c r="G656" s="1"/>
      <c r="H656" s="7"/>
      <c r="I656" s="106" t="s">
        <v>250</v>
      </c>
      <c r="J656" s="161">
        <v>1</v>
      </c>
      <c r="K656" s="142">
        <f>+K537</f>
        <v>10000</v>
      </c>
      <c r="L656" s="100">
        <f>J656*K656</f>
        <v>10000</v>
      </c>
      <c r="M656" s="148" t="s">
        <v>233</v>
      </c>
      <c r="N656" s="101">
        <f t="shared" si="135"/>
        <v>10000</v>
      </c>
      <c r="O656" s="525">
        <f>N562</f>
        <v>645294.28571428568</v>
      </c>
      <c r="P656" s="132"/>
      <c r="Q656" s="140"/>
      <c r="R656" s="133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8"/>
    </row>
    <row r="657" spans="1:30" ht="14.1" customHeight="1" x14ac:dyDescent="0.3">
      <c r="A657" s="184"/>
      <c r="B657" s="1"/>
      <c r="C657" s="1"/>
      <c r="D657" s="1"/>
      <c r="E657" s="1"/>
      <c r="F657" s="1"/>
      <c r="G657" s="1"/>
      <c r="H657" s="7"/>
      <c r="I657" s="107"/>
      <c r="J657" s="107"/>
      <c r="K657" s="150" t="s">
        <v>245</v>
      </c>
      <c r="L657" s="107">
        <f>SUM(L650:L656)</f>
        <v>478150</v>
      </c>
      <c r="M657" s="108">
        <f>SUM(M650:M656)</f>
        <v>1228100</v>
      </c>
      <c r="N657" s="109">
        <f>SUM(N650:N656)</f>
        <v>1706250</v>
      </c>
      <c r="O657" s="525">
        <f>N657</f>
        <v>1706250</v>
      </c>
      <c r="P657" s="132"/>
      <c r="Q657" s="140"/>
      <c r="R657" s="133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8"/>
    </row>
    <row r="658" spans="1:30" ht="14.1" customHeight="1" x14ac:dyDescent="0.3">
      <c r="A658" s="184"/>
      <c r="B658" s="1"/>
      <c r="C658" s="1"/>
      <c r="D658" s="1"/>
      <c r="E658" s="1"/>
      <c r="F658" s="1"/>
      <c r="G658" s="1"/>
      <c r="H658" s="7"/>
      <c r="I658" s="100"/>
      <c r="J658" s="100"/>
      <c r="K658" s="185" t="s">
        <v>299</v>
      </c>
      <c r="L658" s="100">
        <f>L657/100</f>
        <v>4781.5</v>
      </c>
      <c r="M658" s="99">
        <f>M657/100</f>
        <v>12281</v>
      </c>
      <c r="N658" s="101">
        <f>N657/100</f>
        <v>17062.5</v>
      </c>
      <c r="O658" s="525">
        <f>N718</f>
        <v>536335</v>
      </c>
      <c r="P658" s="132"/>
      <c r="Q658" s="140"/>
      <c r="R658" s="133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8"/>
    </row>
    <row r="659" spans="1:30" ht="14.1" customHeight="1" thickBot="1" x14ac:dyDescent="0.35">
      <c r="A659" s="184"/>
      <c r="B659" s="1"/>
      <c r="C659" s="1"/>
      <c r="D659" s="1"/>
      <c r="E659" s="1"/>
      <c r="F659" s="1"/>
      <c r="G659" s="1"/>
      <c r="H659" s="7"/>
      <c r="I659" s="100"/>
      <c r="J659" s="100"/>
      <c r="K659" s="289" t="s">
        <v>512</v>
      </c>
      <c r="L659" s="100"/>
      <c r="M659" s="99"/>
      <c r="N659" s="101">
        <f>N658*15%</f>
        <v>2559.375</v>
      </c>
      <c r="O659" s="525">
        <f>SUM(O656:O658)</f>
        <v>2887879.2857142854</v>
      </c>
      <c r="P659" s="164"/>
      <c r="Q659" s="165"/>
      <c r="R659" s="166"/>
      <c r="S659" s="167"/>
      <c r="T659" s="167"/>
      <c r="U659" s="167"/>
      <c r="V659" s="167"/>
      <c r="W659" s="168"/>
      <c r="X659" s="168"/>
      <c r="Y659" s="167"/>
      <c r="Z659" s="167"/>
      <c r="AA659" s="167"/>
      <c r="AB659" s="167"/>
      <c r="AC659" s="167"/>
      <c r="AD659" s="169"/>
    </row>
    <row r="660" spans="1:30" ht="12.75" customHeight="1" thickBot="1" x14ac:dyDescent="0.35">
      <c r="A660" s="184"/>
      <c r="B660" s="1"/>
      <c r="C660" s="1"/>
      <c r="D660" s="1"/>
      <c r="E660" s="1"/>
      <c r="F660" s="1"/>
      <c r="G660" s="1"/>
      <c r="H660" s="7"/>
      <c r="I660" s="100"/>
      <c r="J660" s="100"/>
      <c r="K660" s="154" t="s">
        <v>247</v>
      </c>
      <c r="L660" s="100"/>
      <c r="M660" s="148"/>
      <c r="N660" s="101">
        <f>N658+N659</f>
        <v>19621.875</v>
      </c>
      <c r="O660" s="525"/>
      <c r="P660" s="151"/>
      <c r="Q660" s="152"/>
      <c r="R660" s="152">
        <f t="shared" ref="R660:AC660" si="136">SUM(R649:R659)</f>
        <v>0</v>
      </c>
      <c r="S660" s="152">
        <f t="shared" si="136"/>
        <v>0</v>
      </c>
      <c r="T660" s="152">
        <f t="shared" si="136"/>
        <v>0</v>
      </c>
      <c r="U660" s="152">
        <f t="shared" si="136"/>
        <v>0</v>
      </c>
      <c r="V660" s="152">
        <f t="shared" si="136"/>
        <v>0</v>
      </c>
      <c r="W660" s="152">
        <f t="shared" si="136"/>
        <v>0</v>
      </c>
      <c r="X660" s="152">
        <f t="shared" si="136"/>
        <v>0</v>
      </c>
      <c r="Y660" s="152">
        <f t="shared" si="136"/>
        <v>0</v>
      </c>
      <c r="Z660" s="152">
        <f t="shared" si="136"/>
        <v>0</v>
      </c>
      <c r="AA660" s="152">
        <f t="shared" si="136"/>
        <v>0</v>
      </c>
      <c r="AB660" s="152">
        <f t="shared" si="136"/>
        <v>0</v>
      </c>
      <c r="AC660" s="152">
        <f t="shared" si="136"/>
        <v>0</v>
      </c>
      <c r="AD660" s="153"/>
    </row>
    <row r="661" spans="1:30" ht="14.1" customHeight="1" x14ac:dyDescent="0.3">
      <c r="A661" s="183">
        <f>A649+1</f>
        <v>23</v>
      </c>
      <c r="B661" s="233" t="s">
        <v>487</v>
      </c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7"/>
      <c r="O661" s="527"/>
    </row>
    <row r="662" spans="1:30" ht="14.1" customHeight="1" thickBot="1" x14ac:dyDescent="0.35">
      <c r="A662" s="184"/>
      <c r="B662" s="106" t="s">
        <v>233</v>
      </c>
      <c r="C662" s="249" t="s">
        <v>485</v>
      </c>
      <c r="D662" s="1"/>
      <c r="E662" s="1"/>
      <c r="F662" s="1"/>
      <c r="G662" s="1"/>
      <c r="H662" s="7"/>
      <c r="I662" s="141" t="s">
        <v>148</v>
      </c>
      <c r="J662" s="161">
        <v>0.04</v>
      </c>
      <c r="K662" s="142">
        <f>'UPAH BAHAN'!$H$52</f>
        <v>4750000</v>
      </c>
      <c r="L662" s="171" t="s">
        <v>233</v>
      </c>
      <c r="M662" s="99">
        <f>J662*K662</f>
        <v>190000</v>
      </c>
      <c r="N662" s="101">
        <f t="shared" ref="N662:N667" si="137">L662+M662</f>
        <v>190000</v>
      </c>
      <c r="O662" s="525"/>
    </row>
    <row r="663" spans="1:30" ht="14.1" customHeight="1" thickBot="1" x14ac:dyDescent="0.35">
      <c r="A663" s="184"/>
      <c r="B663" s="106" t="s">
        <v>233</v>
      </c>
      <c r="C663" s="249" t="s">
        <v>486</v>
      </c>
      <c r="D663" s="1"/>
      <c r="E663" s="1"/>
      <c r="F663" s="1"/>
      <c r="G663" s="1"/>
      <c r="H663" s="7"/>
      <c r="I663" s="255" t="s">
        <v>28</v>
      </c>
      <c r="J663" s="161">
        <v>0.3</v>
      </c>
      <c r="K663" s="142">
        <f>'UPAH BAHAN'!$H$50</f>
        <v>12100</v>
      </c>
      <c r="L663" s="171" t="s">
        <v>233</v>
      </c>
      <c r="M663" s="99">
        <f>J663*K663</f>
        <v>3630</v>
      </c>
      <c r="N663" s="101">
        <f t="shared" si="137"/>
        <v>3630</v>
      </c>
      <c r="O663" s="525"/>
      <c r="P663" s="156" t="str">
        <f>B862</f>
        <v xml:space="preserve">1 Unit Jendela Air </v>
      </c>
      <c r="Q663" s="157"/>
      <c r="R663" s="158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60"/>
    </row>
    <row r="664" spans="1:30" ht="14.1" customHeight="1" x14ac:dyDescent="0.3">
      <c r="A664" s="184"/>
      <c r="B664" s="106" t="s">
        <v>233</v>
      </c>
      <c r="C664" s="1" t="s">
        <v>128</v>
      </c>
      <c r="D664" s="1"/>
      <c r="E664" s="1"/>
      <c r="F664" s="1"/>
      <c r="G664" s="1"/>
      <c r="H664" s="7"/>
      <c r="I664" s="234" t="s">
        <v>467</v>
      </c>
      <c r="J664" s="161">
        <v>0.52</v>
      </c>
      <c r="K664" s="142">
        <f>'UPAH BAHAN'!$H$19</f>
        <v>105000</v>
      </c>
      <c r="L664" s="100">
        <f>J664*K664</f>
        <v>54600</v>
      </c>
      <c r="M664" s="148" t="s">
        <v>233</v>
      </c>
      <c r="N664" s="101">
        <f t="shared" si="137"/>
        <v>54600</v>
      </c>
      <c r="O664" s="525"/>
      <c r="P664" s="132"/>
      <c r="Q664" s="140"/>
      <c r="R664" s="133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8"/>
    </row>
    <row r="665" spans="1:30" ht="14.1" customHeight="1" x14ac:dyDescent="0.3">
      <c r="A665" s="184"/>
      <c r="B665" s="106" t="s">
        <v>233</v>
      </c>
      <c r="C665" s="1" t="s">
        <v>134</v>
      </c>
      <c r="D665" s="1"/>
      <c r="E665" s="1"/>
      <c r="F665" s="1"/>
      <c r="G665" s="1"/>
      <c r="H665" s="7"/>
      <c r="I665" s="234" t="s">
        <v>467</v>
      </c>
      <c r="J665" s="161">
        <v>2.5999999999999999E-2</v>
      </c>
      <c r="K665" s="142">
        <f>'UPAH BAHAN'!$H$24</f>
        <v>165000</v>
      </c>
      <c r="L665" s="100">
        <f>J665*K665</f>
        <v>4290</v>
      </c>
      <c r="M665" s="148" t="s">
        <v>233</v>
      </c>
      <c r="N665" s="101">
        <f t="shared" si="137"/>
        <v>4290</v>
      </c>
      <c r="O665" s="525"/>
      <c r="P665" s="132"/>
      <c r="Q665" s="140"/>
      <c r="R665" s="133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8"/>
    </row>
    <row r="666" spans="1:30" ht="14.1" customHeight="1" x14ac:dyDescent="0.3">
      <c r="A666" s="184"/>
      <c r="B666" s="106" t="s">
        <v>233</v>
      </c>
      <c r="C666" s="1" t="s">
        <v>131</v>
      </c>
      <c r="D666" s="1"/>
      <c r="E666" s="1"/>
      <c r="F666" s="1"/>
      <c r="G666" s="1"/>
      <c r="H666" s="7"/>
      <c r="I666" s="234" t="s">
        <v>467</v>
      </c>
      <c r="J666" s="161">
        <v>0.26</v>
      </c>
      <c r="K666" s="142">
        <f>'UPAH BAHAN'!$H$21</f>
        <v>135000</v>
      </c>
      <c r="L666" s="100">
        <f>J666*K666</f>
        <v>35100</v>
      </c>
      <c r="M666" s="148" t="s">
        <v>233</v>
      </c>
      <c r="N666" s="101">
        <f t="shared" si="137"/>
        <v>35100</v>
      </c>
      <c r="O666" s="525"/>
      <c r="P666" s="132"/>
      <c r="Q666" s="140"/>
      <c r="R666" s="133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8"/>
    </row>
    <row r="667" spans="1:30" s="238" customFormat="1" ht="14.1" customHeight="1" x14ac:dyDescent="0.3">
      <c r="A667" s="184"/>
      <c r="B667" s="106" t="s">
        <v>233</v>
      </c>
      <c r="C667" s="1" t="s">
        <v>289</v>
      </c>
      <c r="D667" s="1"/>
      <c r="E667" s="1"/>
      <c r="F667" s="1"/>
      <c r="G667" s="1"/>
      <c r="H667" s="7"/>
      <c r="I667" s="234" t="s">
        <v>467</v>
      </c>
      <c r="J667" s="161">
        <v>2.5999999999999999E-2</v>
      </c>
      <c r="K667" s="142">
        <f>'UPAH BAHAN'!$H$25</f>
        <v>150000</v>
      </c>
      <c r="L667" s="100">
        <f>J667*K667</f>
        <v>3900</v>
      </c>
      <c r="M667" s="148" t="s">
        <v>233</v>
      </c>
      <c r="N667" s="101">
        <f t="shared" si="137"/>
        <v>3900</v>
      </c>
      <c r="O667" s="528"/>
      <c r="P667" s="242"/>
      <c r="Q667" s="243"/>
      <c r="R667" s="244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  <c r="AD667" s="246"/>
    </row>
    <row r="668" spans="1:30" ht="14.1" customHeight="1" x14ac:dyDescent="0.3">
      <c r="A668" s="184"/>
      <c r="B668" s="1"/>
      <c r="C668" s="1"/>
      <c r="D668" s="1"/>
      <c r="E668" s="1"/>
      <c r="F668" s="1"/>
      <c r="G668" s="1"/>
      <c r="H668" s="7"/>
      <c r="I668" s="107"/>
      <c r="J668" s="107"/>
      <c r="K668" s="150" t="s">
        <v>245</v>
      </c>
      <c r="L668" s="107">
        <f>SUM(L662:L667)</f>
        <v>97890</v>
      </c>
      <c r="M668" s="108">
        <f>SUM(M662:M667)</f>
        <v>193630</v>
      </c>
      <c r="N668" s="109">
        <f>SUM(N662:N667)</f>
        <v>291520</v>
      </c>
      <c r="O668" s="525"/>
      <c r="P668" s="132"/>
      <c r="Q668" s="140"/>
      <c r="R668" s="133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8"/>
    </row>
    <row r="669" spans="1:30" ht="14.1" customHeight="1" x14ac:dyDescent="0.3">
      <c r="A669" s="184"/>
      <c r="B669" s="1"/>
      <c r="C669" s="1"/>
      <c r="D669" s="1"/>
      <c r="E669" s="1"/>
      <c r="F669" s="1"/>
      <c r="G669" s="1"/>
      <c r="H669" s="7"/>
      <c r="I669" s="100"/>
      <c r="J669" s="100"/>
      <c r="K669" s="185" t="s">
        <v>303</v>
      </c>
      <c r="L669" s="100">
        <f>L668/10</f>
        <v>9789</v>
      </c>
      <c r="M669" s="99">
        <f>M668/10</f>
        <v>19363</v>
      </c>
      <c r="N669" s="101">
        <f>N668/10</f>
        <v>29152</v>
      </c>
      <c r="O669" s="525"/>
      <c r="P669" s="132"/>
      <c r="Q669" s="140"/>
      <c r="R669" s="133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8"/>
    </row>
    <row r="670" spans="1:30" ht="14.1" customHeight="1" x14ac:dyDescent="0.3">
      <c r="A670" s="184"/>
      <c r="B670" s="1"/>
      <c r="C670" s="1"/>
      <c r="D670" s="1"/>
      <c r="E670" s="1"/>
      <c r="F670" s="1"/>
      <c r="G670" s="1"/>
      <c r="H670" s="7"/>
      <c r="I670" s="100"/>
      <c r="J670" s="100"/>
      <c r="K670" s="289" t="s">
        <v>512</v>
      </c>
      <c r="L670" s="100"/>
      <c r="M670" s="99"/>
      <c r="N670" s="101">
        <f>N669*15%</f>
        <v>4372.8</v>
      </c>
      <c r="O670" s="525"/>
      <c r="P670" s="132"/>
      <c r="Q670" s="140"/>
      <c r="R670" s="133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8"/>
    </row>
    <row r="671" spans="1:30" ht="14.1" customHeight="1" thickBot="1" x14ac:dyDescent="0.35">
      <c r="A671" s="186"/>
      <c r="B671" s="173"/>
      <c r="C671" s="173"/>
      <c r="D671" s="173"/>
      <c r="E671" s="173"/>
      <c r="F671" s="173"/>
      <c r="G671" s="173"/>
      <c r="H671" s="174"/>
      <c r="I671" s="175"/>
      <c r="J671" s="175"/>
      <c r="K671" s="176" t="s">
        <v>247</v>
      </c>
      <c r="L671" s="175"/>
      <c r="M671" s="177"/>
      <c r="N671" s="116">
        <f>N669+N670</f>
        <v>33524.800000000003</v>
      </c>
      <c r="O671" s="529"/>
      <c r="P671" s="164"/>
      <c r="Q671" s="165"/>
      <c r="R671" s="166"/>
      <c r="S671" s="167"/>
      <c r="T671" s="167"/>
      <c r="U671" s="167"/>
      <c r="V671" s="167"/>
      <c r="W671" s="168"/>
      <c r="X671" s="168"/>
      <c r="Y671" s="167"/>
      <c r="Z671" s="167"/>
      <c r="AA671" s="167"/>
      <c r="AB671" s="167"/>
      <c r="AC671" s="167"/>
      <c r="AD671" s="169"/>
    </row>
    <row r="672" spans="1:30" ht="14.1" customHeight="1" thickBot="1" x14ac:dyDescent="0.35">
      <c r="A672" s="183">
        <f>A661+1</f>
        <v>24</v>
      </c>
      <c r="B672" s="233" t="s">
        <v>488</v>
      </c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7"/>
      <c r="O672" s="529"/>
      <c r="P672" s="151"/>
      <c r="Q672" s="152"/>
      <c r="R672" s="152">
        <f t="shared" ref="R672:AC672" si="138">SUM(R664:R671)</f>
        <v>0</v>
      </c>
      <c r="S672" s="152">
        <f t="shared" si="138"/>
        <v>0</v>
      </c>
      <c r="T672" s="152">
        <f t="shared" si="138"/>
        <v>0</v>
      </c>
      <c r="U672" s="152">
        <f t="shared" si="138"/>
        <v>0</v>
      </c>
      <c r="V672" s="152">
        <f t="shared" si="138"/>
        <v>0</v>
      </c>
      <c r="W672" s="152">
        <f t="shared" si="138"/>
        <v>0</v>
      </c>
      <c r="X672" s="152">
        <f t="shared" si="138"/>
        <v>0</v>
      </c>
      <c r="Y672" s="152">
        <f t="shared" si="138"/>
        <v>0</v>
      </c>
      <c r="Z672" s="152">
        <f t="shared" si="138"/>
        <v>0</v>
      </c>
      <c r="AA672" s="152">
        <f t="shared" si="138"/>
        <v>0</v>
      </c>
      <c r="AB672" s="152">
        <f t="shared" si="138"/>
        <v>0</v>
      </c>
      <c r="AC672" s="152">
        <f t="shared" si="138"/>
        <v>0</v>
      </c>
      <c r="AD672" s="153"/>
    </row>
    <row r="673" spans="1:30" ht="14.1" customHeight="1" x14ac:dyDescent="0.3">
      <c r="A673" s="184"/>
      <c r="B673" s="106" t="s">
        <v>233</v>
      </c>
      <c r="C673" s="249" t="s">
        <v>485</v>
      </c>
      <c r="D673" s="1"/>
      <c r="E673" s="1"/>
      <c r="F673" s="1"/>
      <c r="G673" s="1"/>
      <c r="H673" s="7"/>
      <c r="I673" s="141" t="s">
        <v>148</v>
      </c>
      <c r="J673" s="161">
        <v>4.4999999999999998E-2</v>
      </c>
      <c r="K673" s="142">
        <f>'UPAH BAHAN'!$H$52</f>
        <v>4750000</v>
      </c>
      <c r="L673" s="171" t="s">
        <v>233</v>
      </c>
      <c r="M673" s="99">
        <f>J673*K673</f>
        <v>213750</v>
      </c>
      <c r="N673" s="101">
        <f t="shared" ref="N673:N678" si="139">L673+M673</f>
        <v>213750</v>
      </c>
      <c r="O673" s="529"/>
    </row>
    <row r="674" spans="1:30" ht="14.1" customHeight="1" x14ac:dyDescent="0.3">
      <c r="A674" s="184"/>
      <c r="B674" s="106" t="s">
        <v>233</v>
      </c>
      <c r="C674" s="249" t="s">
        <v>486</v>
      </c>
      <c r="D674" s="1"/>
      <c r="E674" s="1"/>
      <c r="F674" s="1"/>
      <c r="G674" s="1"/>
      <c r="H674" s="7"/>
      <c r="I674" s="255" t="s">
        <v>28</v>
      </c>
      <c r="J674" s="161">
        <v>0.3</v>
      </c>
      <c r="K674" s="142">
        <f>'UPAH BAHAN'!$H$50</f>
        <v>12100</v>
      </c>
      <c r="L674" s="171" t="s">
        <v>233</v>
      </c>
      <c r="M674" s="99">
        <f>J674*K674</f>
        <v>3630</v>
      </c>
      <c r="N674" s="101">
        <f t="shared" si="139"/>
        <v>3630</v>
      </c>
      <c r="O674" s="529"/>
    </row>
    <row r="675" spans="1:30" ht="14.1" customHeight="1" x14ac:dyDescent="0.3">
      <c r="A675" s="184"/>
      <c r="B675" s="106" t="s">
        <v>233</v>
      </c>
      <c r="C675" s="1" t="s">
        <v>128</v>
      </c>
      <c r="D675" s="1"/>
      <c r="E675" s="1"/>
      <c r="F675" s="1"/>
      <c r="G675" s="1"/>
      <c r="H675" s="7"/>
      <c r="I675" s="234" t="s">
        <v>467</v>
      </c>
      <c r="J675" s="161">
        <v>0.52</v>
      </c>
      <c r="K675" s="142">
        <f>'UPAH BAHAN'!$H$19</f>
        <v>105000</v>
      </c>
      <c r="L675" s="100">
        <f>J675*K675</f>
        <v>54600</v>
      </c>
      <c r="M675" s="148" t="s">
        <v>233</v>
      </c>
      <c r="N675" s="101">
        <f t="shared" si="139"/>
        <v>54600</v>
      </c>
      <c r="O675" s="530"/>
      <c r="P675" s="132"/>
      <c r="Q675" s="140"/>
      <c r="R675" s="133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8"/>
    </row>
    <row r="676" spans="1:30" ht="14.1" customHeight="1" x14ac:dyDescent="0.3">
      <c r="A676" s="184"/>
      <c r="B676" s="106" t="s">
        <v>233</v>
      </c>
      <c r="C676" s="1" t="s">
        <v>134</v>
      </c>
      <c r="D676" s="1"/>
      <c r="E676" s="1"/>
      <c r="F676" s="1"/>
      <c r="G676" s="1"/>
      <c r="H676" s="7"/>
      <c r="I676" s="234" t="s">
        <v>467</v>
      </c>
      <c r="J676" s="161">
        <v>2.5999999999999999E-2</v>
      </c>
      <c r="K676" s="142">
        <f>'UPAH BAHAN'!$H$24</f>
        <v>165000</v>
      </c>
      <c r="L676" s="100">
        <f>J676*K676</f>
        <v>4290</v>
      </c>
      <c r="M676" s="148" t="s">
        <v>233</v>
      </c>
      <c r="N676" s="101">
        <f t="shared" si="139"/>
        <v>4290</v>
      </c>
      <c r="O676" s="531"/>
      <c r="P676" s="132"/>
      <c r="Q676" s="140"/>
      <c r="R676" s="133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8"/>
    </row>
    <row r="677" spans="1:30" ht="14.1" customHeight="1" x14ac:dyDescent="0.3">
      <c r="A677" s="184"/>
      <c r="B677" s="106" t="s">
        <v>233</v>
      </c>
      <c r="C677" s="1" t="s">
        <v>131</v>
      </c>
      <c r="D677" s="1"/>
      <c r="E677" s="1"/>
      <c r="F677" s="1"/>
      <c r="G677" s="1"/>
      <c r="H677" s="7"/>
      <c r="I677" s="234" t="s">
        <v>467</v>
      </c>
      <c r="J677" s="161">
        <v>0.26</v>
      </c>
      <c r="K677" s="142">
        <f>'UPAH BAHAN'!$H$21</f>
        <v>135000</v>
      </c>
      <c r="L677" s="100">
        <f>J677*K677</f>
        <v>35100</v>
      </c>
      <c r="M677" s="148" t="s">
        <v>233</v>
      </c>
      <c r="N677" s="101">
        <f t="shared" si="139"/>
        <v>35100</v>
      </c>
      <c r="O677" s="531"/>
      <c r="P677" s="132"/>
      <c r="Q677" s="140"/>
      <c r="R677" s="133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8"/>
    </row>
    <row r="678" spans="1:30" ht="14.1" customHeight="1" x14ac:dyDescent="0.3">
      <c r="A678" s="184"/>
      <c r="B678" s="106" t="s">
        <v>233</v>
      </c>
      <c r="C678" s="1" t="s">
        <v>289</v>
      </c>
      <c r="D678" s="1"/>
      <c r="E678" s="1"/>
      <c r="F678" s="1"/>
      <c r="G678" s="1"/>
      <c r="H678" s="7"/>
      <c r="I678" s="234" t="s">
        <v>467</v>
      </c>
      <c r="J678" s="161">
        <v>2.5999999999999999E-2</v>
      </c>
      <c r="K678" s="142">
        <f>'UPAH BAHAN'!$H$25</f>
        <v>150000</v>
      </c>
      <c r="L678" s="100">
        <f>J678*K678</f>
        <v>3900</v>
      </c>
      <c r="M678" s="148" t="s">
        <v>233</v>
      </c>
      <c r="N678" s="101">
        <f t="shared" si="139"/>
        <v>3900</v>
      </c>
      <c r="O678" s="530"/>
      <c r="P678" s="132"/>
      <c r="Q678" s="140"/>
      <c r="R678" s="133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8"/>
    </row>
    <row r="679" spans="1:30" ht="14.1" customHeight="1" thickBot="1" x14ac:dyDescent="0.35">
      <c r="A679" s="184"/>
      <c r="B679" s="1"/>
      <c r="C679" s="1"/>
      <c r="D679" s="1"/>
      <c r="E679" s="1"/>
      <c r="F679" s="1"/>
      <c r="G679" s="1"/>
      <c r="H679" s="7"/>
      <c r="I679" s="107"/>
      <c r="J679" s="107"/>
      <c r="K679" s="150" t="s">
        <v>245</v>
      </c>
      <c r="L679" s="107">
        <f>SUM(L673:L678)</f>
        <v>97890</v>
      </c>
      <c r="M679" s="108">
        <f>SUM(M673:M678)</f>
        <v>217380</v>
      </c>
      <c r="N679" s="109">
        <f>SUM(N673:N678)</f>
        <v>315270</v>
      </c>
      <c r="O679" s="530"/>
      <c r="P679" s="132"/>
      <c r="Q679" s="140"/>
      <c r="R679" s="133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8"/>
    </row>
    <row r="680" spans="1:30" s="238" customFormat="1" ht="14.1" customHeight="1" thickBot="1" x14ac:dyDescent="0.35">
      <c r="A680" s="184"/>
      <c r="B680" s="1"/>
      <c r="C680" s="1"/>
      <c r="D680" s="1"/>
      <c r="E680" s="1"/>
      <c r="F680" s="1"/>
      <c r="G680" s="1"/>
      <c r="H680" s="7"/>
      <c r="I680" s="100"/>
      <c r="J680" s="100"/>
      <c r="K680" s="289" t="s">
        <v>512</v>
      </c>
      <c r="L680" s="100"/>
      <c r="M680" s="99"/>
      <c r="N680" s="101">
        <f>N679*15%</f>
        <v>47290.5</v>
      </c>
      <c r="O680" s="532"/>
      <c r="P680" s="239"/>
      <c r="Q680" s="240"/>
      <c r="R680" s="240">
        <f t="shared" ref="R680:AC680" si="140">SUM(R675:R679)</f>
        <v>0</v>
      </c>
      <c r="S680" s="240">
        <f t="shared" si="140"/>
        <v>0</v>
      </c>
      <c r="T680" s="240">
        <f t="shared" si="140"/>
        <v>0</v>
      </c>
      <c r="U680" s="240">
        <f t="shared" si="140"/>
        <v>0</v>
      </c>
      <c r="V680" s="240">
        <f t="shared" si="140"/>
        <v>0</v>
      </c>
      <c r="W680" s="240">
        <f t="shared" si="140"/>
        <v>0</v>
      </c>
      <c r="X680" s="240">
        <f t="shared" si="140"/>
        <v>0</v>
      </c>
      <c r="Y680" s="240">
        <f t="shared" si="140"/>
        <v>0</v>
      </c>
      <c r="Z680" s="240">
        <f t="shared" si="140"/>
        <v>0</v>
      </c>
      <c r="AA680" s="240">
        <f t="shared" si="140"/>
        <v>0</v>
      </c>
      <c r="AB680" s="240">
        <f t="shared" si="140"/>
        <v>0</v>
      </c>
      <c r="AC680" s="240">
        <f t="shared" si="140"/>
        <v>0</v>
      </c>
      <c r="AD680" s="241"/>
    </row>
    <row r="681" spans="1:30" ht="14.1" customHeight="1" x14ac:dyDescent="0.3">
      <c r="A681" s="186"/>
      <c r="B681" s="173"/>
      <c r="C681" s="173"/>
      <c r="D681" s="173"/>
      <c r="E681" s="173"/>
      <c r="F681" s="173"/>
      <c r="G681" s="173"/>
      <c r="H681" s="174"/>
      <c r="I681" s="175"/>
      <c r="J681" s="175"/>
      <c r="K681" s="176" t="s">
        <v>247</v>
      </c>
      <c r="L681" s="175"/>
      <c r="M681" s="177"/>
      <c r="N681" s="116">
        <f>N679+N680</f>
        <v>362560.5</v>
      </c>
      <c r="O681" s="530"/>
    </row>
    <row r="682" spans="1:30" ht="14.1" customHeight="1" thickBot="1" x14ac:dyDescent="0.35">
      <c r="A682" s="183">
        <f>A672+1</f>
        <v>25</v>
      </c>
      <c r="B682" s="233" t="s">
        <v>489</v>
      </c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7"/>
      <c r="O682" s="530"/>
    </row>
    <row r="683" spans="1:30" ht="14.1" customHeight="1" thickBot="1" x14ac:dyDescent="0.35">
      <c r="A683" s="184"/>
      <c r="B683" s="106" t="s">
        <v>233</v>
      </c>
      <c r="C683" s="249" t="s">
        <v>485</v>
      </c>
      <c r="D683" s="1"/>
      <c r="E683" s="1"/>
      <c r="F683" s="1"/>
      <c r="G683" s="1"/>
      <c r="H683" s="7"/>
      <c r="I683" s="141" t="s">
        <v>148</v>
      </c>
      <c r="J683" s="161">
        <v>0.04</v>
      </c>
      <c r="K683" s="142">
        <f>'UPAH BAHAN'!$H$52</f>
        <v>4750000</v>
      </c>
      <c r="L683" s="171" t="s">
        <v>233</v>
      </c>
      <c r="M683" s="99">
        <f>J683*K683</f>
        <v>190000</v>
      </c>
      <c r="N683" s="101">
        <f t="shared" ref="N683:N691" si="141">L683+M683</f>
        <v>190000</v>
      </c>
      <c r="O683" s="530"/>
      <c r="P683" s="156" t="str">
        <f>B886</f>
        <v>1 Unit tangga dinding dari besi beton diameter 12 mm</v>
      </c>
      <c r="Q683" s="157"/>
      <c r="R683" s="158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60"/>
    </row>
    <row r="684" spans="1:30" ht="14.1" customHeight="1" x14ac:dyDescent="0.3">
      <c r="A684" s="184"/>
      <c r="B684" s="106" t="s">
        <v>233</v>
      </c>
      <c r="C684" s="249" t="s">
        <v>486</v>
      </c>
      <c r="D684" s="1"/>
      <c r="E684" s="1"/>
      <c r="F684" s="1"/>
      <c r="G684" s="1"/>
      <c r="H684" s="7"/>
      <c r="I684" s="255" t="s">
        <v>28</v>
      </c>
      <c r="J684" s="161">
        <v>0.4</v>
      </c>
      <c r="K684" s="142">
        <f>'UPAH BAHAN'!$H$50</f>
        <v>12100</v>
      </c>
      <c r="L684" s="171" t="s">
        <v>233</v>
      </c>
      <c r="M684" s="99">
        <f>J684*K684</f>
        <v>4840</v>
      </c>
      <c r="N684" s="101">
        <f t="shared" si="141"/>
        <v>4840</v>
      </c>
      <c r="O684" s="530"/>
      <c r="P684" s="132"/>
      <c r="Q684" s="140"/>
      <c r="R684" s="133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8"/>
    </row>
    <row r="685" spans="1:30" ht="14.1" customHeight="1" x14ac:dyDescent="0.3">
      <c r="A685" s="184"/>
      <c r="B685" s="234" t="s">
        <v>233</v>
      </c>
      <c r="C685" s="249" t="s">
        <v>490</v>
      </c>
      <c r="D685" s="1"/>
      <c r="E685" s="1"/>
      <c r="F685" s="1"/>
      <c r="G685" s="1"/>
      <c r="H685" s="7"/>
      <c r="I685" s="255" t="s">
        <v>158</v>
      </c>
      <c r="J685" s="161">
        <v>1.4999999999999999E-2</v>
      </c>
      <c r="K685" s="142">
        <f>'UPAH BAHAN'!$H$57</f>
        <v>1800000</v>
      </c>
      <c r="L685" s="171" t="s">
        <v>233</v>
      </c>
      <c r="M685" s="99">
        <f t="shared" ref="M685:M687" si="142">J685*K685</f>
        <v>27000</v>
      </c>
      <c r="N685" s="101">
        <f t="shared" ref="N685:N687" si="143">L685+M685</f>
        <v>27000</v>
      </c>
      <c r="O685" s="530"/>
      <c r="P685" s="132"/>
      <c r="Q685" s="140"/>
      <c r="R685" s="133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8"/>
    </row>
    <row r="686" spans="1:30" ht="14.1" customHeight="1" x14ac:dyDescent="0.3">
      <c r="A686" s="184"/>
      <c r="B686" s="234" t="s">
        <v>233</v>
      </c>
      <c r="C686" s="249" t="s">
        <v>491</v>
      </c>
      <c r="D686" s="1"/>
      <c r="E686" s="1"/>
      <c r="F686" s="1"/>
      <c r="G686" s="1"/>
      <c r="H686" s="7"/>
      <c r="I686" s="255" t="s">
        <v>493</v>
      </c>
      <c r="J686" s="161">
        <v>0.35</v>
      </c>
      <c r="K686" s="142">
        <f>'UPAH BAHAN'!$H$60</f>
        <v>115000</v>
      </c>
      <c r="L686" s="171" t="s">
        <v>233</v>
      </c>
      <c r="M686" s="99">
        <f t="shared" si="142"/>
        <v>40250</v>
      </c>
      <c r="N686" s="101">
        <f t="shared" si="143"/>
        <v>40250</v>
      </c>
      <c r="O686" s="530"/>
      <c r="P686" s="132"/>
      <c r="Q686" s="140"/>
      <c r="R686" s="133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8"/>
    </row>
    <row r="687" spans="1:30" ht="14.1" customHeight="1" x14ac:dyDescent="0.3">
      <c r="A687" s="184"/>
      <c r="B687" s="234" t="s">
        <v>233</v>
      </c>
      <c r="C687" s="249" t="s">
        <v>492</v>
      </c>
      <c r="D687" s="1"/>
      <c r="E687" s="1"/>
      <c r="F687" s="1"/>
      <c r="G687" s="1"/>
      <c r="H687" s="7"/>
      <c r="I687" s="255" t="s">
        <v>494</v>
      </c>
      <c r="J687" s="161">
        <v>2</v>
      </c>
      <c r="K687" s="142">
        <v>25000</v>
      </c>
      <c r="L687" s="171" t="s">
        <v>233</v>
      </c>
      <c r="M687" s="99">
        <f t="shared" si="142"/>
        <v>50000</v>
      </c>
      <c r="N687" s="101">
        <f t="shared" si="143"/>
        <v>50000</v>
      </c>
      <c r="O687" s="530"/>
      <c r="P687" s="132"/>
      <c r="Q687" s="140"/>
      <c r="R687" s="133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8"/>
    </row>
    <row r="688" spans="1:30" ht="14.1" customHeight="1" x14ac:dyDescent="0.3">
      <c r="A688" s="184"/>
      <c r="B688" s="106" t="s">
        <v>233</v>
      </c>
      <c r="C688" s="1" t="s">
        <v>128</v>
      </c>
      <c r="D688" s="1"/>
      <c r="E688" s="1"/>
      <c r="F688" s="1"/>
      <c r="G688" s="1"/>
      <c r="H688" s="7"/>
      <c r="I688" s="234" t="s">
        <v>467</v>
      </c>
      <c r="J688" s="161">
        <v>0.66</v>
      </c>
      <c r="K688" s="142">
        <f>'UPAH BAHAN'!$H$19</f>
        <v>105000</v>
      </c>
      <c r="L688" s="100">
        <f>J688*K688</f>
        <v>69300</v>
      </c>
      <c r="M688" s="148" t="s">
        <v>233</v>
      </c>
      <c r="N688" s="101">
        <f t="shared" si="141"/>
        <v>69300</v>
      </c>
      <c r="O688" s="530"/>
      <c r="P688" s="132"/>
      <c r="Q688" s="140"/>
      <c r="R688" s="133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8"/>
    </row>
    <row r="689" spans="1:30" ht="14.1" customHeight="1" thickBot="1" x14ac:dyDescent="0.35">
      <c r="A689" s="184"/>
      <c r="B689" s="106" t="s">
        <v>233</v>
      </c>
      <c r="C689" s="1" t="s">
        <v>134</v>
      </c>
      <c r="D689" s="1"/>
      <c r="E689" s="1"/>
      <c r="F689" s="1"/>
      <c r="G689" s="1"/>
      <c r="H689" s="7"/>
      <c r="I689" s="234" t="s">
        <v>467</v>
      </c>
      <c r="J689" s="161">
        <v>3.3000000000000002E-2</v>
      </c>
      <c r="K689" s="142">
        <f>'UPAH BAHAN'!$H$24</f>
        <v>165000</v>
      </c>
      <c r="L689" s="100">
        <f>J689*K689</f>
        <v>5445</v>
      </c>
      <c r="M689" s="148" t="s">
        <v>233</v>
      </c>
      <c r="N689" s="101">
        <f t="shared" si="141"/>
        <v>5445</v>
      </c>
      <c r="O689" s="530"/>
      <c r="P689" s="164"/>
      <c r="Q689" s="165"/>
      <c r="R689" s="166"/>
      <c r="S689" s="167"/>
      <c r="T689" s="167"/>
      <c r="U689" s="167"/>
      <c r="V689" s="167"/>
      <c r="W689" s="168"/>
      <c r="X689" s="168"/>
      <c r="Y689" s="167"/>
      <c r="Z689" s="167"/>
      <c r="AA689" s="167"/>
      <c r="AB689" s="167"/>
      <c r="AC689" s="167"/>
      <c r="AD689" s="169"/>
    </row>
    <row r="690" spans="1:30" ht="14.1" customHeight="1" thickBot="1" x14ac:dyDescent="0.35">
      <c r="A690" s="184"/>
      <c r="B690" s="106" t="s">
        <v>233</v>
      </c>
      <c r="C690" s="1" t="s">
        <v>131</v>
      </c>
      <c r="D690" s="1"/>
      <c r="E690" s="1"/>
      <c r="F690" s="1"/>
      <c r="G690" s="1"/>
      <c r="H690" s="7"/>
      <c r="I690" s="234" t="s">
        <v>467</v>
      </c>
      <c r="J690" s="161">
        <v>0.33</v>
      </c>
      <c r="K690" s="142">
        <f>'UPAH BAHAN'!$H$21</f>
        <v>135000</v>
      </c>
      <c r="L690" s="100">
        <f>J690*K690</f>
        <v>44550</v>
      </c>
      <c r="M690" s="148" t="s">
        <v>233</v>
      </c>
      <c r="N690" s="101">
        <f t="shared" si="141"/>
        <v>44550</v>
      </c>
      <c r="O690" s="530"/>
      <c r="P690" s="151"/>
      <c r="Q690" s="152"/>
      <c r="R690" s="152">
        <f t="shared" ref="R690:AC690" si="144">SUM(R684:R689)</f>
        <v>0</v>
      </c>
      <c r="S690" s="152">
        <f t="shared" si="144"/>
        <v>0</v>
      </c>
      <c r="T690" s="152">
        <f t="shared" si="144"/>
        <v>0</v>
      </c>
      <c r="U690" s="152">
        <f t="shared" si="144"/>
        <v>0</v>
      </c>
      <c r="V690" s="152">
        <f t="shared" si="144"/>
        <v>0</v>
      </c>
      <c r="W690" s="152">
        <f t="shared" si="144"/>
        <v>0</v>
      </c>
      <c r="X690" s="152">
        <f t="shared" si="144"/>
        <v>0</v>
      </c>
      <c r="Y690" s="152">
        <f t="shared" si="144"/>
        <v>0</v>
      </c>
      <c r="Z690" s="152">
        <f t="shared" si="144"/>
        <v>0</v>
      </c>
      <c r="AA690" s="152">
        <f t="shared" si="144"/>
        <v>0</v>
      </c>
      <c r="AB690" s="152">
        <f t="shared" si="144"/>
        <v>0</v>
      </c>
      <c r="AC690" s="152">
        <f t="shared" si="144"/>
        <v>0</v>
      </c>
      <c r="AD690" s="153"/>
    </row>
    <row r="691" spans="1:30" ht="14.1" customHeight="1" x14ac:dyDescent="0.3">
      <c r="A691" s="184"/>
      <c r="B691" s="106" t="s">
        <v>233</v>
      </c>
      <c r="C691" s="1" t="s">
        <v>289</v>
      </c>
      <c r="D691" s="1"/>
      <c r="E691" s="1"/>
      <c r="F691" s="1"/>
      <c r="G691" s="1"/>
      <c r="H691" s="7"/>
      <c r="I691" s="234" t="s">
        <v>467</v>
      </c>
      <c r="J691" s="161">
        <v>3.3000000000000002E-2</v>
      </c>
      <c r="K691" s="142">
        <f>'UPAH BAHAN'!$H$25</f>
        <v>150000</v>
      </c>
      <c r="L691" s="100">
        <f>J691*K691</f>
        <v>4950</v>
      </c>
      <c r="M691" s="148" t="s">
        <v>233</v>
      </c>
      <c r="N691" s="101">
        <f t="shared" si="141"/>
        <v>4950</v>
      </c>
      <c r="O691" s="530"/>
    </row>
    <row r="692" spans="1:30" ht="14.1" customHeight="1" x14ac:dyDescent="0.3">
      <c r="A692" s="184"/>
      <c r="B692" s="1"/>
      <c r="C692" s="1"/>
      <c r="D692" s="1"/>
      <c r="E692" s="1"/>
      <c r="F692" s="1"/>
      <c r="G692" s="1"/>
      <c r="H692" s="7"/>
      <c r="I692" s="107"/>
      <c r="J692" s="107"/>
      <c r="K692" s="150" t="s">
        <v>245</v>
      </c>
      <c r="L692" s="107">
        <f>SUM(L683:L691)</f>
        <v>124245</v>
      </c>
      <c r="M692" s="108">
        <f>SUM(M683:M691)</f>
        <v>312090</v>
      </c>
      <c r="N692" s="109">
        <f>SUM(N683:N691)</f>
        <v>436335</v>
      </c>
      <c r="O692" s="530"/>
    </row>
    <row r="693" spans="1:30" ht="14.1" customHeight="1" x14ac:dyDescent="0.3">
      <c r="A693" s="184"/>
      <c r="B693" s="1"/>
      <c r="C693" s="1"/>
      <c r="D693" s="1"/>
      <c r="E693" s="1"/>
      <c r="F693" s="1"/>
      <c r="G693" s="1"/>
      <c r="H693" s="7"/>
      <c r="I693" s="100"/>
      <c r="J693" s="100"/>
      <c r="K693" s="289" t="s">
        <v>512</v>
      </c>
      <c r="L693" s="100"/>
      <c r="M693" s="99"/>
      <c r="N693" s="101">
        <f>N692*15%</f>
        <v>65450.25</v>
      </c>
      <c r="O693" s="530"/>
    </row>
    <row r="694" spans="1:30" ht="14.1" customHeight="1" x14ac:dyDescent="0.3">
      <c r="A694" s="186"/>
      <c r="B694" s="173"/>
      <c r="C694" s="173"/>
      <c r="D694" s="173"/>
      <c r="E694" s="173"/>
      <c r="F694" s="173"/>
      <c r="G694" s="173"/>
      <c r="H694" s="174"/>
      <c r="I694" s="175"/>
      <c r="J694" s="175"/>
      <c r="K694" s="176" t="s">
        <v>247</v>
      </c>
      <c r="L694" s="175"/>
      <c r="M694" s="177"/>
      <c r="N694" s="116">
        <f>N692+N693</f>
        <v>501785.25</v>
      </c>
      <c r="O694" s="530"/>
    </row>
    <row r="695" spans="1:30" s="238" customFormat="1" ht="14.1" customHeight="1" x14ac:dyDescent="0.3">
      <c r="A695" s="183">
        <f>A682+1</f>
        <v>26</v>
      </c>
      <c r="B695" s="233" t="s">
        <v>495</v>
      </c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7"/>
      <c r="O695" s="532"/>
    </row>
    <row r="696" spans="1:30" ht="14.1" customHeight="1" x14ac:dyDescent="0.3">
      <c r="A696" s="184"/>
      <c r="B696" s="106" t="s">
        <v>233</v>
      </c>
      <c r="C696" s="249" t="s">
        <v>485</v>
      </c>
      <c r="D696" s="1"/>
      <c r="E696" s="1"/>
      <c r="F696" s="1"/>
      <c r="G696" s="1"/>
      <c r="H696" s="7"/>
      <c r="I696" s="141" t="s">
        <v>148</v>
      </c>
      <c r="J696" s="161">
        <v>0.04</v>
      </c>
      <c r="K696" s="142">
        <f>'UPAH BAHAN'!$H$52</f>
        <v>4750000</v>
      </c>
      <c r="L696" s="171" t="s">
        <v>233</v>
      </c>
      <c r="M696" s="99">
        <f>J696*K696</f>
        <v>190000</v>
      </c>
      <c r="N696" s="101">
        <f t="shared" ref="N696:N700" si="145">L696+M696</f>
        <v>190000</v>
      </c>
      <c r="O696" s="530"/>
      <c r="P696" s="132"/>
      <c r="Q696" s="140"/>
      <c r="R696" s="133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8"/>
    </row>
    <row r="697" spans="1:30" ht="14.1" customHeight="1" x14ac:dyDescent="0.3">
      <c r="A697" s="184"/>
      <c r="B697" s="106" t="s">
        <v>233</v>
      </c>
      <c r="C697" s="249" t="s">
        <v>486</v>
      </c>
      <c r="D697" s="1"/>
      <c r="E697" s="1"/>
      <c r="F697" s="1"/>
      <c r="G697" s="1"/>
      <c r="H697" s="7"/>
      <c r="I697" s="255" t="s">
        <v>28</v>
      </c>
      <c r="J697" s="161">
        <v>0.4</v>
      </c>
      <c r="K697" s="142">
        <f>'UPAH BAHAN'!$H$50</f>
        <v>12100</v>
      </c>
      <c r="L697" s="171" t="s">
        <v>233</v>
      </c>
      <c r="M697" s="99">
        <f>J697*K697</f>
        <v>4840</v>
      </c>
      <c r="N697" s="101">
        <f t="shared" si="145"/>
        <v>4840</v>
      </c>
      <c r="O697" s="530"/>
      <c r="P697" s="132"/>
      <c r="Q697" s="140"/>
      <c r="R697" s="133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8"/>
    </row>
    <row r="698" spans="1:30" ht="14.1" customHeight="1" thickBot="1" x14ac:dyDescent="0.35">
      <c r="A698" s="184"/>
      <c r="B698" s="234" t="s">
        <v>233</v>
      </c>
      <c r="C698" s="249" t="s">
        <v>490</v>
      </c>
      <c r="D698" s="1"/>
      <c r="E698" s="1"/>
      <c r="F698" s="1"/>
      <c r="G698" s="1"/>
      <c r="H698" s="7"/>
      <c r="I698" s="255" t="s">
        <v>158</v>
      </c>
      <c r="J698" s="161">
        <v>1.7999999999999999E-2</v>
      </c>
      <c r="K698" s="142">
        <f>'UPAH BAHAN'!$H$57</f>
        <v>1800000</v>
      </c>
      <c r="L698" s="171" t="s">
        <v>233</v>
      </c>
      <c r="M698" s="99">
        <f t="shared" ref="M698:M700" si="146">J698*K698</f>
        <v>32399.999999999996</v>
      </c>
      <c r="N698" s="101">
        <f t="shared" si="145"/>
        <v>32399.999999999996</v>
      </c>
      <c r="O698" s="530"/>
      <c r="P698" s="164"/>
      <c r="Q698" s="165"/>
      <c r="R698" s="166"/>
      <c r="S698" s="167"/>
      <c r="T698" s="167"/>
      <c r="U698" s="167"/>
      <c r="V698" s="167"/>
      <c r="W698" s="168"/>
      <c r="X698" s="168"/>
      <c r="Y698" s="167"/>
      <c r="Z698" s="167"/>
      <c r="AA698" s="167"/>
      <c r="AB698" s="167"/>
      <c r="AC698" s="167"/>
      <c r="AD698" s="169"/>
    </row>
    <row r="699" spans="1:30" ht="14.1" customHeight="1" thickBot="1" x14ac:dyDescent="0.35">
      <c r="A699" s="184"/>
      <c r="B699" s="234" t="s">
        <v>233</v>
      </c>
      <c r="C699" s="249" t="s">
        <v>491</v>
      </c>
      <c r="D699" s="1"/>
      <c r="E699" s="1"/>
      <c r="F699" s="1"/>
      <c r="G699" s="1"/>
      <c r="H699" s="7"/>
      <c r="I699" s="255" t="s">
        <v>493</v>
      </c>
      <c r="J699" s="161">
        <v>0.35</v>
      </c>
      <c r="K699" s="142">
        <f>'UPAH BAHAN'!$H$60</f>
        <v>115000</v>
      </c>
      <c r="L699" s="171" t="s">
        <v>233</v>
      </c>
      <c r="M699" s="99">
        <f t="shared" si="146"/>
        <v>40250</v>
      </c>
      <c r="N699" s="101">
        <f t="shared" si="145"/>
        <v>40250</v>
      </c>
      <c r="O699" s="530"/>
      <c r="P699" s="151"/>
      <c r="Q699" s="152"/>
      <c r="R699" s="152">
        <f t="shared" ref="R699:AC699" si="147">SUM(R696:R698)</f>
        <v>0</v>
      </c>
      <c r="S699" s="152">
        <f t="shared" si="147"/>
        <v>0</v>
      </c>
      <c r="T699" s="152">
        <f t="shared" si="147"/>
        <v>0</v>
      </c>
      <c r="U699" s="152">
        <f t="shared" si="147"/>
        <v>0</v>
      </c>
      <c r="V699" s="152">
        <f t="shared" si="147"/>
        <v>0</v>
      </c>
      <c r="W699" s="152">
        <f t="shared" si="147"/>
        <v>0</v>
      </c>
      <c r="X699" s="152">
        <f t="shared" si="147"/>
        <v>0</v>
      </c>
      <c r="Y699" s="152">
        <f t="shared" si="147"/>
        <v>0</v>
      </c>
      <c r="Z699" s="152">
        <f t="shared" si="147"/>
        <v>0</v>
      </c>
      <c r="AA699" s="152">
        <f t="shared" si="147"/>
        <v>0</v>
      </c>
      <c r="AB699" s="152">
        <f t="shared" si="147"/>
        <v>0</v>
      </c>
      <c r="AC699" s="152">
        <f t="shared" si="147"/>
        <v>0</v>
      </c>
      <c r="AD699" s="153"/>
    </row>
    <row r="700" spans="1:30" ht="14.1" customHeight="1" x14ac:dyDescent="0.3">
      <c r="A700" s="184"/>
      <c r="B700" s="234" t="s">
        <v>233</v>
      </c>
      <c r="C700" s="249" t="s">
        <v>492</v>
      </c>
      <c r="D700" s="1"/>
      <c r="E700" s="1"/>
      <c r="F700" s="1"/>
      <c r="G700" s="1"/>
      <c r="H700" s="7"/>
      <c r="I700" s="255" t="s">
        <v>494</v>
      </c>
      <c r="J700" s="161">
        <v>2</v>
      </c>
      <c r="K700" s="142">
        <v>25000</v>
      </c>
      <c r="L700" s="171" t="s">
        <v>233</v>
      </c>
      <c r="M700" s="99">
        <f t="shared" si="146"/>
        <v>50000</v>
      </c>
      <c r="N700" s="101">
        <f t="shared" si="145"/>
        <v>50000</v>
      </c>
      <c r="O700" s="530"/>
    </row>
    <row r="701" spans="1:30" ht="14.1" customHeight="1" x14ac:dyDescent="0.3">
      <c r="A701" s="184"/>
      <c r="B701" s="106" t="s">
        <v>233</v>
      </c>
      <c r="C701" s="1" t="s">
        <v>128</v>
      </c>
      <c r="D701" s="1"/>
      <c r="E701" s="1"/>
      <c r="F701" s="1"/>
      <c r="G701" s="1"/>
      <c r="H701" s="7"/>
      <c r="I701" s="234" t="s">
        <v>467</v>
      </c>
      <c r="J701" s="161">
        <v>0.66</v>
      </c>
      <c r="K701" s="142">
        <f>'UPAH BAHAN'!$H$19</f>
        <v>105000</v>
      </c>
      <c r="L701" s="100">
        <f>J701*K701</f>
        <v>69300</v>
      </c>
      <c r="M701" s="148" t="s">
        <v>233</v>
      </c>
      <c r="N701" s="101">
        <f t="shared" ref="N701:N704" si="148">L701+M701</f>
        <v>69300</v>
      </c>
      <c r="O701" s="530"/>
    </row>
    <row r="702" spans="1:30" ht="14.1" customHeight="1" thickBot="1" x14ac:dyDescent="0.35">
      <c r="A702" s="184"/>
      <c r="B702" s="106" t="s">
        <v>233</v>
      </c>
      <c r="C702" s="1" t="s">
        <v>134</v>
      </c>
      <c r="D702" s="1"/>
      <c r="E702" s="1"/>
      <c r="F702" s="1"/>
      <c r="G702" s="1"/>
      <c r="H702" s="7"/>
      <c r="I702" s="234" t="s">
        <v>467</v>
      </c>
      <c r="J702" s="161">
        <v>3.3000000000000002E-2</v>
      </c>
      <c r="K702" s="142">
        <f>'UPAH BAHAN'!$H$24</f>
        <v>165000</v>
      </c>
      <c r="L702" s="100">
        <f>J702*K702</f>
        <v>5445</v>
      </c>
      <c r="M702" s="148" t="s">
        <v>233</v>
      </c>
      <c r="N702" s="101">
        <f t="shared" si="148"/>
        <v>5445</v>
      </c>
      <c r="O702" s="530"/>
    </row>
    <row r="703" spans="1:30" ht="14.1" customHeight="1" thickBot="1" x14ac:dyDescent="0.35">
      <c r="A703" s="184"/>
      <c r="B703" s="106" t="s">
        <v>233</v>
      </c>
      <c r="C703" s="1" t="s">
        <v>131</v>
      </c>
      <c r="D703" s="1"/>
      <c r="E703" s="1"/>
      <c r="F703" s="1"/>
      <c r="G703" s="1"/>
      <c r="H703" s="7"/>
      <c r="I703" s="234" t="s">
        <v>467</v>
      </c>
      <c r="J703" s="161">
        <v>0.33</v>
      </c>
      <c r="K703" s="142">
        <f>'UPAH BAHAN'!$H$21</f>
        <v>135000</v>
      </c>
      <c r="L703" s="100">
        <f>J703*K703</f>
        <v>44550</v>
      </c>
      <c r="M703" s="148" t="s">
        <v>233</v>
      </c>
      <c r="N703" s="101">
        <f t="shared" si="148"/>
        <v>44550</v>
      </c>
      <c r="O703" s="530"/>
      <c r="P703" s="156" t="str">
        <f>B910</f>
        <v>1  Unit pintu pagar BRC  tinggi = 1,2 m'</v>
      </c>
      <c r="Q703" s="157"/>
      <c r="R703" s="158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60"/>
    </row>
    <row r="704" spans="1:30" ht="14.1" customHeight="1" x14ac:dyDescent="0.3">
      <c r="A704" s="184"/>
      <c r="B704" s="106" t="s">
        <v>233</v>
      </c>
      <c r="C704" s="1" t="s">
        <v>289</v>
      </c>
      <c r="D704" s="1"/>
      <c r="E704" s="1"/>
      <c r="F704" s="1"/>
      <c r="G704" s="1"/>
      <c r="H704" s="7"/>
      <c r="I704" s="234" t="s">
        <v>467</v>
      </c>
      <c r="J704" s="161">
        <v>3.3000000000000002E-2</v>
      </c>
      <c r="K704" s="142">
        <f>'UPAH BAHAN'!$H$25</f>
        <v>150000</v>
      </c>
      <c r="L704" s="100">
        <f>J704*K704</f>
        <v>4950</v>
      </c>
      <c r="M704" s="148" t="s">
        <v>233</v>
      </c>
      <c r="N704" s="101">
        <f t="shared" si="148"/>
        <v>4950</v>
      </c>
      <c r="O704" s="530"/>
      <c r="P704" s="132"/>
      <c r="Q704" s="140"/>
      <c r="R704" s="133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8"/>
    </row>
    <row r="705" spans="1:30" ht="14.1" customHeight="1" x14ac:dyDescent="0.3">
      <c r="A705" s="184"/>
      <c r="B705" s="1"/>
      <c r="C705" s="1"/>
      <c r="D705" s="1"/>
      <c r="E705" s="1"/>
      <c r="F705" s="1"/>
      <c r="G705" s="1"/>
      <c r="H705" s="7"/>
      <c r="I705" s="107"/>
      <c r="J705" s="107"/>
      <c r="K705" s="150" t="s">
        <v>245</v>
      </c>
      <c r="L705" s="107">
        <f>SUM(L696:L704)</f>
        <v>124245</v>
      </c>
      <c r="M705" s="108">
        <f>SUM(M696:M704)</f>
        <v>317490</v>
      </c>
      <c r="N705" s="109">
        <f>SUM(N696:N704)</f>
        <v>441735</v>
      </c>
      <c r="O705" s="530"/>
      <c r="P705" s="132"/>
      <c r="Q705" s="140"/>
      <c r="R705" s="133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8"/>
    </row>
    <row r="706" spans="1:30" ht="14.1" customHeight="1" x14ac:dyDescent="0.3">
      <c r="A706" s="184"/>
      <c r="B706" s="1"/>
      <c r="C706" s="1"/>
      <c r="D706" s="1"/>
      <c r="E706" s="1"/>
      <c r="F706" s="1"/>
      <c r="G706" s="1"/>
      <c r="H706" s="7"/>
      <c r="I706" s="100"/>
      <c r="J706" s="100"/>
      <c r="K706" s="289" t="s">
        <v>512</v>
      </c>
      <c r="L706" s="100"/>
      <c r="M706" s="99"/>
      <c r="N706" s="101">
        <f>N705*15%</f>
        <v>66260.25</v>
      </c>
      <c r="O706" s="530"/>
      <c r="P706" s="132"/>
      <c r="Q706" s="140"/>
      <c r="R706" s="133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8"/>
    </row>
    <row r="707" spans="1:30" ht="14.1" customHeight="1" x14ac:dyDescent="0.3">
      <c r="A707" s="186"/>
      <c r="B707" s="173"/>
      <c r="C707" s="173"/>
      <c r="D707" s="173"/>
      <c r="E707" s="173"/>
      <c r="F707" s="173"/>
      <c r="G707" s="173"/>
      <c r="H707" s="174"/>
      <c r="I707" s="175"/>
      <c r="J707" s="175"/>
      <c r="K707" s="176" t="s">
        <v>247</v>
      </c>
      <c r="L707" s="175"/>
      <c r="M707" s="177"/>
      <c r="N707" s="116">
        <f>N705+N706</f>
        <v>507995.25</v>
      </c>
      <c r="O707" s="530"/>
      <c r="P707" s="132"/>
      <c r="Q707" s="140"/>
      <c r="R707" s="133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8"/>
    </row>
    <row r="708" spans="1:30" s="238" customFormat="1" ht="14.1" customHeight="1" x14ac:dyDescent="0.3">
      <c r="A708" s="183">
        <f>A695+1</f>
        <v>27</v>
      </c>
      <c r="B708" s="233" t="s">
        <v>496</v>
      </c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7"/>
      <c r="O708" s="532"/>
      <c r="P708" s="242"/>
      <c r="Q708" s="243"/>
      <c r="R708" s="244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  <c r="AD708" s="246"/>
    </row>
    <row r="709" spans="1:30" ht="14.1" customHeight="1" x14ac:dyDescent="0.3">
      <c r="A709" s="184"/>
      <c r="B709" s="106" t="s">
        <v>233</v>
      </c>
      <c r="C709" s="249" t="s">
        <v>485</v>
      </c>
      <c r="D709" s="1"/>
      <c r="E709" s="1"/>
      <c r="F709" s="1"/>
      <c r="G709" s="1"/>
      <c r="H709" s="7"/>
      <c r="I709" s="141" t="s">
        <v>148</v>
      </c>
      <c r="J709" s="161">
        <v>0.04</v>
      </c>
      <c r="K709" s="142">
        <f>'UPAH BAHAN'!$H$52</f>
        <v>4750000</v>
      </c>
      <c r="L709" s="171" t="s">
        <v>233</v>
      </c>
      <c r="M709" s="99">
        <f>J709*K709</f>
        <v>190000</v>
      </c>
      <c r="N709" s="101">
        <f t="shared" ref="N709:N713" si="149">L709+M709</f>
        <v>190000</v>
      </c>
      <c r="O709" s="530"/>
      <c r="P709" s="132"/>
      <c r="Q709" s="140"/>
      <c r="R709" s="133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8"/>
    </row>
    <row r="710" spans="1:30" ht="14.1" customHeight="1" x14ac:dyDescent="0.3">
      <c r="A710" s="184"/>
      <c r="B710" s="106" t="s">
        <v>233</v>
      </c>
      <c r="C710" s="249" t="s">
        <v>486</v>
      </c>
      <c r="D710" s="1"/>
      <c r="E710" s="1"/>
      <c r="F710" s="1"/>
      <c r="G710" s="1"/>
      <c r="H710" s="7"/>
      <c r="I710" s="255" t="s">
        <v>28</v>
      </c>
      <c r="J710" s="161">
        <v>0.4</v>
      </c>
      <c r="K710" s="142">
        <f>'UPAH BAHAN'!$H$50</f>
        <v>12100</v>
      </c>
      <c r="L710" s="171" t="s">
        <v>233</v>
      </c>
      <c r="M710" s="99">
        <f>J710*K710</f>
        <v>4840</v>
      </c>
      <c r="N710" s="101">
        <f t="shared" si="149"/>
        <v>4840</v>
      </c>
      <c r="O710" s="530"/>
      <c r="P710" s="132"/>
      <c r="Q710" s="140"/>
      <c r="R710" s="133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8"/>
    </row>
    <row r="711" spans="1:30" ht="14.1" customHeight="1" x14ac:dyDescent="0.3">
      <c r="A711" s="184"/>
      <c r="B711" s="234" t="s">
        <v>233</v>
      </c>
      <c r="C711" s="249" t="s">
        <v>490</v>
      </c>
      <c r="D711" s="1"/>
      <c r="E711" s="1"/>
      <c r="F711" s="1"/>
      <c r="G711" s="1"/>
      <c r="H711" s="7"/>
      <c r="I711" s="255" t="s">
        <v>158</v>
      </c>
      <c r="J711" s="161">
        <v>1.4999999999999999E-2</v>
      </c>
      <c r="K711" s="142">
        <f>'UPAH BAHAN'!$H$57</f>
        <v>1800000</v>
      </c>
      <c r="L711" s="171" t="s">
        <v>233</v>
      </c>
      <c r="M711" s="99">
        <f t="shared" ref="M711:M713" si="150">J711*K711</f>
        <v>27000</v>
      </c>
      <c r="N711" s="101">
        <f t="shared" si="149"/>
        <v>27000</v>
      </c>
      <c r="O711" s="530"/>
      <c r="P711" s="132"/>
      <c r="Q711" s="140"/>
      <c r="R711" s="133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8"/>
    </row>
    <row r="712" spans="1:30" ht="14.1" customHeight="1" x14ac:dyDescent="0.3">
      <c r="A712" s="184"/>
      <c r="B712" s="234" t="s">
        <v>233</v>
      </c>
      <c r="C712" s="249" t="s">
        <v>491</v>
      </c>
      <c r="D712" s="1"/>
      <c r="E712" s="1"/>
      <c r="F712" s="1"/>
      <c r="G712" s="1"/>
      <c r="H712" s="7"/>
      <c r="I712" s="255" t="s">
        <v>493</v>
      </c>
      <c r="J712" s="161">
        <v>0.35</v>
      </c>
      <c r="K712" s="142">
        <f>'UPAH BAHAN'!$H$60</f>
        <v>115000</v>
      </c>
      <c r="L712" s="171" t="s">
        <v>233</v>
      </c>
      <c r="M712" s="99">
        <f t="shared" si="150"/>
        <v>40250</v>
      </c>
      <c r="N712" s="101">
        <f t="shared" si="149"/>
        <v>40250</v>
      </c>
      <c r="O712" s="530"/>
      <c r="P712" s="132"/>
      <c r="Q712" s="140"/>
      <c r="R712" s="133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8"/>
    </row>
    <row r="713" spans="1:30" ht="14.1" customHeight="1" x14ac:dyDescent="0.3">
      <c r="A713" s="184"/>
      <c r="B713" s="234" t="s">
        <v>233</v>
      </c>
      <c r="C713" s="249" t="s">
        <v>492</v>
      </c>
      <c r="D713" s="1"/>
      <c r="E713" s="1"/>
      <c r="F713" s="1"/>
      <c r="G713" s="1"/>
      <c r="H713" s="7"/>
      <c r="I713" s="255" t="s">
        <v>494</v>
      </c>
      <c r="J713" s="161">
        <v>6</v>
      </c>
      <c r="K713" s="142">
        <v>25000</v>
      </c>
      <c r="L713" s="171" t="s">
        <v>233</v>
      </c>
      <c r="M713" s="99">
        <f t="shared" si="150"/>
        <v>150000</v>
      </c>
      <c r="N713" s="101">
        <f t="shared" si="149"/>
        <v>150000</v>
      </c>
      <c r="O713" s="530"/>
      <c r="P713" s="132"/>
      <c r="Q713" s="140"/>
      <c r="R713" s="133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8"/>
    </row>
    <row r="714" spans="1:30" ht="14.1" customHeight="1" thickBot="1" x14ac:dyDescent="0.35">
      <c r="A714" s="184"/>
      <c r="B714" s="106" t="s">
        <v>233</v>
      </c>
      <c r="C714" s="1" t="s">
        <v>128</v>
      </c>
      <c r="D714" s="1"/>
      <c r="E714" s="1"/>
      <c r="F714" s="1"/>
      <c r="G714" s="1"/>
      <c r="H714" s="7"/>
      <c r="I714" s="234" t="s">
        <v>467</v>
      </c>
      <c r="J714" s="161">
        <v>0.66</v>
      </c>
      <c r="K714" s="142">
        <f>'UPAH BAHAN'!$H$19</f>
        <v>105000</v>
      </c>
      <c r="L714" s="100">
        <f>J714*K714</f>
        <v>69300</v>
      </c>
      <c r="M714" s="148" t="s">
        <v>233</v>
      </c>
      <c r="N714" s="101">
        <f t="shared" ref="N714:N717" si="151">L714+M714</f>
        <v>69300</v>
      </c>
      <c r="O714" s="530"/>
      <c r="P714" s="164"/>
      <c r="Q714" s="165"/>
      <c r="R714" s="166"/>
      <c r="S714" s="167"/>
      <c r="T714" s="167"/>
      <c r="U714" s="167"/>
      <c r="V714" s="167"/>
      <c r="W714" s="168"/>
      <c r="X714" s="168"/>
      <c r="Y714" s="167"/>
      <c r="Z714" s="167"/>
      <c r="AA714" s="167"/>
      <c r="AB714" s="167"/>
      <c r="AC714" s="167"/>
      <c r="AD714" s="169"/>
    </row>
    <row r="715" spans="1:30" ht="14.1" customHeight="1" thickBot="1" x14ac:dyDescent="0.35">
      <c r="A715" s="184"/>
      <c r="B715" s="106" t="s">
        <v>233</v>
      </c>
      <c r="C715" s="1" t="s">
        <v>134</v>
      </c>
      <c r="D715" s="1"/>
      <c r="E715" s="1"/>
      <c r="F715" s="1"/>
      <c r="G715" s="1"/>
      <c r="H715" s="7"/>
      <c r="I715" s="234" t="s">
        <v>467</v>
      </c>
      <c r="J715" s="161">
        <v>3.3000000000000002E-2</v>
      </c>
      <c r="K715" s="142">
        <f>'UPAH BAHAN'!$H$24</f>
        <v>165000</v>
      </c>
      <c r="L715" s="100">
        <f>J715*K715</f>
        <v>5445</v>
      </c>
      <c r="M715" s="148" t="s">
        <v>233</v>
      </c>
      <c r="N715" s="101">
        <f t="shared" si="151"/>
        <v>5445</v>
      </c>
      <c r="O715" s="530"/>
      <c r="P715" s="151"/>
      <c r="Q715" s="152"/>
      <c r="R715" s="152">
        <f t="shared" ref="R715:AC715" si="152">SUM(R704:R714)</f>
        <v>0</v>
      </c>
      <c r="S715" s="152">
        <f t="shared" si="152"/>
        <v>0</v>
      </c>
      <c r="T715" s="152">
        <f t="shared" si="152"/>
        <v>0</v>
      </c>
      <c r="U715" s="152">
        <f t="shared" si="152"/>
        <v>0</v>
      </c>
      <c r="V715" s="152">
        <f t="shared" si="152"/>
        <v>0</v>
      </c>
      <c r="W715" s="152">
        <f t="shared" si="152"/>
        <v>0</v>
      </c>
      <c r="X715" s="152">
        <f t="shared" si="152"/>
        <v>0</v>
      </c>
      <c r="Y715" s="152">
        <f t="shared" si="152"/>
        <v>0</v>
      </c>
      <c r="Z715" s="152">
        <f t="shared" si="152"/>
        <v>0</v>
      </c>
      <c r="AA715" s="152">
        <f t="shared" si="152"/>
        <v>0</v>
      </c>
      <c r="AB715" s="152">
        <f t="shared" si="152"/>
        <v>0</v>
      </c>
      <c r="AC715" s="152">
        <f t="shared" si="152"/>
        <v>0</v>
      </c>
      <c r="AD715" s="153"/>
    </row>
    <row r="716" spans="1:30" ht="14.1" customHeight="1" x14ac:dyDescent="0.3">
      <c r="A716" s="184"/>
      <c r="B716" s="106" t="s">
        <v>233</v>
      </c>
      <c r="C716" s="1" t="s">
        <v>131</v>
      </c>
      <c r="D716" s="1"/>
      <c r="E716" s="1"/>
      <c r="F716" s="1"/>
      <c r="G716" s="1"/>
      <c r="H716" s="7"/>
      <c r="I716" s="234" t="s">
        <v>467</v>
      </c>
      <c r="J716" s="161">
        <v>0.33</v>
      </c>
      <c r="K716" s="142">
        <f>'UPAH BAHAN'!$H$21</f>
        <v>135000</v>
      </c>
      <c r="L716" s="100">
        <f>J716*K716</f>
        <v>44550</v>
      </c>
      <c r="M716" s="148" t="s">
        <v>233</v>
      </c>
      <c r="N716" s="101">
        <f t="shared" si="151"/>
        <v>44550</v>
      </c>
      <c r="O716" s="530"/>
    </row>
    <row r="717" spans="1:30" ht="14.1" customHeight="1" x14ac:dyDescent="0.3">
      <c r="A717" s="184"/>
      <c r="B717" s="106" t="s">
        <v>233</v>
      </c>
      <c r="C717" s="1" t="s">
        <v>289</v>
      </c>
      <c r="D717" s="1"/>
      <c r="E717" s="1"/>
      <c r="F717" s="1"/>
      <c r="G717" s="1"/>
      <c r="H717" s="7"/>
      <c r="I717" s="234" t="s">
        <v>467</v>
      </c>
      <c r="J717" s="161">
        <v>3.3000000000000002E-2</v>
      </c>
      <c r="K717" s="142">
        <f>'UPAH BAHAN'!$H$25</f>
        <v>150000</v>
      </c>
      <c r="L717" s="100">
        <f>J717*K717</f>
        <v>4950</v>
      </c>
      <c r="M717" s="148" t="s">
        <v>233</v>
      </c>
      <c r="N717" s="101">
        <f t="shared" si="151"/>
        <v>4950</v>
      </c>
      <c r="O717" s="530"/>
    </row>
    <row r="718" spans="1:30" ht="14.1" customHeight="1" x14ac:dyDescent="0.3">
      <c r="A718" s="184"/>
      <c r="B718" s="1"/>
      <c r="C718" s="1"/>
      <c r="D718" s="1"/>
      <c r="E718" s="1"/>
      <c r="F718" s="1"/>
      <c r="G718" s="1"/>
      <c r="H718" s="7"/>
      <c r="I718" s="107"/>
      <c r="J718" s="107"/>
      <c r="K718" s="150" t="s">
        <v>245</v>
      </c>
      <c r="L718" s="107">
        <f>SUM(L709:L717)</f>
        <v>124245</v>
      </c>
      <c r="M718" s="108">
        <f>SUM(M709:M717)</f>
        <v>412090</v>
      </c>
      <c r="N718" s="109">
        <f>SUM(N709:N717)</f>
        <v>536335</v>
      </c>
      <c r="O718" s="530"/>
    </row>
    <row r="719" spans="1:30" ht="14.1" customHeight="1" x14ac:dyDescent="0.3">
      <c r="A719" s="184"/>
      <c r="B719" s="1"/>
      <c r="C719" s="1"/>
      <c r="D719" s="1"/>
      <c r="E719" s="1"/>
      <c r="F719" s="1"/>
      <c r="G719" s="1"/>
      <c r="H719" s="7"/>
      <c r="I719" s="100"/>
      <c r="J719" s="100"/>
      <c r="K719" s="289" t="s">
        <v>512</v>
      </c>
      <c r="L719" s="100"/>
      <c r="M719" s="99"/>
      <c r="N719" s="101">
        <f>N718*15%</f>
        <v>80450.25</v>
      </c>
      <c r="O719" s="530"/>
      <c r="P719" s="132"/>
      <c r="Q719" s="140"/>
      <c r="R719" s="133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8"/>
    </row>
    <row r="720" spans="1:30" ht="14.1" customHeight="1" x14ac:dyDescent="0.3">
      <c r="A720" s="186"/>
      <c r="B720" s="173"/>
      <c r="C720" s="173"/>
      <c r="D720" s="173"/>
      <c r="E720" s="173"/>
      <c r="F720" s="173"/>
      <c r="G720" s="173"/>
      <c r="H720" s="174"/>
      <c r="I720" s="175"/>
      <c r="J720" s="175"/>
      <c r="K720" s="176" t="s">
        <v>247</v>
      </c>
      <c r="L720" s="175"/>
      <c r="M720" s="177"/>
      <c r="N720" s="116">
        <f>N718+N719</f>
        <v>616785.25</v>
      </c>
      <c r="O720" s="530"/>
      <c r="P720" s="132"/>
      <c r="Q720" s="140"/>
      <c r="R720" s="133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8"/>
    </row>
    <row r="721" spans="1:30" ht="14.1" customHeight="1" x14ac:dyDescent="0.3">
      <c r="A721" s="183">
        <f>A708+1</f>
        <v>28</v>
      </c>
      <c r="B721" s="95" t="s">
        <v>304</v>
      </c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7"/>
      <c r="O721" s="533"/>
      <c r="P721" s="132"/>
      <c r="Q721" s="140"/>
      <c r="R721" s="133"/>
      <c r="S721" s="279"/>
      <c r="T721" s="279"/>
      <c r="U721" s="279"/>
      <c r="V721" s="279"/>
      <c r="W721" s="279"/>
      <c r="X721" s="279"/>
      <c r="Y721" s="279"/>
      <c r="Z721" s="279"/>
      <c r="AA721" s="279"/>
      <c r="AB721" s="279"/>
      <c r="AC721" s="279"/>
      <c r="AD721" s="280"/>
    </row>
    <row r="722" spans="1:30" ht="14.1" customHeight="1" x14ac:dyDescent="0.3">
      <c r="A722" s="184"/>
      <c r="B722" s="106" t="s">
        <v>233</v>
      </c>
      <c r="C722" s="1" t="s">
        <v>305</v>
      </c>
      <c r="D722" s="1"/>
      <c r="E722" s="1"/>
      <c r="F722" s="1"/>
      <c r="G722" s="1"/>
      <c r="H722" s="7"/>
      <c r="I722" s="141" t="s">
        <v>306</v>
      </c>
      <c r="J722" s="99">
        <v>3.8</v>
      </c>
      <c r="K722" s="142">
        <f>'UPAH BAHAN'!$H$59</f>
        <v>250000</v>
      </c>
      <c r="L722" s="171" t="s">
        <v>233</v>
      </c>
      <c r="M722" s="99">
        <f>J722*K722</f>
        <v>950000</v>
      </c>
      <c r="N722" s="101">
        <f>L722+M722</f>
        <v>950000</v>
      </c>
      <c r="O722" s="530"/>
      <c r="P722" s="132"/>
      <c r="Q722" s="140"/>
      <c r="R722" s="133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8"/>
    </row>
    <row r="723" spans="1:30" ht="14.1" customHeight="1" x14ac:dyDescent="0.3">
      <c r="A723" s="184"/>
      <c r="B723" s="106" t="s">
        <v>233</v>
      </c>
      <c r="C723" s="1" t="s">
        <v>301</v>
      </c>
      <c r="D723" s="1"/>
      <c r="E723" s="1"/>
      <c r="F723" s="1"/>
      <c r="G723" s="1"/>
      <c r="H723" s="7"/>
      <c r="I723" s="141" t="s">
        <v>28</v>
      </c>
      <c r="J723" s="99">
        <v>4</v>
      </c>
      <c r="K723" s="142">
        <f>'UPAH BAHAN'!$H$50</f>
        <v>12100</v>
      </c>
      <c r="L723" s="171" t="s">
        <v>233</v>
      </c>
      <c r="M723" s="99">
        <f>J723*K723</f>
        <v>48400</v>
      </c>
      <c r="N723" s="101">
        <f>L723+M723</f>
        <v>48400</v>
      </c>
      <c r="O723" s="530"/>
      <c r="P723" s="132"/>
      <c r="Q723" s="140"/>
      <c r="R723" s="133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8"/>
    </row>
    <row r="724" spans="1:30" ht="14.1" customHeight="1" x14ac:dyDescent="0.3">
      <c r="A724" s="184"/>
      <c r="B724" s="106" t="s">
        <v>233</v>
      </c>
      <c r="C724" s="1" t="s">
        <v>300</v>
      </c>
      <c r="D724" s="1"/>
      <c r="E724" s="1"/>
      <c r="F724" s="1"/>
      <c r="G724" s="1"/>
      <c r="H724" s="7"/>
      <c r="I724" s="141" t="s">
        <v>148</v>
      </c>
      <c r="J724" s="99">
        <v>0.4</v>
      </c>
      <c r="K724" s="142">
        <f>'UPAH BAHAN'!$H$54</f>
        <v>1800000</v>
      </c>
      <c r="L724" s="171" t="s">
        <v>233</v>
      </c>
      <c r="M724" s="99">
        <f>J724*K724</f>
        <v>720000</v>
      </c>
      <c r="N724" s="101">
        <f>L724+M724</f>
        <v>720000</v>
      </c>
      <c r="O724" s="530"/>
      <c r="P724" s="132"/>
      <c r="Q724" s="140"/>
      <c r="R724" s="133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8"/>
    </row>
    <row r="725" spans="1:30" ht="14.1" customHeight="1" x14ac:dyDescent="0.3">
      <c r="A725" s="184"/>
      <c r="B725" s="1"/>
      <c r="C725" s="1"/>
      <c r="D725" s="1"/>
      <c r="E725" s="1"/>
      <c r="F725" s="1"/>
      <c r="G725" s="1"/>
      <c r="H725" s="7"/>
      <c r="I725" s="187"/>
      <c r="J725" s="107"/>
      <c r="K725" s="150" t="s">
        <v>245</v>
      </c>
      <c r="L725" s="188" t="s">
        <v>233</v>
      </c>
      <c r="M725" s="108">
        <f>SUM(M722:M724)</f>
        <v>1718400</v>
      </c>
      <c r="N725" s="109">
        <f>L725+M725</f>
        <v>1718400</v>
      </c>
      <c r="O725" s="530"/>
      <c r="P725" s="132"/>
      <c r="Q725" s="140"/>
      <c r="R725" s="133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8"/>
    </row>
    <row r="726" spans="1:30" ht="14.1" customHeight="1" x14ac:dyDescent="0.3">
      <c r="A726" s="184"/>
      <c r="B726" s="1"/>
      <c r="C726" s="1"/>
      <c r="D726" s="1"/>
      <c r="E726" s="1"/>
      <c r="F726" s="1"/>
      <c r="G726" s="1"/>
      <c r="H726" s="7"/>
      <c r="I726" s="189"/>
      <c r="J726" s="190"/>
      <c r="K726" s="191" t="s">
        <v>307</v>
      </c>
      <c r="L726" s="192" t="s">
        <v>233</v>
      </c>
      <c r="M726" s="115">
        <f>M725/2</f>
        <v>859200</v>
      </c>
      <c r="N726" s="116">
        <f>N725/2</f>
        <v>859200</v>
      </c>
      <c r="O726" s="530"/>
      <c r="P726" s="132"/>
      <c r="Q726" s="140"/>
      <c r="R726" s="133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8"/>
    </row>
    <row r="727" spans="1:30" ht="14.1" customHeight="1" thickBot="1" x14ac:dyDescent="0.35">
      <c r="A727" s="184"/>
      <c r="B727" s="106" t="s">
        <v>233</v>
      </c>
      <c r="C727" s="1" t="s">
        <v>128</v>
      </c>
      <c r="D727" s="1"/>
      <c r="E727" s="1"/>
      <c r="F727" s="1"/>
      <c r="G727" s="1"/>
      <c r="H727" s="7"/>
      <c r="I727" s="1"/>
      <c r="J727" s="161">
        <v>1.2</v>
      </c>
      <c r="K727" s="142">
        <f>'UPAH BAHAN'!$H$19</f>
        <v>105000</v>
      </c>
      <c r="L727" s="100">
        <f>J727*K727</f>
        <v>126000</v>
      </c>
      <c r="M727" s="148" t="s">
        <v>233</v>
      </c>
      <c r="N727" s="101">
        <f>L727+M727</f>
        <v>126000</v>
      </c>
      <c r="O727" s="534"/>
      <c r="P727" s="164"/>
      <c r="Q727" s="165"/>
      <c r="R727" s="166"/>
      <c r="S727" s="167"/>
      <c r="T727" s="167"/>
      <c r="U727" s="167"/>
      <c r="V727" s="167"/>
      <c r="W727" s="168"/>
      <c r="X727" s="168"/>
      <c r="Y727" s="167"/>
      <c r="Z727" s="167"/>
      <c r="AA727" s="167"/>
      <c r="AB727" s="167"/>
      <c r="AC727" s="167"/>
      <c r="AD727" s="169"/>
    </row>
    <row r="728" spans="1:30" ht="14.1" customHeight="1" thickBot="1" x14ac:dyDescent="0.35">
      <c r="A728" s="184"/>
      <c r="B728" s="106" t="s">
        <v>233</v>
      </c>
      <c r="C728" s="1" t="s">
        <v>134</v>
      </c>
      <c r="D728" s="1"/>
      <c r="E728" s="1"/>
      <c r="F728" s="1"/>
      <c r="G728" s="1"/>
      <c r="H728" s="7"/>
      <c r="I728" s="1"/>
      <c r="J728" s="161">
        <v>0.06</v>
      </c>
      <c r="K728" s="142">
        <f>'UPAH BAHAN'!$H$24</f>
        <v>165000</v>
      </c>
      <c r="L728" s="100">
        <f>J728*K728</f>
        <v>9900</v>
      </c>
      <c r="M728" s="148" t="s">
        <v>233</v>
      </c>
      <c r="N728" s="101">
        <f>L728+M728</f>
        <v>9900</v>
      </c>
      <c r="O728" s="530"/>
      <c r="P728" s="151"/>
      <c r="Q728" s="152"/>
      <c r="R728" s="152">
        <f t="shared" ref="R728:AC728" si="153">SUM(R721:R727)</f>
        <v>0</v>
      </c>
      <c r="S728" s="152">
        <f t="shared" si="153"/>
        <v>0</v>
      </c>
      <c r="T728" s="152">
        <f t="shared" si="153"/>
        <v>0</v>
      </c>
      <c r="U728" s="152">
        <f t="shared" si="153"/>
        <v>0</v>
      </c>
      <c r="V728" s="152">
        <f t="shared" si="153"/>
        <v>0</v>
      </c>
      <c r="W728" s="152">
        <f t="shared" si="153"/>
        <v>0</v>
      </c>
      <c r="X728" s="152">
        <f t="shared" si="153"/>
        <v>0</v>
      </c>
      <c r="Y728" s="152">
        <f t="shared" si="153"/>
        <v>0</v>
      </c>
      <c r="Z728" s="152">
        <f t="shared" si="153"/>
        <v>0</v>
      </c>
      <c r="AA728" s="152">
        <f t="shared" si="153"/>
        <v>0</v>
      </c>
      <c r="AB728" s="152">
        <f t="shared" si="153"/>
        <v>0</v>
      </c>
      <c r="AC728" s="152">
        <f t="shared" si="153"/>
        <v>0</v>
      </c>
      <c r="AD728" s="153"/>
    </row>
    <row r="729" spans="1:30" ht="14.1" customHeight="1" x14ac:dyDescent="0.3">
      <c r="A729" s="184"/>
      <c r="B729" s="106" t="s">
        <v>233</v>
      </c>
      <c r="C729" s="1" t="s">
        <v>131</v>
      </c>
      <c r="D729" s="1"/>
      <c r="E729" s="1"/>
      <c r="F729" s="1"/>
      <c r="G729" s="1"/>
      <c r="H729" s="7"/>
      <c r="I729" s="1"/>
      <c r="J729" s="161">
        <v>1.5</v>
      </c>
      <c r="K729" s="142">
        <f>'UPAH BAHAN'!$H$21</f>
        <v>135000</v>
      </c>
      <c r="L729" s="100">
        <f>J729*K729</f>
        <v>202500</v>
      </c>
      <c r="M729" s="148" t="s">
        <v>233</v>
      </c>
      <c r="N729" s="101">
        <f>L729+M729</f>
        <v>202500</v>
      </c>
      <c r="O729" s="530"/>
    </row>
    <row r="730" spans="1:30" ht="14.1" customHeight="1" x14ac:dyDescent="0.3">
      <c r="A730" s="184"/>
      <c r="B730" s="106" t="s">
        <v>233</v>
      </c>
      <c r="C730" s="1" t="s">
        <v>289</v>
      </c>
      <c r="D730" s="1"/>
      <c r="E730" s="1"/>
      <c r="F730" s="1"/>
      <c r="G730" s="1"/>
      <c r="H730" s="7"/>
      <c r="I730" s="1"/>
      <c r="J730" s="161">
        <v>1.4999999999999999E-2</v>
      </c>
      <c r="K730" s="142">
        <f>'UPAH BAHAN'!$H$25</f>
        <v>150000</v>
      </c>
      <c r="L730" s="100">
        <f>J730*K730</f>
        <v>2250</v>
      </c>
      <c r="M730" s="148" t="s">
        <v>233</v>
      </c>
      <c r="N730" s="101">
        <f>L730+M730</f>
        <v>2250</v>
      </c>
      <c r="O730" s="530"/>
    </row>
    <row r="731" spans="1:30" ht="14.1" customHeight="1" x14ac:dyDescent="0.3">
      <c r="A731" s="184"/>
      <c r="B731" s="106" t="s">
        <v>233</v>
      </c>
      <c r="C731" s="1" t="s">
        <v>302</v>
      </c>
      <c r="D731" s="1"/>
      <c r="E731" s="1"/>
      <c r="F731" s="1"/>
      <c r="G731" s="1"/>
      <c r="H731" s="7"/>
      <c r="I731" s="1"/>
      <c r="J731" s="193">
        <v>1</v>
      </c>
      <c r="K731" s="142">
        <f>'UPAH BAHAN'!$H$19</f>
        <v>105000</v>
      </c>
      <c r="L731" s="100">
        <f>J731*K731</f>
        <v>105000</v>
      </c>
      <c r="M731" s="148" t="s">
        <v>233</v>
      </c>
      <c r="N731" s="101">
        <f>L731+M731</f>
        <v>105000</v>
      </c>
      <c r="O731" s="530"/>
    </row>
    <row r="732" spans="1:30" ht="14.1" customHeight="1" x14ac:dyDescent="0.3">
      <c r="A732" s="184"/>
      <c r="B732" s="1"/>
      <c r="C732" s="1"/>
      <c r="D732" s="1"/>
      <c r="E732" s="1"/>
      <c r="F732" s="1"/>
      <c r="G732" s="1"/>
      <c r="H732" s="7"/>
      <c r="I732" s="107"/>
      <c r="J732" s="107"/>
      <c r="K732" s="150" t="s">
        <v>245</v>
      </c>
      <c r="L732" s="107">
        <f>SUM(L727:L731)</f>
        <v>445650</v>
      </c>
      <c r="M732" s="108">
        <f>SUM(M726:M731)</f>
        <v>859200</v>
      </c>
      <c r="N732" s="109">
        <f>SUM(N726:N731)</f>
        <v>1304850</v>
      </c>
      <c r="O732" s="530"/>
    </row>
    <row r="733" spans="1:30" ht="14.1" customHeight="1" x14ac:dyDescent="0.3">
      <c r="A733" s="184"/>
      <c r="B733" s="1"/>
      <c r="C733" s="1"/>
      <c r="D733" s="1"/>
      <c r="E733" s="1"/>
      <c r="F733" s="1"/>
      <c r="G733" s="1"/>
      <c r="H733" s="7"/>
      <c r="I733" s="100"/>
      <c r="J733" s="100"/>
      <c r="K733" s="185" t="s">
        <v>303</v>
      </c>
      <c r="L733" s="100">
        <f>L732/10</f>
        <v>44565</v>
      </c>
      <c r="M733" s="99">
        <f>M732/10</f>
        <v>85920</v>
      </c>
      <c r="N733" s="101">
        <f>N732/10</f>
        <v>130485</v>
      </c>
      <c r="O733" s="530"/>
    </row>
    <row r="734" spans="1:30" ht="14.1" customHeight="1" x14ac:dyDescent="0.3">
      <c r="A734" s="184"/>
      <c r="B734" s="1"/>
      <c r="C734" s="1"/>
      <c r="D734" s="1"/>
      <c r="E734" s="1"/>
      <c r="F734" s="1"/>
      <c r="G734" s="1"/>
      <c r="H734" s="7"/>
      <c r="I734" s="100"/>
      <c r="J734" s="100"/>
      <c r="K734" s="289" t="s">
        <v>512</v>
      </c>
      <c r="L734" s="100"/>
      <c r="M734" s="99"/>
      <c r="N734" s="101">
        <f>N733*15%</f>
        <v>19572.75</v>
      </c>
      <c r="O734" s="530"/>
    </row>
    <row r="735" spans="1:30" ht="14.1" customHeight="1" x14ac:dyDescent="0.3">
      <c r="A735" s="184"/>
      <c r="B735" s="1"/>
      <c r="C735" s="1"/>
      <c r="D735" s="1"/>
      <c r="E735" s="1"/>
      <c r="F735" s="1"/>
      <c r="G735" s="1"/>
      <c r="H735" s="7"/>
      <c r="I735" s="100"/>
      <c r="J735" s="100"/>
      <c r="K735" s="154" t="s">
        <v>247</v>
      </c>
      <c r="L735" s="100"/>
      <c r="M735" s="148"/>
      <c r="N735" s="101">
        <f>N733+N734</f>
        <v>150057.75</v>
      </c>
      <c r="O735" s="530"/>
    </row>
    <row r="736" spans="1:30" ht="14.1" customHeight="1" thickBot="1" x14ac:dyDescent="0.35">
      <c r="A736" s="178"/>
      <c r="B736" s="179"/>
      <c r="C736" s="179"/>
      <c r="D736" s="179"/>
      <c r="E736" s="179"/>
      <c r="F736" s="179"/>
      <c r="G736" s="179"/>
      <c r="H736" s="180"/>
      <c r="I736" s="194"/>
      <c r="J736" s="181"/>
      <c r="K736" s="180"/>
      <c r="L736" s="180"/>
      <c r="M736" s="180"/>
      <c r="N736" s="182"/>
      <c r="O736" s="530"/>
    </row>
    <row r="737" spans="1:30" ht="14.1" customHeight="1" thickBot="1" x14ac:dyDescent="0.35">
      <c r="A737" s="106"/>
      <c r="B737" s="1"/>
      <c r="C737" s="1"/>
      <c r="D737" s="1"/>
      <c r="E737" s="1"/>
      <c r="F737" s="1"/>
      <c r="G737" s="1"/>
      <c r="H737" s="1"/>
      <c r="I737" s="1"/>
      <c r="J737" s="100"/>
      <c r="K737" s="100"/>
      <c r="L737" s="100"/>
      <c r="M737" s="100"/>
      <c r="N737" s="100"/>
      <c r="O737" s="530"/>
    </row>
    <row r="738" spans="1:30" ht="14.1" customHeight="1" thickBot="1" x14ac:dyDescent="0.35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3" t="s">
        <v>308</v>
      </c>
      <c r="O738" s="530"/>
      <c r="P738" s="156" t="str">
        <f>B1044</f>
        <v>1 Bh pipa dinding GI dia. 2" - 50 cm drat ganda</v>
      </c>
      <c r="Q738" s="157"/>
      <c r="R738" s="158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60"/>
    </row>
    <row r="739" spans="1:30" ht="14.1" customHeight="1" x14ac:dyDescent="0.3">
      <c r="A739" s="1589" t="s">
        <v>9</v>
      </c>
      <c r="B739" s="1592" t="s">
        <v>10</v>
      </c>
      <c r="C739" s="1592"/>
      <c r="D739" s="1592"/>
      <c r="E739" s="1592"/>
      <c r="F739" s="1592"/>
      <c r="G739" s="1592"/>
      <c r="H739" s="1593"/>
      <c r="I739" s="1543" t="s">
        <v>210</v>
      </c>
      <c r="J739" s="1543" t="s">
        <v>211</v>
      </c>
      <c r="K739" s="73" t="s">
        <v>212</v>
      </c>
      <c r="L739" s="1598" t="s">
        <v>12</v>
      </c>
      <c r="M739" s="1599"/>
      <c r="N739" s="1600"/>
      <c r="O739" s="530"/>
      <c r="P739" s="132"/>
      <c r="Q739" s="140"/>
      <c r="R739" s="133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8"/>
    </row>
    <row r="740" spans="1:30" ht="14.1" customHeight="1" x14ac:dyDescent="0.3">
      <c r="A740" s="1590"/>
      <c r="B740" s="1594"/>
      <c r="C740" s="1594"/>
      <c r="D740" s="1594"/>
      <c r="E740" s="1594"/>
      <c r="F740" s="1594"/>
      <c r="G740" s="1594"/>
      <c r="H740" s="1595"/>
      <c r="I740" s="1544"/>
      <c r="J740" s="1544"/>
      <c r="K740" s="75" t="s">
        <v>11</v>
      </c>
      <c r="L740" s="75" t="s">
        <v>217</v>
      </c>
      <c r="M740" s="75" t="s">
        <v>218</v>
      </c>
      <c r="N740" s="76" t="s">
        <v>219</v>
      </c>
      <c r="O740" s="530"/>
      <c r="P740" s="132"/>
      <c r="Q740" s="140"/>
      <c r="R740" s="133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8"/>
    </row>
    <row r="741" spans="1:30" ht="14.1" customHeight="1" x14ac:dyDescent="0.3">
      <c r="A741" s="1591"/>
      <c r="B741" s="1596"/>
      <c r="C741" s="1596"/>
      <c r="D741" s="1596"/>
      <c r="E741" s="1596"/>
      <c r="F741" s="1596"/>
      <c r="G741" s="1596"/>
      <c r="H741" s="1597"/>
      <c r="I741" s="1545"/>
      <c r="J741" s="1545"/>
      <c r="K741" s="81" t="s">
        <v>228</v>
      </c>
      <c r="L741" s="81" t="s">
        <v>228</v>
      </c>
      <c r="M741" s="81" t="s">
        <v>228</v>
      </c>
      <c r="N741" s="82" t="s">
        <v>228</v>
      </c>
      <c r="O741" s="530"/>
      <c r="P741" s="132"/>
      <c r="Q741" s="140"/>
      <c r="R741" s="133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8"/>
    </row>
    <row r="742" spans="1:30" ht="14.1" customHeight="1" x14ac:dyDescent="0.3">
      <c r="A742" s="86"/>
      <c r="B742" s="12"/>
      <c r="C742" s="12"/>
      <c r="D742" s="12"/>
      <c r="E742" s="12"/>
      <c r="F742" s="12"/>
      <c r="G742" s="12"/>
      <c r="H742" s="75"/>
      <c r="I742" s="12"/>
      <c r="J742" s="87"/>
      <c r="K742" s="75"/>
      <c r="L742" s="75"/>
      <c r="M742" s="75"/>
      <c r="N742" s="88"/>
      <c r="O742" s="530"/>
      <c r="P742" s="132"/>
      <c r="Q742" s="140"/>
      <c r="R742" s="133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8"/>
    </row>
    <row r="743" spans="1:30" ht="14.1" customHeight="1" x14ac:dyDescent="0.3">
      <c r="A743" s="247">
        <f>A721+1</f>
        <v>29</v>
      </c>
      <c r="B743" s="236" t="s">
        <v>309</v>
      </c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7"/>
      <c r="O743" s="530"/>
      <c r="P743" s="132"/>
      <c r="Q743" s="140"/>
      <c r="R743" s="133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8"/>
    </row>
    <row r="744" spans="1:30" ht="14.1" customHeight="1" x14ac:dyDescent="0.3">
      <c r="A744" s="184"/>
      <c r="B744" s="106" t="s">
        <v>231</v>
      </c>
      <c r="C744" s="1" t="s">
        <v>310</v>
      </c>
      <c r="D744" s="1"/>
      <c r="E744" s="1"/>
      <c r="F744" s="1"/>
      <c r="G744" s="1"/>
      <c r="H744" s="7"/>
      <c r="I744" s="141"/>
      <c r="J744" s="99"/>
      <c r="K744" s="7"/>
      <c r="L744" s="1"/>
      <c r="M744" s="6"/>
      <c r="N744" s="195"/>
      <c r="O744" s="530"/>
      <c r="P744" s="132"/>
      <c r="Q744" s="140"/>
      <c r="R744" s="133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8"/>
    </row>
    <row r="745" spans="1:30" ht="14.1" customHeight="1" x14ac:dyDescent="0.3">
      <c r="A745" s="184"/>
      <c r="B745" s="106"/>
      <c r="C745" s="105" t="s">
        <v>311</v>
      </c>
      <c r="D745" s="1"/>
      <c r="E745" s="1"/>
      <c r="F745" s="1"/>
      <c r="G745" s="1"/>
      <c r="H745" s="7"/>
      <c r="I745" s="141" t="s">
        <v>148</v>
      </c>
      <c r="J745" s="99">
        <v>1</v>
      </c>
      <c r="K745" s="142">
        <f>$L$538</f>
        <v>41560</v>
      </c>
      <c r="L745" s="100">
        <f>J745*K745</f>
        <v>41560</v>
      </c>
      <c r="M745" s="104" t="s">
        <v>233</v>
      </c>
      <c r="N745" s="101">
        <f>L745+M745</f>
        <v>41560</v>
      </c>
      <c r="O745" s="530"/>
      <c r="P745" s="132"/>
      <c r="Q745" s="140"/>
      <c r="R745" s="133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8"/>
    </row>
    <row r="746" spans="1:30" ht="14.1" customHeight="1" thickBot="1" x14ac:dyDescent="0.35">
      <c r="A746" s="184"/>
      <c r="B746" s="106"/>
      <c r="C746" s="105" t="s">
        <v>312</v>
      </c>
      <c r="D746" s="1"/>
      <c r="E746" s="1"/>
      <c r="F746" s="1"/>
      <c r="G746" s="1"/>
      <c r="H746" s="7"/>
      <c r="I746" s="141" t="s">
        <v>148</v>
      </c>
      <c r="J746" s="99">
        <v>1</v>
      </c>
      <c r="K746" s="142">
        <f>M586</f>
        <v>644862.85714285716</v>
      </c>
      <c r="L746" s="118" t="s">
        <v>233</v>
      </c>
      <c r="M746" s="99">
        <f>J746*K746</f>
        <v>644862.85714285716</v>
      </c>
      <c r="N746" s="101">
        <f>L746+M746</f>
        <v>644862.85714285716</v>
      </c>
      <c r="O746" s="534"/>
      <c r="P746" s="164"/>
      <c r="Q746" s="165"/>
      <c r="R746" s="166"/>
      <c r="S746" s="167"/>
      <c r="T746" s="167"/>
      <c r="U746" s="167"/>
      <c r="V746" s="167"/>
      <c r="W746" s="168"/>
      <c r="X746" s="168"/>
      <c r="Y746" s="167"/>
      <c r="Z746" s="167"/>
      <c r="AA746" s="167"/>
      <c r="AB746" s="167"/>
      <c r="AC746" s="167"/>
      <c r="AD746" s="169"/>
    </row>
    <row r="747" spans="1:30" ht="14.1" customHeight="1" thickBot="1" x14ac:dyDescent="0.35">
      <c r="A747" s="184"/>
      <c r="B747" s="106" t="s">
        <v>234</v>
      </c>
      <c r="C747" s="1" t="s">
        <v>27</v>
      </c>
      <c r="D747" s="1"/>
      <c r="E747" s="1"/>
      <c r="F747" s="1"/>
      <c r="G747" s="1"/>
      <c r="H747" s="7"/>
      <c r="I747" s="141"/>
      <c r="J747" s="99"/>
      <c r="K747" s="142"/>
      <c r="L747" s="100"/>
      <c r="M747" s="99"/>
      <c r="N747" s="101"/>
      <c r="O747" s="530"/>
      <c r="P747" s="151"/>
      <c r="Q747" s="152"/>
      <c r="R747" s="152">
        <f t="shared" ref="R747:AC747" si="154">SUM(R739:R746)</f>
        <v>0</v>
      </c>
      <c r="S747" s="152">
        <f t="shared" si="154"/>
        <v>0</v>
      </c>
      <c r="T747" s="152">
        <f t="shared" si="154"/>
        <v>0</v>
      </c>
      <c r="U747" s="152">
        <f t="shared" si="154"/>
        <v>0</v>
      </c>
      <c r="V747" s="152">
        <f t="shared" si="154"/>
        <v>0</v>
      </c>
      <c r="W747" s="152">
        <f t="shared" si="154"/>
        <v>0</v>
      </c>
      <c r="X747" s="152">
        <f t="shared" si="154"/>
        <v>0</v>
      </c>
      <c r="Y747" s="152">
        <f t="shared" si="154"/>
        <v>0</v>
      </c>
      <c r="Z747" s="152">
        <f t="shared" si="154"/>
        <v>0</v>
      </c>
      <c r="AA747" s="152">
        <f t="shared" si="154"/>
        <v>0</v>
      </c>
      <c r="AB747" s="152">
        <f t="shared" si="154"/>
        <v>0</v>
      </c>
      <c r="AC747" s="152">
        <f t="shared" si="154"/>
        <v>0</v>
      </c>
      <c r="AD747" s="153"/>
    </row>
    <row r="748" spans="1:30" ht="14.1" customHeight="1" x14ac:dyDescent="0.3">
      <c r="A748" s="184"/>
      <c r="B748" s="106"/>
      <c r="C748" s="105" t="s">
        <v>311</v>
      </c>
      <c r="D748" s="1"/>
      <c r="E748" s="1"/>
      <c r="F748" s="1"/>
      <c r="G748" s="1"/>
      <c r="H748" s="7"/>
      <c r="I748" s="141" t="s">
        <v>28</v>
      </c>
      <c r="J748" s="99">
        <v>106.2</v>
      </c>
      <c r="K748" s="142">
        <f>$L$658</f>
        <v>4781.5</v>
      </c>
      <c r="L748" s="100">
        <f>J748*K748</f>
        <v>507795.3</v>
      </c>
      <c r="M748" s="104" t="s">
        <v>233</v>
      </c>
      <c r="N748" s="101">
        <f>L748+M748</f>
        <v>507795.3</v>
      </c>
      <c r="O748" s="530"/>
    </row>
    <row r="749" spans="1:30" ht="14.1" customHeight="1" thickBot="1" x14ac:dyDescent="0.35">
      <c r="A749" s="184"/>
      <c r="B749" s="106"/>
      <c r="C749" s="105" t="s">
        <v>312</v>
      </c>
      <c r="D749" s="1"/>
      <c r="E749" s="1"/>
      <c r="F749" s="1"/>
      <c r="G749" s="1"/>
      <c r="H749" s="7"/>
      <c r="I749" s="141" t="s">
        <v>28</v>
      </c>
      <c r="J749" s="99">
        <v>106.2</v>
      </c>
      <c r="K749" s="142">
        <f>$M$658</f>
        <v>12281</v>
      </c>
      <c r="L749" s="118" t="s">
        <v>233</v>
      </c>
      <c r="M749" s="99">
        <f>J749*K749</f>
        <v>1304242.2</v>
      </c>
      <c r="N749" s="101">
        <f>L749+M749</f>
        <v>1304242.2</v>
      </c>
      <c r="O749" s="530"/>
    </row>
    <row r="750" spans="1:30" ht="14.1" customHeight="1" thickBot="1" x14ac:dyDescent="0.35">
      <c r="A750" s="184"/>
      <c r="B750" s="106" t="s">
        <v>251</v>
      </c>
      <c r="C750" s="1" t="s">
        <v>313</v>
      </c>
      <c r="D750" s="1"/>
      <c r="E750" s="1"/>
      <c r="F750" s="1"/>
      <c r="G750" s="1"/>
      <c r="H750" s="7"/>
      <c r="I750" s="141"/>
      <c r="J750" s="99"/>
      <c r="K750" s="142"/>
      <c r="L750" s="100"/>
      <c r="M750" s="99"/>
      <c r="N750" s="101"/>
      <c r="O750" s="530"/>
      <c r="P750" s="156" t="str">
        <f>B1056</f>
        <v>Pemasangan 1 m' Pipa PVC dia. 1/2"</v>
      </c>
      <c r="Q750" s="157"/>
      <c r="R750" s="158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60"/>
    </row>
    <row r="751" spans="1:30" ht="14.1" customHeight="1" x14ac:dyDescent="0.3">
      <c r="A751" s="184"/>
      <c r="B751" s="106"/>
      <c r="C751" s="105" t="s">
        <v>311</v>
      </c>
      <c r="D751" s="1"/>
      <c r="E751" s="1"/>
      <c r="F751" s="1"/>
      <c r="G751" s="1"/>
      <c r="H751" s="7"/>
      <c r="I751" s="141" t="s">
        <v>314</v>
      </c>
      <c r="J751" s="99">
        <v>1.5</v>
      </c>
      <c r="K751" s="142">
        <f>L733</f>
        <v>44565</v>
      </c>
      <c r="L751" s="100">
        <f>J751*K751</f>
        <v>66847.5</v>
      </c>
      <c r="M751" s="104" t="s">
        <v>233</v>
      </c>
      <c r="N751" s="101">
        <f>L751+M751</f>
        <v>66847.5</v>
      </c>
      <c r="O751" s="530"/>
      <c r="P751" s="132"/>
      <c r="Q751" s="140"/>
      <c r="R751" s="133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8"/>
    </row>
    <row r="752" spans="1:30" ht="14.1" customHeight="1" x14ac:dyDescent="0.3">
      <c r="A752" s="184"/>
      <c r="B752" s="106"/>
      <c r="C752" s="105" t="s">
        <v>312</v>
      </c>
      <c r="D752" s="1"/>
      <c r="E752" s="1"/>
      <c r="F752" s="1"/>
      <c r="G752" s="1"/>
      <c r="H752" s="7"/>
      <c r="I752" s="141" t="s">
        <v>314</v>
      </c>
      <c r="J752" s="99">
        <v>1.5</v>
      </c>
      <c r="K752" s="142">
        <f>M733</f>
        <v>85920</v>
      </c>
      <c r="L752" s="118" t="s">
        <v>233</v>
      </c>
      <c r="M752" s="99">
        <f>J752*K752</f>
        <v>128880</v>
      </c>
      <c r="N752" s="101">
        <f>L752+M752</f>
        <v>128880</v>
      </c>
      <c r="O752" s="530"/>
      <c r="P752" s="132"/>
      <c r="Q752" s="140"/>
      <c r="R752" s="133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8"/>
    </row>
    <row r="753" spans="1:30" ht="14.1" customHeight="1" thickBot="1" x14ac:dyDescent="0.35">
      <c r="A753" s="184"/>
      <c r="B753" s="1"/>
      <c r="C753" s="1"/>
      <c r="D753" s="1"/>
      <c r="E753" s="1"/>
      <c r="F753" s="1"/>
      <c r="G753" s="1"/>
      <c r="H753" s="7"/>
      <c r="I753" s="107"/>
      <c r="J753" s="107"/>
      <c r="K753" s="150" t="s">
        <v>245</v>
      </c>
      <c r="L753" s="108">
        <f>SUM(L745:L752)</f>
        <v>616202.80000000005</v>
      </c>
      <c r="M753" s="108">
        <f>SUM(M745:M752)</f>
        <v>2077985.057142857</v>
      </c>
      <c r="N753" s="196">
        <f>SUM(N745:N752)</f>
        <v>2694187.8571428573</v>
      </c>
      <c r="O753" s="530"/>
      <c r="P753" s="164"/>
      <c r="Q753" s="165"/>
      <c r="R753" s="166"/>
      <c r="S753" s="167"/>
      <c r="T753" s="167"/>
      <c r="U753" s="167"/>
      <c r="V753" s="167"/>
      <c r="W753" s="168"/>
      <c r="X753" s="168"/>
      <c r="Y753" s="167"/>
      <c r="Z753" s="167"/>
      <c r="AA753" s="167"/>
      <c r="AB753" s="167"/>
      <c r="AC753" s="167"/>
      <c r="AD753" s="169"/>
    </row>
    <row r="754" spans="1:30" ht="14.1" customHeight="1" thickBot="1" x14ac:dyDescent="0.35">
      <c r="A754" s="184"/>
      <c r="B754" s="1"/>
      <c r="C754" s="1"/>
      <c r="D754" s="1"/>
      <c r="E754" s="1"/>
      <c r="F754" s="1"/>
      <c r="G754" s="1"/>
      <c r="H754" s="7"/>
      <c r="I754" s="100"/>
      <c r="J754" s="100"/>
      <c r="K754" s="154" t="s">
        <v>512</v>
      </c>
      <c r="L754" s="100"/>
      <c r="M754" s="99"/>
      <c r="N754" s="101">
        <f>N753*15%</f>
        <v>404128.17857142858</v>
      </c>
      <c r="O754" s="530"/>
      <c r="P754" s="151"/>
      <c r="Q754" s="152"/>
      <c r="R754" s="152">
        <f t="shared" ref="R754:AC754" si="155">SUM(R751:R753)</f>
        <v>0</v>
      </c>
      <c r="S754" s="152">
        <f t="shared" si="155"/>
        <v>0</v>
      </c>
      <c r="T754" s="152">
        <f t="shared" si="155"/>
        <v>0</v>
      </c>
      <c r="U754" s="152">
        <f t="shared" si="155"/>
        <v>0</v>
      </c>
      <c r="V754" s="152">
        <f t="shared" si="155"/>
        <v>0</v>
      </c>
      <c r="W754" s="152">
        <f t="shared" si="155"/>
        <v>0</v>
      </c>
      <c r="X754" s="152">
        <f t="shared" si="155"/>
        <v>0</v>
      </c>
      <c r="Y754" s="152">
        <f t="shared" si="155"/>
        <v>0</v>
      </c>
      <c r="Z754" s="152">
        <f t="shared" si="155"/>
        <v>0</v>
      </c>
      <c r="AA754" s="152">
        <f t="shared" si="155"/>
        <v>0</v>
      </c>
      <c r="AB754" s="152">
        <f t="shared" si="155"/>
        <v>0</v>
      </c>
      <c r="AC754" s="152">
        <f t="shared" si="155"/>
        <v>0</v>
      </c>
      <c r="AD754" s="153"/>
    </row>
    <row r="755" spans="1:30" ht="14.1" customHeight="1" x14ac:dyDescent="0.3">
      <c r="A755" s="184"/>
      <c r="B755" s="1"/>
      <c r="C755" s="1"/>
      <c r="D755" s="1"/>
      <c r="E755" s="1"/>
      <c r="F755" s="1"/>
      <c r="G755" s="1"/>
      <c r="H755" s="7"/>
      <c r="I755" s="100"/>
      <c r="J755" s="100"/>
      <c r="K755" s="154" t="s">
        <v>247</v>
      </c>
      <c r="L755" s="100"/>
      <c r="M755" s="148"/>
      <c r="N755" s="101">
        <f>N753+N754</f>
        <v>3098316.0357142859</v>
      </c>
      <c r="O755" s="530"/>
    </row>
    <row r="756" spans="1:30" ht="14.1" customHeight="1" x14ac:dyDescent="0.3">
      <c r="A756" s="247">
        <f>A743+1</f>
        <v>30</v>
      </c>
      <c r="B756" s="236" t="s">
        <v>315</v>
      </c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7"/>
      <c r="O756" s="530"/>
    </row>
    <row r="757" spans="1:30" ht="14.1" customHeight="1" thickBot="1" x14ac:dyDescent="0.35">
      <c r="A757" s="184"/>
      <c r="B757" s="106" t="s">
        <v>231</v>
      </c>
      <c r="C757" s="1" t="s">
        <v>310</v>
      </c>
      <c r="D757" s="1"/>
      <c r="E757" s="1"/>
      <c r="F757" s="1"/>
      <c r="G757" s="1"/>
      <c r="H757" s="7"/>
      <c r="I757" s="1"/>
      <c r="J757" s="6"/>
      <c r="K757" s="7"/>
      <c r="L757" s="1"/>
      <c r="M757" s="6"/>
      <c r="N757" s="195"/>
      <c r="O757" s="530"/>
    </row>
    <row r="758" spans="1:30" ht="14.1" customHeight="1" thickBot="1" x14ac:dyDescent="0.35">
      <c r="A758" s="184"/>
      <c r="B758" s="106"/>
      <c r="C758" s="105" t="s">
        <v>311</v>
      </c>
      <c r="D758" s="1"/>
      <c r="E758" s="1"/>
      <c r="F758" s="1"/>
      <c r="G758" s="1"/>
      <c r="H758" s="7"/>
      <c r="I758" s="141" t="s">
        <v>148</v>
      </c>
      <c r="J758" s="99">
        <v>1</v>
      </c>
      <c r="K758" s="142">
        <f>$L$538</f>
        <v>41560</v>
      </c>
      <c r="L758" s="100">
        <f>J758*K758</f>
        <v>41560</v>
      </c>
      <c r="M758" s="104" t="s">
        <v>233</v>
      </c>
      <c r="N758" s="101">
        <f>L758+M758</f>
        <v>41560</v>
      </c>
      <c r="O758" s="530"/>
      <c r="P758" s="156" t="str">
        <f>B1136</f>
        <v>Pemasangan 1 m' Pipa PVC dia. 3/4"</v>
      </c>
      <c r="Q758" s="157"/>
      <c r="R758" s="158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60"/>
    </row>
    <row r="759" spans="1:30" ht="14.1" customHeight="1" x14ac:dyDescent="0.3">
      <c r="A759" s="184"/>
      <c r="B759" s="106"/>
      <c r="C759" s="105" t="s">
        <v>312</v>
      </c>
      <c r="D759" s="1"/>
      <c r="E759" s="1"/>
      <c r="F759" s="1"/>
      <c r="G759" s="1"/>
      <c r="H759" s="7"/>
      <c r="I759" s="141" t="s">
        <v>148</v>
      </c>
      <c r="J759" s="99">
        <v>1</v>
      </c>
      <c r="K759" s="142">
        <f>K746</f>
        <v>644862.85714285716</v>
      </c>
      <c r="L759" s="118" t="s">
        <v>233</v>
      </c>
      <c r="M759" s="99">
        <f>J759*K759</f>
        <v>644862.85714285716</v>
      </c>
      <c r="N759" s="101">
        <f>L759+M759</f>
        <v>644862.85714285716</v>
      </c>
      <c r="O759" s="530"/>
      <c r="P759" s="132"/>
      <c r="Q759" s="140"/>
      <c r="R759" s="133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8"/>
    </row>
    <row r="760" spans="1:30" ht="14.1" customHeight="1" x14ac:dyDescent="0.3">
      <c r="A760" s="184"/>
      <c r="B760" s="106" t="s">
        <v>234</v>
      </c>
      <c r="C760" s="1" t="s">
        <v>27</v>
      </c>
      <c r="D760" s="1"/>
      <c r="E760" s="1"/>
      <c r="F760" s="1"/>
      <c r="G760" s="1"/>
      <c r="H760" s="7"/>
      <c r="I760" s="141"/>
      <c r="J760" s="99"/>
      <c r="K760" s="142"/>
      <c r="L760" s="100"/>
      <c r="M760" s="99"/>
      <c r="N760" s="101"/>
      <c r="O760" s="530"/>
      <c r="P760" s="132"/>
      <c r="Q760" s="140"/>
      <c r="R760" s="133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8"/>
    </row>
    <row r="761" spans="1:30" ht="14.1" customHeight="1" thickBot="1" x14ac:dyDescent="0.35">
      <c r="A761" s="184"/>
      <c r="B761" s="106"/>
      <c r="C761" s="105" t="s">
        <v>311</v>
      </c>
      <c r="D761" s="1"/>
      <c r="E761" s="1"/>
      <c r="F761" s="1"/>
      <c r="G761" s="1"/>
      <c r="H761" s="7"/>
      <c r="I761" s="141" t="s">
        <v>28</v>
      </c>
      <c r="J761" s="99">
        <v>165.85</v>
      </c>
      <c r="K761" s="142">
        <f>$L$658</f>
        <v>4781.5</v>
      </c>
      <c r="L761" s="100">
        <f>J761*K761</f>
        <v>793011.77500000002</v>
      </c>
      <c r="M761" s="104" t="s">
        <v>233</v>
      </c>
      <c r="N761" s="101">
        <f>L761+M761</f>
        <v>793011.77500000002</v>
      </c>
      <c r="O761" s="530"/>
      <c r="P761" s="164"/>
      <c r="Q761" s="165"/>
      <c r="R761" s="166"/>
      <c r="S761" s="167"/>
      <c r="T761" s="167"/>
      <c r="U761" s="167"/>
      <c r="V761" s="167"/>
      <c r="W761" s="168"/>
      <c r="X761" s="168"/>
      <c r="Y761" s="167"/>
      <c r="Z761" s="167"/>
      <c r="AA761" s="167"/>
      <c r="AB761" s="167"/>
      <c r="AC761" s="167"/>
      <c r="AD761" s="169"/>
    </row>
    <row r="762" spans="1:30" ht="14.1" customHeight="1" thickBot="1" x14ac:dyDescent="0.35">
      <c r="A762" s="184"/>
      <c r="B762" s="106"/>
      <c r="C762" s="105" t="s">
        <v>312</v>
      </c>
      <c r="D762" s="1"/>
      <c r="E762" s="1"/>
      <c r="F762" s="1"/>
      <c r="G762" s="1"/>
      <c r="H762" s="7"/>
      <c r="I762" s="141" t="s">
        <v>28</v>
      </c>
      <c r="J762" s="99">
        <v>165.85</v>
      </c>
      <c r="K762" s="142">
        <f>$M$658</f>
        <v>12281</v>
      </c>
      <c r="L762" s="118" t="s">
        <v>233</v>
      </c>
      <c r="M762" s="99">
        <f>J762*K762</f>
        <v>2036803.8499999999</v>
      </c>
      <c r="N762" s="101">
        <f>L762+M762</f>
        <v>2036803.8499999999</v>
      </c>
      <c r="O762" s="530"/>
      <c r="P762" s="151"/>
      <c r="Q762" s="152"/>
      <c r="R762" s="152">
        <f t="shared" ref="R762:AC762" si="156">SUM(R759:R761)</f>
        <v>0</v>
      </c>
      <c r="S762" s="152">
        <f t="shared" si="156"/>
        <v>0</v>
      </c>
      <c r="T762" s="152">
        <f t="shared" si="156"/>
        <v>0</v>
      </c>
      <c r="U762" s="152">
        <f t="shared" si="156"/>
        <v>0</v>
      </c>
      <c r="V762" s="152">
        <f t="shared" si="156"/>
        <v>0</v>
      </c>
      <c r="W762" s="152">
        <f t="shared" si="156"/>
        <v>0</v>
      </c>
      <c r="X762" s="152">
        <f t="shared" si="156"/>
        <v>0</v>
      </c>
      <c r="Y762" s="152">
        <f t="shared" si="156"/>
        <v>0</v>
      </c>
      <c r="Z762" s="152">
        <f t="shared" si="156"/>
        <v>0</v>
      </c>
      <c r="AA762" s="152">
        <f t="shared" si="156"/>
        <v>0</v>
      </c>
      <c r="AB762" s="152">
        <f t="shared" si="156"/>
        <v>0</v>
      </c>
      <c r="AC762" s="152">
        <f t="shared" si="156"/>
        <v>0</v>
      </c>
      <c r="AD762" s="153"/>
    </row>
    <row r="763" spans="1:30" ht="14.1" customHeight="1" x14ac:dyDescent="0.3">
      <c r="A763" s="184"/>
      <c r="B763" s="106" t="s">
        <v>251</v>
      </c>
      <c r="C763" s="1" t="s">
        <v>313</v>
      </c>
      <c r="D763" s="1"/>
      <c r="E763" s="1"/>
      <c r="F763" s="1"/>
      <c r="G763" s="1"/>
      <c r="H763" s="7"/>
      <c r="I763" s="141"/>
      <c r="J763" s="99"/>
      <c r="K763" s="142"/>
      <c r="L763" s="100"/>
      <c r="M763" s="99"/>
      <c r="N763" s="101"/>
      <c r="O763" s="530"/>
    </row>
    <row r="764" spans="1:30" ht="14.1" customHeight="1" x14ac:dyDescent="0.3">
      <c r="A764" s="184"/>
      <c r="B764" s="106"/>
      <c r="C764" s="105" t="s">
        <v>311</v>
      </c>
      <c r="D764" s="1"/>
      <c r="E764" s="1"/>
      <c r="F764" s="1"/>
      <c r="G764" s="1"/>
      <c r="H764" s="7"/>
      <c r="I764" s="141" t="s">
        <v>314</v>
      </c>
      <c r="J764" s="99">
        <v>6</v>
      </c>
      <c r="K764" s="142">
        <f>K751</f>
        <v>44565</v>
      </c>
      <c r="L764" s="100">
        <f>J764*K764</f>
        <v>267390</v>
      </c>
      <c r="M764" s="104" t="s">
        <v>233</v>
      </c>
      <c r="N764" s="101">
        <f>L764+M764</f>
        <v>267390</v>
      </c>
      <c r="O764" s="530"/>
    </row>
    <row r="765" spans="1:30" ht="14.1" customHeight="1" thickBot="1" x14ac:dyDescent="0.35">
      <c r="A765" s="184"/>
      <c r="B765" s="106"/>
      <c r="C765" s="105" t="s">
        <v>312</v>
      </c>
      <c r="D765" s="1"/>
      <c r="E765" s="1"/>
      <c r="F765" s="1"/>
      <c r="G765" s="1"/>
      <c r="H765" s="7"/>
      <c r="I765" s="141" t="s">
        <v>314</v>
      </c>
      <c r="J765" s="99">
        <v>6</v>
      </c>
      <c r="K765" s="142">
        <f>K752</f>
        <v>85920</v>
      </c>
      <c r="L765" s="118" t="s">
        <v>233</v>
      </c>
      <c r="M765" s="99">
        <f>J765*K765</f>
        <v>515520</v>
      </c>
      <c r="N765" s="101">
        <f>L765+M765</f>
        <v>515520</v>
      </c>
      <c r="O765" s="530"/>
    </row>
    <row r="766" spans="1:30" ht="14.1" customHeight="1" thickBot="1" x14ac:dyDescent="0.35">
      <c r="A766" s="184"/>
      <c r="B766" s="106" t="s">
        <v>253</v>
      </c>
      <c r="C766" s="1" t="s">
        <v>316</v>
      </c>
      <c r="D766" s="1"/>
      <c r="E766" s="1"/>
      <c r="F766" s="1"/>
      <c r="G766" s="1"/>
      <c r="H766" s="7"/>
      <c r="I766" s="141" t="s">
        <v>317</v>
      </c>
      <c r="J766" s="99">
        <v>5</v>
      </c>
      <c r="K766" s="142">
        <f>'UPAH BAHAN'!$H$56</f>
        <v>23000</v>
      </c>
      <c r="L766" s="171" t="s">
        <v>233</v>
      </c>
      <c r="M766" s="99">
        <f>J766*K766</f>
        <v>115000</v>
      </c>
      <c r="N766" s="101">
        <f>L766+M766</f>
        <v>115000</v>
      </c>
      <c r="O766" s="530"/>
      <c r="P766" s="156" t="str">
        <f>B1144</f>
        <v>6 m' Penyambungan Pipa PVC dan asesoris dia. 3"</v>
      </c>
      <c r="Q766" s="157"/>
      <c r="R766" s="158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60"/>
    </row>
    <row r="767" spans="1:30" ht="14.1" customHeight="1" x14ac:dyDescent="0.3">
      <c r="A767" s="184"/>
      <c r="B767" s="1"/>
      <c r="C767" s="1"/>
      <c r="D767" s="1"/>
      <c r="E767" s="1"/>
      <c r="F767" s="1"/>
      <c r="G767" s="1"/>
      <c r="H767" s="7"/>
      <c r="I767" s="107"/>
      <c r="J767" s="107"/>
      <c r="K767" s="150" t="s">
        <v>245</v>
      </c>
      <c r="L767" s="187">
        <f>SUM(L758:L766)</f>
        <v>1101961.7749999999</v>
      </c>
      <c r="M767" s="108">
        <f>SUM(M758:M766)</f>
        <v>3312186.7071428569</v>
      </c>
      <c r="N767" s="109">
        <f>SUM(N758:N766)</f>
        <v>4414148.4821428573</v>
      </c>
      <c r="O767" s="530"/>
      <c r="P767" s="132"/>
      <c r="Q767" s="140"/>
      <c r="R767" s="133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8"/>
    </row>
    <row r="768" spans="1:30" ht="14.1" customHeight="1" x14ac:dyDescent="0.3">
      <c r="A768" s="184"/>
      <c r="B768" s="1"/>
      <c r="C768" s="1"/>
      <c r="D768" s="1"/>
      <c r="E768" s="1"/>
      <c r="F768" s="1"/>
      <c r="G768" s="1"/>
      <c r="H768" s="7"/>
      <c r="I768" s="100"/>
      <c r="J768" s="100"/>
      <c r="K768" s="289" t="s">
        <v>512</v>
      </c>
      <c r="L768" s="100"/>
      <c r="M768" s="99"/>
      <c r="N768" s="101">
        <f>N767*15%</f>
        <v>662122.27232142852</v>
      </c>
      <c r="O768" s="530"/>
      <c r="P768" s="132"/>
      <c r="Q768" s="140"/>
      <c r="R768" s="133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8"/>
    </row>
    <row r="769" spans="1:30" ht="14.1" customHeight="1" thickBot="1" x14ac:dyDescent="0.35">
      <c r="A769" s="184"/>
      <c r="B769" s="1"/>
      <c r="C769" s="1"/>
      <c r="D769" s="1"/>
      <c r="E769" s="1"/>
      <c r="F769" s="1"/>
      <c r="G769" s="1"/>
      <c r="H769" s="7"/>
      <c r="I769" s="100"/>
      <c r="J769" s="100"/>
      <c r="K769" s="154" t="s">
        <v>247</v>
      </c>
      <c r="L769" s="100"/>
      <c r="M769" s="148"/>
      <c r="N769" s="101">
        <f>N767+N768</f>
        <v>5076270.7544642854</v>
      </c>
      <c r="O769" s="530"/>
      <c r="P769" s="164"/>
      <c r="Q769" s="165"/>
      <c r="R769" s="166"/>
      <c r="S769" s="167"/>
      <c r="T769" s="167"/>
      <c r="U769" s="167"/>
      <c r="V769" s="167"/>
      <c r="W769" s="168"/>
      <c r="X769" s="168"/>
      <c r="Y769" s="167"/>
      <c r="Z769" s="167"/>
      <c r="AA769" s="167"/>
      <c r="AB769" s="167"/>
      <c r="AC769" s="167"/>
      <c r="AD769" s="169"/>
    </row>
    <row r="770" spans="1:30" ht="14.1" customHeight="1" thickBot="1" x14ac:dyDescent="0.35">
      <c r="A770" s="247">
        <f>A756+1</f>
        <v>31</v>
      </c>
      <c r="B770" s="236" t="s">
        <v>318</v>
      </c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7"/>
      <c r="O770" s="530"/>
      <c r="P770" s="151"/>
      <c r="Q770" s="152"/>
      <c r="R770" s="152">
        <f t="shared" ref="R770:AC770" si="157">SUM(R767:R769)</f>
        <v>0</v>
      </c>
      <c r="S770" s="152">
        <f t="shared" si="157"/>
        <v>0</v>
      </c>
      <c r="T770" s="152">
        <f t="shared" si="157"/>
        <v>0</v>
      </c>
      <c r="U770" s="152">
        <f t="shared" si="157"/>
        <v>0</v>
      </c>
      <c r="V770" s="152">
        <f t="shared" si="157"/>
        <v>0</v>
      </c>
      <c r="W770" s="152">
        <f t="shared" si="157"/>
        <v>0</v>
      </c>
      <c r="X770" s="152">
        <f t="shared" si="157"/>
        <v>0</v>
      </c>
      <c r="Y770" s="152">
        <f t="shared" si="157"/>
        <v>0</v>
      </c>
      <c r="Z770" s="152">
        <f t="shared" si="157"/>
        <v>0</v>
      </c>
      <c r="AA770" s="152">
        <f t="shared" si="157"/>
        <v>0</v>
      </c>
      <c r="AB770" s="152">
        <f t="shared" si="157"/>
        <v>0</v>
      </c>
      <c r="AC770" s="152">
        <f t="shared" si="157"/>
        <v>0</v>
      </c>
      <c r="AD770" s="153"/>
    </row>
    <row r="771" spans="1:30" ht="14.1" customHeight="1" x14ac:dyDescent="0.3">
      <c r="A771" s="184"/>
      <c r="B771" s="106" t="s">
        <v>231</v>
      </c>
      <c r="C771" s="1" t="s">
        <v>310</v>
      </c>
      <c r="D771" s="1"/>
      <c r="E771" s="1"/>
      <c r="F771" s="1"/>
      <c r="G771" s="1"/>
      <c r="H771" s="7"/>
      <c r="I771" s="1"/>
      <c r="J771" s="6"/>
      <c r="K771" s="7"/>
      <c r="L771" s="1"/>
      <c r="M771" s="6"/>
      <c r="N771" s="195"/>
      <c r="O771" s="530"/>
    </row>
    <row r="772" spans="1:30" ht="14.1" customHeight="1" x14ac:dyDescent="0.3">
      <c r="A772" s="184"/>
      <c r="B772" s="106"/>
      <c r="C772" s="105" t="s">
        <v>311</v>
      </c>
      <c r="D772" s="1"/>
      <c r="E772" s="1"/>
      <c r="F772" s="1"/>
      <c r="G772" s="1"/>
      <c r="H772" s="7"/>
      <c r="I772" s="141" t="s">
        <v>148</v>
      </c>
      <c r="J772" s="99">
        <v>1</v>
      </c>
      <c r="K772" s="142">
        <f>$L$538</f>
        <v>41560</v>
      </c>
      <c r="L772" s="100">
        <f>J772*K772</f>
        <v>41560</v>
      </c>
      <c r="M772" s="104" t="s">
        <v>233</v>
      </c>
      <c r="N772" s="101">
        <f>L772+M772</f>
        <v>41560</v>
      </c>
      <c r="O772" s="530"/>
    </row>
    <row r="773" spans="1:30" ht="14.1" customHeight="1" thickBot="1" x14ac:dyDescent="0.35">
      <c r="A773" s="184"/>
      <c r="B773" s="106"/>
      <c r="C773" s="105" t="s">
        <v>312</v>
      </c>
      <c r="D773" s="1"/>
      <c r="E773" s="1"/>
      <c r="F773" s="1"/>
      <c r="G773" s="1"/>
      <c r="H773" s="7"/>
      <c r="I773" s="141" t="s">
        <v>148</v>
      </c>
      <c r="J773" s="99">
        <v>1</v>
      </c>
      <c r="K773" s="142">
        <f>K759</f>
        <v>644862.85714285716</v>
      </c>
      <c r="L773" s="118" t="s">
        <v>233</v>
      </c>
      <c r="M773" s="99">
        <f>J773*K773</f>
        <v>644862.85714285716</v>
      </c>
      <c r="N773" s="101">
        <f>L773+M773</f>
        <v>644862.85714285716</v>
      </c>
      <c r="O773" s="530"/>
    </row>
    <row r="774" spans="1:30" ht="14.1" customHeight="1" thickBot="1" x14ac:dyDescent="0.35">
      <c r="A774" s="184"/>
      <c r="B774" s="106" t="s">
        <v>234</v>
      </c>
      <c r="C774" s="1" t="s">
        <v>27</v>
      </c>
      <c r="D774" s="1"/>
      <c r="E774" s="1"/>
      <c r="F774" s="1"/>
      <c r="G774" s="1"/>
      <c r="H774" s="7"/>
      <c r="I774" s="141"/>
      <c r="J774" s="99"/>
      <c r="K774" s="142"/>
      <c r="L774" s="100"/>
      <c r="M774" s="99"/>
      <c r="N774" s="101"/>
      <c r="O774" s="530"/>
      <c r="P774" s="156" t="str">
        <f>B1152</f>
        <v>6 m' Penyambungan Pipa PVC dan asesoris dia. 2"</v>
      </c>
      <c r="Q774" s="157"/>
      <c r="R774" s="158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60"/>
    </row>
    <row r="775" spans="1:30" ht="14.1" customHeight="1" x14ac:dyDescent="0.3">
      <c r="A775" s="184"/>
      <c r="B775" s="106"/>
      <c r="C775" s="105" t="s">
        <v>311</v>
      </c>
      <c r="D775" s="1"/>
      <c r="E775" s="1"/>
      <c r="F775" s="1"/>
      <c r="G775" s="1"/>
      <c r="H775" s="7"/>
      <c r="I775" s="141" t="s">
        <v>28</v>
      </c>
      <c r="J775" s="99">
        <v>106.2</v>
      </c>
      <c r="K775" s="142">
        <f>$L$658</f>
        <v>4781.5</v>
      </c>
      <c r="L775" s="100">
        <f>J775*K775</f>
        <v>507795.3</v>
      </c>
      <c r="M775" s="104" t="s">
        <v>233</v>
      </c>
      <c r="N775" s="101">
        <f>L775+M775</f>
        <v>507795.3</v>
      </c>
      <c r="O775" s="530"/>
      <c r="P775" s="132"/>
      <c r="Q775" s="140"/>
      <c r="R775" s="133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8"/>
    </row>
    <row r="776" spans="1:30" ht="14.1" customHeight="1" x14ac:dyDescent="0.3">
      <c r="A776" s="184"/>
      <c r="B776" s="106"/>
      <c r="C776" s="105" t="s">
        <v>312</v>
      </c>
      <c r="D776" s="1"/>
      <c r="E776" s="1"/>
      <c r="F776" s="1"/>
      <c r="G776" s="1"/>
      <c r="H776" s="7"/>
      <c r="I776" s="141" t="s">
        <v>28</v>
      </c>
      <c r="J776" s="99">
        <v>106.2</v>
      </c>
      <c r="K776" s="142">
        <f>$M$658</f>
        <v>12281</v>
      </c>
      <c r="L776" s="118" t="s">
        <v>233</v>
      </c>
      <c r="M776" s="99">
        <f>J776*K776</f>
        <v>1304242.2</v>
      </c>
      <c r="N776" s="101">
        <f>L776+M776</f>
        <v>1304242.2</v>
      </c>
      <c r="O776" s="530"/>
      <c r="P776" s="132"/>
      <c r="Q776" s="140"/>
      <c r="R776" s="133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8"/>
    </row>
    <row r="777" spans="1:30" ht="14.1" customHeight="1" thickBot="1" x14ac:dyDescent="0.35">
      <c r="A777" s="184"/>
      <c r="B777" s="106" t="s">
        <v>251</v>
      </c>
      <c r="C777" s="1" t="s">
        <v>313</v>
      </c>
      <c r="D777" s="1"/>
      <c r="E777" s="1"/>
      <c r="F777" s="1"/>
      <c r="G777" s="1"/>
      <c r="H777" s="7"/>
      <c r="I777" s="141"/>
      <c r="J777" s="99"/>
      <c r="K777" s="142"/>
      <c r="L777" s="100"/>
      <c r="M777" s="99"/>
      <c r="N777" s="101"/>
      <c r="O777" s="530"/>
      <c r="P777" s="164"/>
      <c r="Q777" s="165"/>
      <c r="R777" s="166"/>
      <c r="S777" s="167"/>
      <c r="T777" s="167"/>
      <c r="U777" s="167"/>
      <c r="V777" s="167"/>
      <c r="W777" s="168"/>
      <c r="X777" s="168"/>
      <c r="Y777" s="167"/>
      <c r="Z777" s="167"/>
      <c r="AA777" s="167"/>
      <c r="AB777" s="167"/>
      <c r="AC777" s="167"/>
      <c r="AD777" s="169"/>
    </row>
    <row r="778" spans="1:30" ht="14.1" customHeight="1" thickBot="1" x14ac:dyDescent="0.35">
      <c r="A778" s="184"/>
      <c r="B778" s="106"/>
      <c r="C778" s="105" t="s">
        <v>311</v>
      </c>
      <c r="D778" s="1"/>
      <c r="E778" s="1"/>
      <c r="F778" s="1"/>
      <c r="G778" s="1"/>
      <c r="H778" s="7"/>
      <c r="I778" s="141" t="s">
        <v>314</v>
      </c>
      <c r="J778" s="99">
        <v>5</v>
      </c>
      <c r="K778" s="142">
        <f>K764</f>
        <v>44565</v>
      </c>
      <c r="L778" s="100">
        <f>J778*K778</f>
        <v>222825</v>
      </c>
      <c r="M778" s="104" t="s">
        <v>233</v>
      </c>
      <c r="N778" s="101">
        <f>L778+M778</f>
        <v>222825</v>
      </c>
      <c r="O778" s="534"/>
      <c r="P778" s="151"/>
      <c r="Q778" s="152"/>
      <c r="R778" s="152">
        <f t="shared" ref="R778:AC778" si="158">SUM(R775:R777)</f>
        <v>0</v>
      </c>
      <c r="S778" s="152">
        <f t="shared" si="158"/>
        <v>0</v>
      </c>
      <c r="T778" s="152">
        <f t="shared" si="158"/>
        <v>0</v>
      </c>
      <c r="U778" s="152">
        <f t="shared" si="158"/>
        <v>0</v>
      </c>
      <c r="V778" s="152">
        <f t="shared" si="158"/>
        <v>0</v>
      </c>
      <c r="W778" s="152">
        <f t="shared" si="158"/>
        <v>0</v>
      </c>
      <c r="X778" s="152">
        <f t="shared" si="158"/>
        <v>0</v>
      </c>
      <c r="Y778" s="152">
        <f t="shared" si="158"/>
        <v>0</v>
      </c>
      <c r="Z778" s="152">
        <f t="shared" si="158"/>
        <v>0</v>
      </c>
      <c r="AA778" s="152">
        <f t="shared" si="158"/>
        <v>0</v>
      </c>
      <c r="AB778" s="152">
        <f t="shared" si="158"/>
        <v>0</v>
      </c>
      <c r="AC778" s="152">
        <f t="shared" si="158"/>
        <v>0</v>
      </c>
      <c r="AD778" s="153"/>
    </row>
    <row r="779" spans="1:30" ht="14.1" customHeight="1" x14ac:dyDescent="0.3">
      <c r="A779" s="184"/>
      <c r="B779" s="106"/>
      <c r="C779" s="105" t="s">
        <v>312</v>
      </c>
      <c r="D779" s="1"/>
      <c r="E779" s="1"/>
      <c r="F779" s="1"/>
      <c r="G779" s="1"/>
      <c r="H779" s="7"/>
      <c r="I779" s="141" t="s">
        <v>314</v>
      </c>
      <c r="J779" s="99">
        <v>5</v>
      </c>
      <c r="K779" s="142">
        <f>K765</f>
        <v>85920</v>
      </c>
      <c r="L779" s="118" t="s">
        <v>233</v>
      </c>
      <c r="M779" s="99">
        <f>J779*K779</f>
        <v>429600</v>
      </c>
      <c r="N779" s="101">
        <f>L779+M779</f>
        <v>429600</v>
      </c>
      <c r="O779" s="530"/>
    </row>
    <row r="780" spans="1:30" ht="14.1" customHeight="1" x14ac:dyDescent="0.3">
      <c r="A780" s="184"/>
      <c r="B780" s="106" t="s">
        <v>253</v>
      </c>
      <c r="C780" s="1" t="s">
        <v>316</v>
      </c>
      <c r="D780" s="1"/>
      <c r="E780" s="1"/>
      <c r="F780" s="1"/>
      <c r="G780" s="1"/>
      <c r="H780" s="7"/>
      <c r="I780" s="141" t="s">
        <v>317</v>
      </c>
      <c r="J780" s="99">
        <v>5</v>
      </c>
      <c r="K780" s="142">
        <f>'UPAH BAHAN'!$H$56</f>
        <v>23000</v>
      </c>
      <c r="L780" s="171" t="s">
        <v>233</v>
      </c>
      <c r="M780" s="99">
        <f>J780*K780</f>
        <v>115000</v>
      </c>
      <c r="N780" s="101">
        <f>L780+M780</f>
        <v>115000</v>
      </c>
      <c r="O780" s="530"/>
    </row>
    <row r="781" spans="1:30" ht="14.1" customHeight="1" thickBot="1" x14ac:dyDescent="0.35">
      <c r="A781" s="184"/>
      <c r="B781" s="1"/>
      <c r="C781" s="1"/>
      <c r="D781" s="1"/>
      <c r="E781" s="1"/>
      <c r="F781" s="1"/>
      <c r="G781" s="1"/>
      <c r="H781" s="7"/>
      <c r="I781" s="107"/>
      <c r="J781" s="107"/>
      <c r="K781" s="150" t="s">
        <v>245</v>
      </c>
      <c r="L781" s="187">
        <f>SUM(L772:L780)</f>
        <v>772180.3</v>
      </c>
      <c r="M781" s="108">
        <f>SUM(M772:M780)</f>
        <v>2493705.057142857</v>
      </c>
      <c r="N781" s="109">
        <f>SUM(N772:N780)</f>
        <v>3265885.3571428573</v>
      </c>
      <c r="O781" s="530"/>
    </row>
    <row r="782" spans="1:30" ht="14.1" customHeight="1" thickBot="1" x14ac:dyDescent="0.35">
      <c r="A782" s="184"/>
      <c r="B782" s="1"/>
      <c r="C782" s="1"/>
      <c r="D782" s="1"/>
      <c r="E782" s="1"/>
      <c r="F782" s="1"/>
      <c r="G782" s="1"/>
      <c r="H782" s="7"/>
      <c r="I782" s="100"/>
      <c r="J782" s="100"/>
      <c r="K782" s="289" t="s">
        <v>512</v>
      </c>
      <c r="L782" s="100"/>
      <c r="M782" s="99"/>
      <c r="N782" s="101">
        <f>N781*15%</f>
        <v>489882.80357142858</v>
      </c>
      <c r="O782" s="530"/>
      <c r="P782" s="156" t="str">
        <f>B1160</f>
        <v>6 m' Penyambungan Pipa PVC dan asesoris dia. 1,5"</v>
      </c>
      <c r="Q782" s="157"/>
      <c r="R782" s="158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60"/>
    </row>
    <row r="783" spans="1:30" ht="14.1" customHeight="1" x14ac:dyDescent="0.3">
      <c r="A783" s="184"/>
      <c r="B783" s="1"/>
      <c r="C783" s="1"/>
      <c r="D783" s="1"/>
      <c r="E783" s="1"/>
      <c r="F783" s="1"/>
      <c r="G783" s="1"/>
      <c r="H783" s="7"/>
      <c r="I783" s="100"/>
      <c r="J783" s="100"/>
      <c r="K783" s="154" t="s">
        <v>247</v>
      </c>
      <c r="L783" s="100"/>
      <c r="M783" s="148"/>
      <c r="N783" s="101">
        <f>N781+N782</f>
        <v>3755768.1607142859</v>
      </c>
      <c r="O783" s="530"/>
      <c r="P783" s="132"/>
      <c r="Q783" s="140"/>
      <c r="R783" s="133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8"/>
    </row>
    <row r="784" spans="1:30" ht="14.1" customHeight="1" x14ac:dyDescent="0.3">
      <c r="A784" s="247">
        <f>A770+1</f>
        <v>32</v>
      </c>
      <c r="B784" s="236" t="s">
        <v>319</v>
      </c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50"/>
      <c r="O784" s="530"/>
      <c r="P784" s="132"/>
      <c r="Q784" s="140"/>
      <c r="R784" s="133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8"/>
    </row>
    <row r="785" spans="1:30" ht="14.1" customHeight="1" thickBot="1" x14ac:dyDescent="0.35">
      <c r="A785" s="184"/>
      <c r="B785" s="106" t="s">
        <v>231</v>
      </c>
      <c r="C785" s="1" t="s">
        <v>310</v>
      </c>
      <c r="D785" s="1"/>
      <c r="E785" s="1"/>
      <c r="F785" s="1"/>
      <c r="G785" s="1"/>
      <c r="H785" s="7"/>
      <c r="I785" s="1"/>
      <c r="J785" s="6"/>
      <c r="K785" s="7"/>
      <c r="L785" s="1"/>
      <c r="M785" s="6"/>
      <c r="N785" s="195"/>
      <c r="O785" s="530"/>
      <c r="P785" s="164"/>
      <c r="Q785" s="165"/>
      <c r="R785" s="166"/>
      <c r="S785" s="167"/>
      <c r="T785" s="167"/>
      <c r="U785" s="167"/>
      <c r="V785" s="167"/>
      <c r="W785" s="168"/>
      <c r="X785" s="168"/>
      <c r="Y785" s="167"/>
      <c r="Z785" s="167"/>
      <c r="AA785" s="167"/>
      <c r="AB785" s="167"/>
      <c r="AC785" s="167"/>
      <c r="AD785" s="169"/>
    </row>
    <row r="786" spans="1:30" ht="14.1" customHeight="1" thickBot="1" x14ac:dyDescent="0.35">
      <c r="A786" s="184"/>
      <c r="B786" s="106"/>
      <c r="C786" s="105" t="s">
        <v>311</v>
      </c>
      <c r="D786" s="1"/>
      <c r="E786" s="1"/>
      <c r="F786" s="1"/>
      <c r="G786" s="1"/>
      <c r="H786" s="7"/>
      <c r="I786" s="141" t="s">
        <v>148</v>
      </c>
      <c r="J786" s="99">
        <v>1</v>
      </c>
      <c r="K786" s="142">
        <f>$L$538</f>
        <v>41560</v>
      </c>
      <c r="L786" s="100">
        <f>J786*K786</f>
        <v>41560</v>
      </c>
      <c r="M786" s="104" t="s">
        <v>233</v>
      </c>
      <c r="N786" s="101">
        <f>L786+M786</f>
        <v>41560</v>
      </c>
      <c r="O786" s="534"/>
      <c r="P786" s="151"/>
      <c r="Q786" s="152"/>
      <c r="R786" s="152">
        <f t="shared" ref="R786:AC786" si="159">SUM(R783:R785)</f>
        <v>0</v>
      </c>
      <c r="S786" s="152">
        <f t="shared" si="159"/>
        <v>0</v>
      </c>
      <c r="T786" s="152">
        <f t="shared" si="159"/>
        <v>0</v>
      </c>
      <c r="U786" s="152">
        <f t="shared" si="159"/>
        <v>0</v>
      </c>
      <c r="V786" s="152">
        <f t="shared" si="159"/>
        <v>0</v>
      </c>
      <c r="W786" s="152">
        <f t="shared" si="159"/>
        <v>0</v>
      </c>
      <c r="X786" s="152">
        <f t="shared" si="159"/>
        <v>0</v>
      </c>
      <c r="Y786" s="152">
        <f t="shared" si="159"/>
        <v>0</v>
      </c>
      <c r="Z786" s="152">
        <f t="shared" si="159"/>
        <v>0</v>
      </c>
      <c r="AA786" s="152">
        <f t="shared" si="159"/>
        <v>0</v>
      </c>
      <c r="AB786" s="152">
        <f t="shared" si="159"/>
        <v>0</v>
      </c>
      <c r="AC786" s="152">
        <f t="shared" si="159"/>
        <v>0</v>
      </c>
      <c r="AD786" s="153"/>
    </row>
    <row r="787" spans="1:30" ht="14.1" customHeight="1" x14ac:dyDescent="0.3">
      <c r="A787" s="184"/>
      <c r="B787" s="106"/>
      <c r="C787" s="105" t="s">
        <v>312</v>
      </c>
      <c r="D787" s="1"/>
      <c r="E787" s="1"/>
      <c r="F787" s="1"/>
      <c r="G787" s="1"/>
      <c r="H787" s="7"/>
      <c r="I787" s="141" t="s">
        <v>148</v>
      </c>
      <c r="J787" s="99">
        <v>1</v>
      </c>
      <c r="K787" s="142">
        <f>$M$538</f>
        <v>558177.14285714284</v>
      </c>
      <c r="L787" s="118" t="s">
        <v>233</v>
      </c>
      <c r="M787" s="99">
        <f>J787*K787</f>
        <v>558177.14285714284</v>
      </c>
      <c r="N787" s="101">
        <f>L787+M787</f>
        <v>558177.14285714284</v>
      </c>
      <c r="O787" s="530"/>
    </row>
    <row r="788" spans="1:30" ht="14.1" customHeight="1" x14ac:dyDescent="0.3">
      <c r="A788" s="184"/>
      <c r="B788" s="106" t="s">
        <v>234</v>
      </c>
      <c r="C788" s="1" t="s">
        <v>27</v>
      </c>
      <c r="D788" s="1"/>
      <c r="E788" s="1"/>
      <c r="F788" s="1"/>
      <c r="G788" s="1"/>
      <c r="H788" s="7"/>
      <c r="I788" s="141"/>
      <c r="J788" s="99"/>
      <c r="K788" s="142"/>
      <c r="L788" s="100"/>
      <c r="M788" s="99"/>
      <c r="N788" s="101"/>
      <c r="O788" s="530"/>
    </row>
    <row r="789" spans="1:30" ht="14.1" customHeight="1" thickBot="1" x14ac:dyDescent="0.35">
      <c r="A789" s="184"/>
      <c r="B789" s="106"/>
      <c r="C789" s="105" t="s">
        <v>311</v>
      </c>
      <c r="D789" s="1"/>
      <c r="E789" s="1"/>
      <c r="F789" s="1"/>
      <c r="G789" s="1"/>
      <c r="H789" s="7"/>
      <c r="I789" s="141" t="s">
        <v>28</v>
      </c>
      <c r="J789" s="99">
        <f>53.1+2.4</f>
        <v>55.5</v>
      </c>
      <c r="K789" s="142">
        <f>$L$658</f>
        <v>4781.5</v>
      </c>
      <c r="L789" s="100">
        <f>J789*K789</f>
        <v>265373.25</v>
      </c>
      <c r="M789" s="104" t="s">
        <v>233</v>
      </c>
      <c r="N789" s="101">
        <f>L789+M789</f>
        <v>265373.25</v>
      </c>
      <c r="O789" s="530"/>
    </row>
    <row r="790" spans="1:30" ht="14.1" customHeight="1" thickBot="1" x14ac:dyDescent="0.35">
      <c r="A790" s="184"/>
      <c r="B790" s="106"/>
      <c r="C790" s="105" t="s">
        <v>312</v>
      </c>
      <c r="D790" s="1"/>
      <c r="E790" s="1"/>
      <c r="F790" s="1"/>
      <c r="G790" s="1"/>
      <c r="H790" s="7"/>
      <c r="I790" s="141" t="s">
        <v>28</v>
      </c>
      <c r="J790" s="99">
        <f>53.1+2.4</f>
        <v>55.5</v>
      </c>
      <c r="K790" s="142">
        <f>$M$658</f>
        <v>12281</v>
      </c>
      <c r="L790" s="118" t="s">
        <v>233</v>
      </c>
      <c r="M790" s="99">
        <f>J790*K790</f>
        <v>681595.5</v>
      </c>
      <c r="N790" s="101">
        <f>L790+M790</f>
        <v>681595.5</v>
      </c>
      <c r="O790" s="530"/>
      <c r="P790" s="156" t="str">
        <f>B1168</f>
        <v>6 m' Penyambungan Pipa PVC dan asesoris dia. 1"</v>
      </c>
      <c r="Q790" s="157"/>
      <c r="R790" s="158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60"/>
    </row>
    <row r="791" spans="1:30" ht="14.1" customHeight="1" x14ac:dyDescent="0.3">
      <c r="A791" s="184"/>
      <c r="B791" s="106" t="s">
        <v>251</v>
      </c>
      <c r="C791" s="1" t="s">
        <v>313</v>
      </c>
      <c r="D791" s="1"/>
      <c r="E791" s="1"/>
      <c r="F791" s="1"/>
      <c r="G791" s="1"/>
      <c r="H791" s="7"/>
      <c r="I791" s="141"/>
      <c r="J791" s="99"/>
      <c r="K791" s="142"/>
      <c r="L791" s="100"/>
      <c r="M791" s="99"/>
      <c r="N791" s="101"/>
      <c r="O791" s="530"/>
      <c r="P791" s="132"/>
      <c r="Q791" s="140"/>
      <c r="R791" s="133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8"/>
    </row>
    <row r="792" spans="1:30" ht="14.1" customHeight="1" x14ac:dyDescent="0.3">
      <c r="A792" s="184"/>
      <c r="B792" s="106"/>
      <c r="C792" s="105" t="s">
        <v>311</v>
      </c>
      <c r="D792" s="1"/>
      <c r="E792" s="1"/>
      <c r="F792" s="1"/>
      <c r="G792" s="1"/>
      <c r="H792" s="7"/>
      <c r="I792" s="141" t="s">
        <v>314</v>
      </c>
      <c r="J792" s="99">
        <v>1.5</v>
      </c>
      <c r="K792" s="142">
        <f>$L$669</f>
        <v>9789</v>
      </c>
      <c r="L792" s="100">
        <f>J792*K792</f>
        <v>14683.5</v>
      </c>
      <c r="M792" s="104" t="s">
        <v>233</v>
      </c>
      <c r="N792" s="101">
        <f>L792+M792</f>
        <v>14683.5</v>
      </c>
      <c r="O792" s="530"/>
      <c r="P792" s="132"/>
      <c r="Q792" s="140"/>
      <c r="R792" s="133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8"/>
    </row>
    <row r="793" spans="1:30" ht="14.1" customHeight="1" thickBot="1" x14ac:dyDescent="0.35">
      <c r="A793" s="184"/>
      <c r="B793" s="106"/>
      <c r="C793" s="105" t="s">
        <v>312</v>
      </c>
      <c r="D793" s="1"/>
      <c r="E793" s="1"/>
      <c r="F793" s="1"/>
      <c r="G793" s="1"/>
      <c r="H793" s="7"/>
      <c r="I793" s="141" t="s">
        <v>314</v>
      </c>
      <c r="J793" s="99">
        <v>1.5</v>
      </c>
      <c r="K793" s="142">
        <f>$M$669</f>
        <v>19363</v>
      </c>
      <c r="L793" s="118" t="s">
        <v>233</v>
      </c>
      <c r="M793" s="99">
        <f>J793*K793</f>
        <v>29044.5</v>
      </c>
      <c r="N793" s="101">
        <f>L793+M793</f>
        <v>29044.5</v>
      </c>
      <c r="O793" s="530"/>
      <c r="P793" s="164"/>
      <c r="Q793" s="165"/>
      <c r="R793" s="166"/>
      <c r="S793" s="167"/>
      <c r="T793" s="167"/>
      <c r="U793" s="167"/>
      <c r="V793" s="167"/>
      <c r="W793" s="168"/>
      <c r="X793" s="168"/>
      <c r="Y793" s="167"/>
      <c r="Z793" s="167"/>
      <c r="AA793" s="167"/>
      <c r="AB793" s="167"/>
      <c r="AC793" s="167"/>
      <c r="AD793" s="169"/>
    </row>
    <row r="794" spans="1:30" ht="14.1" customHeight="1" thickBot="1" x14ac:dyDescent="0.35">
      <c r="A794" s="184"/>
      <c r="B794" s="1"/>
      <c r="C794" s="1"/>
      <c r="D794" s="1"/>
      <c r="E794" s="1"/>
      <c r="F794" s="1"/>
      <c r="G794" s="1"/>
      <c r="H794" s="7"/>
      <c r="I794" s="107"/>
      <c r="J794" s="107"/>
      <c r="K794" s="150" t="s">
        <v>245</v>
      </c>
      <c r="L794" s="187">
        <f>SUM(L786:L793)</f>
        <v>321616.75</v>
      </c>
      <c r="M794" s="108">
        <f>SUM(M786:M793)</f>
        <v>1268817.1428571427</v>
      </c>
      <c r="N794" s="109">
        <f>SUM(N786:N793)</f>
        <v>1590433.8928571427</v>
      </c>
      <c r="O794" s="534"/>
      <c r="P794" s="151"/>
      <c r="Q794" s="152"/>
      <c r="R794" s="152">
        <f t="shared" ref="R794:AC794" si="160">SUM(R791:R793)</f>
        <v>0</v>
      </c>
      <c r="S794" s="152">
        <f t="shared" si="160"/>
        <v>0</v>
      </c>
      <c r="T794" s="152">
        <f t="shared" si="160"/>
        <v>0</v>
      </c>
      <c r="U794" s="152">
        <f t="shared" si="160"/>
        <v>0</v>
      </c>
      <c r="V794" s="152">
        <f t="shared" si="160"/>
        <v>0</v>
      </c>
      <c r="W794" s="152">
        <f t="shared" si="160"/>
        <v>0</v>
      </c>
      <c r="X794" s="152">
        <f t="shared" si="160"/>
        <v>0</v>
      </c>
      <c r="Y794" s="152">
        <f t="shared" si="160"/>
        <v>0</v>
      </c>
      <c r="Z794" s="152">
        <f t="shared" si="160"/>
        <v>0</v>
      </c>
      <c r="AA794" s="152">
        <f t="shared" si="160"/>
        <v>0</v>
      </c>
      <c r="AB794" s="152">
        <f t="shared" si="160"/>
        <v>0</v>
      </c>
      <c r="AC794" s="152">
        <f t="shared" si="160"/>
        <v>0</v>
      </c>
      <c r="AD794" s="153"/>
    </row>
    <row r="795" spans="1:30" ht="14.1" customHeight="1" x14ac:dyDescent="0.3">
      <c r="A795" s="184"/>
      <c r="B795" s="1"/>
      <c r="C795" s="1"/>
      <c r="D795" s="1"/>
      <c r="E795" s="1"/>
      <c r="F795" s="1"/>
      <c r="G795" s="1"/>
      <c r="H795" s="7"/>
      <c r="I795" s="100"/>
      <c r="J795" s="100"/>
      <c r="K795" s="289" t="s">
        <v>512</v>
      </c>
      <c r="L795" s="100"/>
      <c r="M795" s="99"/>
      <c r="N795" s="101">
        <f>N794*15%</f>
        <v>238565.0839285714</v>
      </c>
      <c r="O795" s="530"/>
    </row>
    <row r="796" spans="1:30" ht="14.1" customHeight="1" x14ac:dyDescent="0.3">
      <c r="A796" s="186"/>
      <c r="B796" s="173"/>
      <c r="C796" s="173"/>
      <c r="D796" s="173"/>
      <c r="E796" s="173"/>
      <c r="F796" s="173"/>
      <c r="G796" s="173"/>
      <c r="H796" s="174"/>
      <c r="I796" s="175"/>
      <c r="J796" s="175"/>
      <c r="K796" s="176" t="s">
        <v>247</v>
      </c>
      <c r="L796" s="175"/>
      <c r="M796" s="177"/>
      <c r="N796" s="116">
        <f>N794+N795</f>
        <v>1828998.976785714</v>
      </c>
      <c r="O796" s="530"/>
    </row>
    <row r="797" spans="1:30" ht="14.1" customHeight="1" x14ac:dyDescent="0.3">
      <c r="A797" s="86"/>
      <c r="B797" s="12"/>
      <c r="C797" s="12"/>
      <c r="D797" s="12"/>
      <c r="E797" s="12"/>
      <c r="F797" s="12"/>
      <c r="G797" s="12"/>
      <c r="H797" s="75"/>
      <c r="I797" s="12"/>
      <c r="J797" s="87"/>
      <c r="K797" s="75"/>
      <c r="L797" s="75"/>
      <c r="M797" s="75"/>
      <c r="N797" s="88"/>
      <c r="O797" s="530"/>
    </row>
    <row r="798" spans="1:30" ht="14.1" customHeight="1" thickBot="1" x14ac:dyDescent="0.35">
      <c r="A798" s="247">
        <f>A784+1</f>
        <v>33</v>
      </c>
      <c r="B798" s="236" t="s">
        <v>320</v>
      </c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50"/>
      <c r="O798" s="530"/>
    </row>
    <row r="799" spans="1:30" ht="14.1" customHeight="1" thickBot="1" x14ac:dyDescent="0.35">
      <c r="A799" s="198"/>
      <c r="B799" s="106" t="s">
        <v>233</v>
      </c>
      <c r="C799" s="1" t="s">
        <v>321</v>
      </c>
      <c r="D799" s="1"/>
      <c r="E799" s="1"/>
      <c r="F799" s="1"/>
      <c r="G799" s="1"/>
      <c r="H799" s="7"/>
      <c r="I799" s="141" t="s">
        <v>28</v>
      </c>
      <c r="J799" s="161">
        <v>1.1000000000000001</v>
      </c>
      <c r="K799" s="142">
        <f>'UPAH BAHAN'!$H$61</f>
        <v>11000</v>
      </c>
      <c r="L799" s="171" t="s">
        <v>233</v>
      </c>
      <c r="M799" s="99">
        <f>J799*K799</f>
        <v>12100.000000000002</v>
      </c>
      <c r="N799" s="101">
        <f t="shared" ref="N799:N804" si="161">L799+M799</f>
        <v>12100.000000000002</v>
      </c>
      <c r="O799" s="530"/>
      <c r="P799" s="156" t="str">
        <f>B1177</f>
        <v>1 m' Pemasangan pipa PVC dia.  6" melalui galian tanah biasa</v>
      </c>
      <c r="Q799" s="157"/>
      <c r="R799" s="158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60"/>
    </row>
    <row r="800" spans="1:30" ht="14.1" customHeight="1" x14ac:dyDescent="0.3">
      <c r="A800" s="198"/>
      <c r="B800" s="106" t="s">
        <v>233</v>
      </c>
      <c r="C800" s="1" t="s">
        <v>128</v>
      </c>
      <c r="D800" s="1"/>
      <c r="E800" s="1"/>
      <c r="F800" s="1"/>
      <c r="G800" s="1"/>
      <c r="H800" s="7"/>
      <c r="I800" s="106"/>
      <c r="J800" s="161">
        <v>2.2000000000000002E-2</v>
      </c>
      <c r="K800" s="142">
        <f>'UPAH BAHAN'!$H$19</f>
        <v>105000</v>
      </c>
      <c r="L800" s="100">
        <f>J800*K800</f>
        <v>2310.0000000000005</v>
      </c>
      <c r="M800" s="148" t="s">
        <v>233</v>
      </c>
      <c r="N800" s="101">
        <f t="shared" si="161"/>
        <v>2310.0000000000005</v>
      </c>
      <c r="O800" s="530"/>
      <c r="P800" s="132"/>
      <c r="Q800" s="140"/>
      <c r="R800" s="133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8"/>
    </row>
    <row r="801" spans="1:30" ht="14.1" customHeight="1" x14ac:dyDescent="0.3">
      <c r="A801" s="198"/>
      <c r="B801" s="106" t="s">
        <v>233</v>
      </c>
      <c r="C801" s="1" t="s">
        <v>132</v>
      </c>
      <c r="D801" s="1"/>
      <c r="E801" s="1"/>
      <c r="F801" s="1"/>
      <c r="G801" s="1"/>
      <c r="H801" s="7"/>
      <c r="I801" s="106"/>
      <c r="J801" s="161">
        <v>2.2000000000000002E-2</v>
      </c>
      <c r="K801" s="142">
        <f>'UPAH BAHAN'!$H$22</f>
        <v>135000</v>
      </c>
      <c r="L801" s="100">
        <f>J801*K801</f>
        <v>2970.0000000000005</v>
      </c>
      <c r="M801" s="148" t="s">
        <v>233</v>
      </c>
      <c r="N801" s="101">
        <f t="shared" si="161"/>
        <v>2970.0000000000005</v>
      </c>
      <c r="O801" s="530"/>
      <c r="P801" s="132"/>
      <c r="Q801" s="140"/>
      <c r="R801" s="133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8"/>
    </row>
    <row r="802" spans="1:30" ht="14.1" customHeight="1" x14ac:dyDescent="0.3">
      <c r="A802" s="198"/>
      <c r="B802" s="106" t="s">
        <v>233</v>
      </c>
      <c r="C802" s="1" t="s">
        <v>289</v>
      </c>
      <c r="D802" s="1"/>
      <c r="E802" s="1"/>
      <c r="F802" s="1"/>
      <c r="G802" s="1"/>
      <c r="H802" s="7"/>
      <c r="I802" s="106"/>
      <c r="J802" s="161">
        <v>8.0000000000000002E-3</v>
      </c>
      <c r="K802" s="142">
        <f>'UPAH BAHAN'!$H$25</f>
        <v>150000</v>
      </c>
      <c r="L802" s="100">
        <f>J802*K802</f>
        <v>1200</v>
      </c>
      <c r="M802" s="148" t="s">
        <v>233</v>
      </c>
      <c r="N802" s="101">
        <f t="shared" si="161"/>
        <v>1200</v>
      </c>
      <c r="O802" s="530"/>
      <c r="P802" s="132"/>
      <c r="Q802" s="140"/>
      <c r="R802" s="133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8"/>
    </row>
    <row r="803" spans="1:30" ht="14.1" customHeight="1" thickBot="1" x14ac:dyDescent="0.35">
      <c r="A803" s="198"/>
      <c r="B803" s="106" t="s">
        <v>233</v>
      </c>
      <c r="C803" s="1" t="s">
        <v>280</v>
      </c>
      <c r="D803" s="1"/>
      <c r="E803" s="1"/>
      <c r="F803" s="1"/>
      <c r="G803" s="1"/>
      <c r="H803" s="7"/>
      <c r="I803" s="141" t="s">
        <v>250</v>
      </c>
      <c r="J803" s="161">
        <v>1</v>
      </c>
      <c r="K803" s="142">
        <v>250</v>
      </c>
      <c r="L803" s="171" t="s">
        <v>233</v>
      </c>
      <c r="M803" s="99">
        <f>J803*K803</f>
        <v>250</v>
      </c>
      <c r="N803" s="101">
        <f t="shared" si="161"/>
        <v>250</v>
      </c>
      <c r="O803" s="530"/>
      <c r="P803" s="164"/>
      <c r="Q803" s="165"/>
      <c r="R803" s="166"/>
      <c r="S803" s="167"/>
      <c r="T803" s="167"/>
      <c r="U803" s="167"/>
      <c r="V803" s="167"/>
      <c r="W803" s="168"/>
      <c r="X803" s="168"/>
      <c r="Y803" s="167"/>
      <c r="Z803" s="167"/>
      <c r="AA803" s="167"/>
      <c r="AB803" s="167"/>
      <c r="AC803" s="167"/>
      <c r="AD803" s="169"/>
    </row>
    <row r="804" spans="1:30" ht="14.1" customHeight="1" thickBot="1" x14ac:dyDescent="0.35">
      <c r="A804" s="198"/>
      <c r="B804" s="1"/>
      <c r="C804" s="1"/>
      <c r="D804" s="1"/>
      <c r="E804" s="1"/>
      <c r="F804" s="1"/>
      <c r="G804" s="1"/>
      <c r="H804" s="7"/>
      <c r="I804" s="107"/>
      <c r="J804" s="107"/>
      <c r="K804" s="150" t="s">
        <v>245</v>
      </c>
      <c r="L804" s="107">
        <f>SUM(L799:L803)</f>
        <v>6480.0000000000009</v>
      </c>
      <c r="M804" s="108">
        <f>SUM(M799:M803)</f>
        <v>12350.000000000002</v>
      </c>
      <c r="N804" s="109">
        <f t="shared" si="161"/>
        <v>18830.000000000004</v>
      </c>
      <c r="O804" s="530"/>
      <c r="P804" s="151"/>
      <c r="Q804" s="152"/>
      <c r="R804" s="152">
        <f t="shared" ref="R804:AC804" si="162">SUM(R800:R803)</f>
        <v>0</v>
      </c>
      <c r="S804" s="152">
        <f t="shared" si="162"/>
        <v>0</v>
      </c>
      <c r="T804" s="152">
        <f t="shared" si="162"/>
        <v>0</v>
      </c>
      <c r="U804" s="152">
        <f t="shared" si="162"/>
        <v>0</v>
      </c>
      <c r="V804" s="152">
        <f t="shared" si="162"/>
        <v>0</v>
      </c>
      <c r="W804" s="152">
        <f t="shared" si="162"/>
        <v>0</v>
      </c>
      <c r="X804" s="152">
        <f t="shared" si="162"/>
        <v>0</v>
      </c>
      <c r="Y804" s="152">
        <f t="shared" si="162"/>
        <v>0</v>
      </c>
      <c r="Z804" s="152">
        <f t="shared" si="162"/>
        <v>0</v>
      </c>
      <c r="AA804" s="152">
        <f t="shared" si="162"/>
        <v>0</v>
      </c>
      <c r="AB804" s="152">
        <f t="shared" si="162"/>
        <v>0</v>
      </c>
      <c r="AC804" s="152">
        <f t="shared" si="162"/>
        <v>0</v>
      </c>
      <c r="AD804" s="153"/>
    </row>
    <row r="805" spans="1:30" ht="14.1" customHeight="1" x14ac:dyDescent="0.3">
      <c r="A805" s="198"/>
      <c r="B805" s="1"/>
      <c r="C805" s="1"/>
      <c r="D805" s="1"/>
      <c r="E805" s="1"/>
      <c r="F805" s="1"/>
      <c r="G805" s="1"/>
      <c r="H805" s="7"/>
      <c r="I805" s="100"/>
      <c r="J805" s="100"/>
      <c r="K805" s="154" t="s">
        <v>246</v>
      </c>
      <c r="L805" s="100"/>
      <c r="M805" s="99"/>
      <c r="N805" s="101">
        <f>N804*10%</f>
        <v>1883.0000000000005</v>
      </c>
      <c r="O805" s="530"/>
    </row>
    <row r="806" spans="1:30" ht="14.1" customHeight="1" thickBot="1" x14ac:dyDescent="0.35">
      <c r="A806" s="198"/>
      <c r="B806" s="1"/>
      <c r="C806" s="1"/>
      <c r="D806" s="1"/>
      <c r="E806" s="1"/>
      <c r="F806" s="1"/>
      <c r="G806" s="1"/>
      <c r="H806" s="7"/>
      <c r="I806" s="100"/>
      <c r="J806" s="100"/>
      <c r="K806" s="154" t="s">
        <v>247</v>
      </c>
      <c r="L806" s="100"/>
      <c r="M806" s="148"/>
      <c r="N806" s="101">
        <f>N804+N805</f>
        <v>20713.000000000004</v>
      </c>
      <c r="O806" s="530"/>
    </row>
    <row r="807" spans="1:30" ht="14.1" customHeight="1" thickBot="1" x14ac:dyDescent="0.35">
      <c r="A807" s="247">
        <f>A798+1</f>
        <v>34</v>
      </c>
      <c r="B807" s="236" t="s">
        <v>322</v>
      </c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50"/>
      <c r="O807" s="530"/>
      <c r="P807" s="156" t="str">
        <f>B1185</f>
        <v>1 m' Pemasangan pipa PVC dia.  6" melalui galian tanah keras</v>
      </c>
      <c r="Q807" s="157"/>
      <c r="R807" s="158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60"/>
    </row>
    <row r="808" spans="1:30" ht="14.1" customHeight="1" x14ac:dyDescent="0.3">
      <c r="A808" s="198"/>
      <c r="B808" s="106" t="s">
        <v>233</v>
      </c>
      <c r="C808" s="1" t="s">
        <v>323</v>
      </c>
      <c r="D808" s="1"/>
      <c r="E808" s="1"/>
      <c r="F808" s="1"/>
      <c r="G808" s="1"/>
      <c r="H808" s="7"/>
      <c r="I808" s="141" t="s">
        <v>28</v>
      </c>
      <c r="J808" s="161">
        <v>1.1000000000000001</v>
      </c>
      <c r="K808" s="142">
        <f>'UPAH BAHAN'!$H$62</f>
        <v>11000</v>
      </c>
      <c r="L808" s="171" t="s">
        <v>233</v>
      </c>
      <c r="M808" s="99">
        <f>J808*K808</f>
        <v>12100.000000000002</v>
      </c>
      <c r="N808" s="101">
        <f t="shared" ref="N808:N813" si="163">L808+M808</f>
        <v>12100.000000000002</v>
      </c>
      <c r="O808" s="530"/>
      <c r="P808" s="132"/>
      <c r="Q808" s="140"/>
      <c r="R808" s="133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8"/>
    </row>
    <row r="809" spans="1:30" ht="14.1" customHeight="1" x14ac:dyDescent="0.3">
      <c r="A809" s="198"/>
      <c r="B809" s="106" t="s">
        <v>233</v>
      </c>
      <c r="C809" s="1" t="s">
        <v>128</v>
      </c>
      <c r="D809" s="1"/>
      <c r="E809" s="1"/>
      <c r="F809" s="1"/>
      <c r="G809" s="1"/>
      <c r="H809" s="7"/>
      <c r="I809" s="106"/>
      <c r="J809" s="161">
        <v>2.2000000000000002E-2</v>
      </c>
      <c r="K809" s="142">
        <f>'UPAH BAHAN'!$H$19</f>
        <v>105000</v>
      </c>
      <c r="L809" s="100">
        <f>J809*K809</f>
        <v>2310.0000000000005</v>
      </c>
      <c r="M809" s="148" t="s">
        <v>233</v>
      </c>
      <c r="N809" s="101">
        <f t="shared" si="163"/>
        <v>2310.0000000000005</v>
      </c>
      <c r="O809" s="530"/>
      <c r="P809" s="132"/>
      <c r="Q809" s="140"/>
      <c r="R809" s="133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8"/>
    </row>
    <row r="810" spans="1:30" ht="14.1" customHeight="1" x14ac:dyDescent="0.3">
      <c r="A810" s="198"/>
      <c r="B810" s="106" t="s">
        <v>233</v>
      </c>
      <c r="C810" s="1" t="s">
        <v>132</v>
      </c>
      <c r="D810" s="1"/>
      <c r="E810" s="1"/>
      <c r="F810" s="1"/>
      <c r="G810" s="1"/>
      <c r="H810" s="7"/>
      <c r="I810" s="106"/>
      <c r="J810" s="161">
        <v>2.2000000000000002E-2</v>
      </c>
      <c r="K810" s="142">
        <f>'UPAH BAHAN'!$H$22</f>
        <v>135000</v>
      </c>
      <c r="L810" s="100">
        <f>J810*K810</f>
        <v>2970.0000000000005</v>
      </c>
      <c r="M810" s="148" t="s">
        <v>233</v>
      </c>
      <c r="N810" s="101">
        <f t="shared" si="163"/>
        <v>2970.0000000000005</v>
      </c>
      <c r="O810" s="530"/>
      <c r="P810" s="132"/>
      <c r="Q810" s="140"/>
      <c r="R810" s="133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8"/>
    </row>
    <row r="811" spans="1:30" ht="14.1" customHeight="1" thickBot="1" x14ac:dyDescent="0.35">
      <c r="A811" s="198"/>
      <c r="B811" s="106" t="s">
        <v>233</v>
      </c>
      <c r="C811" s="1" t="s">
        <v>289</v>
      </c>
      <c r="D811" s="1"/>
      <c r="E811" s="1"/>
      <c r="F811" s="1"/>
      <c r="G811" s="1"/>
      <c r="H811" s="7"/>
      <c r="I811" s="106"/>
      <c r="J811" s="161">
        <v>8.0000000000000002E-3</v>
      </c>
      <c r="K811" s="142">
        <f>'UPAH BAHAN'!$H$25</f>
        <v>150000</v>
      </c>
      <c r="L811" s="100">
        <f>J811*K811</f>
        <v>1200</v>
      </c>
      <c r="M811" s="148" t="s">
        <v>233</v>
      </c>
      <c r="N811" s="101">
        <f t="shared" si="163"/>
        <v>1200</v>
      </c>
      <c r="O811" s="530"/>
      <c r="P811" s="164"/>
      <c r="Q811" s="165"/>
      <c r="R811" s="166"/>
      <c r="S811" s="167"/>
      <c r="T811" s="167"/>
      <c r="U811" s="167"/>
      <c r="V811" s="167"/>
      <c r="W811" s="168"/>
      <c r="X811" s="168"/>
      <c r="Y811" s="167"/>
      <c r="Z811" s="167"/>
      <c r="AA811" s="167"/>
      <c r="AB811" s="167"/>
      <c r="AC811" s="167"/>
      <c r="AD811" s="169"/>
    </row>
    <row r="812" spans="1:30" ht="14.1" customHeight="1" thickBot="1" x14ac:dyDescent="0.35">
      <c r="A812" s="198"/>
      <c r="B812" s="106" t="s">
        <v>233</v>
      </c>
      <c r="C812" s="1" t="s">
        <v>280</v>
      </c>
      <c r="D812" s="1"/>
      <c r="E812" s="1"/>
      <c r="F812" s="1"/>
      <c r="G812" s="1"/>
      <c r="H812" s="7"/>
      <c r="I812" s="141" t="s">
        <v>250</v>
      </c>
      <c r="J812" s="161">
        <v>1</v>
      </c>
      <c r="K812" s="142">
        <f>$K$803</f>
        <v>250</v>
      </c>
      <c r="L812" s="171" t="s">
        <v>233</v>
      </c>
      <c r="M812" s="99">
        <f>J812*K812</f>
        <v>250</v>
      </c>
      <c r="N812" s="101">
        <f t="shared" si="163"/>
        <v>250</v>
      </c>
      <c r="O812" s="530"/>
      <c r="P812" s="151"/>
      <c r="Q812" s="152"/>
      <c r="R812" s="152">
        <f t="shared" ref="R812:AC812" si="164">SUM(R808:R811)</f>
        <v>0</v>
      </c>
      <c r="S812" s="152">
        <f t="shared" si="164"/>
        <v>0</v>
      </c>
      <c r="T812" s="152">
        <f t="shared" si="164"/>
        <v>0</v>
      </c>
      <c r="U812" s="152">
        <f t="shared" si="164"/>
        <v>0</v>
      </c>
      <c r="V812" s="152">
        <f t="shared" si="164"/>
        <v>0</v>
      </c>
      <c r="W812" s="152">
        <f t="shared" si="164"/>
        <v>0</v>
      </c>
      <c r="X812" s="152">
        <f t="shared" si="164"/>
        <v>0</v>
      </c>
      <c r="Y812" s="152">
        <f t="shared" si="164"/>
        <v>0</v>
      </c>
      <c r="Z812" s="152">
        <f t="shared" si="164"/>
        <v>0</v>
      </c>
      <c r="AA812" s="152">
        <f t="shared" si="164"/>
        <v>0</v>
      </c>
      <c r="AB812" s="152">
        <f t="shared" si="164"/>
        <v>0</v>
      </c>
      <c r="AC812" s="152">
        <f t="shared" si="164"/>
        <v>0</v>
      </c>
      <c r="AD812" s="153"/>
    </row>
    <row r="813" spans="1:30" ht="14.1" customHeight="1" x14ac:dyDescent="0.3">
      <c r="A813" s="198"/>
      <c r="B813" s="1"/>
      <c r="C813" s="1"/>
      <c r="D813" s="1"/>
      <c r="E813" s="1"/>
      <c r="F813" s="1"/>
      <c r="G813" s="1"/>
      <c r="H813" s="7"/>
      <c r="I813" s="107"/>
      <c r="J813" s="107"/>
      <c r="K813" s="150" t="s">
        <v>245</v>
      </c>
      <c r="L813" s="107">
        <f>SUM(L808:L812)</f>
        <v>6480.0000000000009</v>
      </c>
      <c r="M813" s="108">
        <f>SUM(M808:M812)</f>
        <v>12350.000000000002</v>
      </c>
      <c r="N813" s="109">
        <f t="shared" si="163"/>
        <v>18830.000000000004</v>
      </c>
      <c r="O813" s="530"/>
    </row>
    <row r="814" spans="1:30" ht="14.1" customHeight="1" x14ac:dyDescent="0.3">
      <c r="A814" s="198"/>
      <c r="B814" s="1"/>
      <c r="C814" s="1"/>
      <c r="D814" s="1"/>
      <c r="E814" s="1"/>
      <c r="F814" s="1"/>
      <c r="G814" s="1"/>
      <c r="H814" s="7"/>
      <c r="I814" s="100"/>
      <c r="J814" s="100"/>
      <c r="K814" s="154" t="s">
        <v>246</v>
      </c>
      <c r="L814" s="100"/>
      <c r="M814" s="99"/>
      <c r="N814" s="101">
        <f>N813*10%</f>
        <v>1883.0000000000005</v>
      </c>
      <c r="O814" s="530"/>
    </row>
    <row r="815" spans="1:30" ht="14.1" customHeight="1" x14ac:dyDescent="0.3">
      <c r="A815" s="198"/>
      <c r="B815" s="1"/>
      <c r="C815" s="1"/>
      <c r="D815" s="1"/>
      <c r="E815" s="1"/>
      <c r="F815" s="1"/>
      <c r="G815" s="1"/>
      <c r="H815" s="142"/>
      <c r="I815" s="100"/>
      <c r="J815" s="100"/>
      <c r="K815" s="154" t="s">
        <v>247</v>
      </c>
      <c r="L815" s="100"/>
      <c r="M815" s="148"/>
      <c r="N815" s="101">
        <f>N813+N814</f>
        <v>20713.000000000004</v>
      </c>
      <c r="O815" s="530"/>
    </row>
    <row r="816" spans="1:30" ht="14.1" customHeight="1" thickBot="1" x14ac:dyDescent="0.35">
      <c r="A816" s="178"/>
      <c r="B816" s="179"/>
      <c r="C816" s="179"/>
      <c r="D816" s="179"/>
      <c r="E816" s="179"/>
      <c r="F816" s="179"/>
      <c r="G816" s="179"/>
      <c r="H816" s="180"/>
      <c r="I816" s="194"/>
      <c r="J816" s="181"/>
      <c r="K816" s="180"/>
      <c r="L816" s="180"/>
      <c r="M816" s="180"/>
      <c r="N816" s="182"/>
      <c r="O816" s="530"/>
    </row>
    <row r="817" spans="1:30" ht="14.1" customHeight="1" x14ac:dyDescent="0.3">
      <c r="A817" s="106"/>
      <c r="B817" s="1"/>
      <c r="C817" s="1"/>
      <c r="D817" s="1"/>
      <c r="E817" s="1"/>
      <c r="F817" s="1"/>
      <c r="G817" s="1"/>
      <c r="H817" s="1"/>
      <c r="I817" s="1"/>
      <c r="J817" s="100"/>
      <c r="K817" s="100"/>
      <c r="L817" s="100"/>
      <c r="M817" s="100"/>
      <c r="N817" s="100"/>
      <c r="O817" s="530"/>
    </row>
    <row r="818" spans="1:30" ht="14.1" customHeight="1" thickBot="1" x14ac:dyDescent="0.35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3" t="s">
        <v>324</v>
      </c>
      <c r="O818" s="530"/>
    </row>
    <row r="819" spans="1:30" ht="14.1" customHeight="1" x14ac:dyDescent="0.3">
      <c r="A819" s="1589" t="s">
        <v>9</v>
      </c>
      <c r="B819" s="1592" t="s">
        <v>10</v>
      </c>
      <c r="C819" s="1592"/>
      <c r="D819" s="1592"/>
      <c r="E819" s="1592"/>
      <c r="F819" s="1592"/>
      <c r="G819" s="1592"/>
      <c r="H819" s="1593"/>
      <c r="I819" s="1543" t="s">
        <v>210</v>
      </c>
      <c r="J819" s="1543" t="s">
        <v>211</v>
      </c>
      <c r="K819" s="73" t="s">
        <v>212</v>
      </c>
      <c r="L819" s="1598" t="s">
        <v>12</v>
      </c>
      <c r="M819" s="1599"/>
      <c r="N819" s="1600"/>
      <c r="O819" s="530"/>
    </row>
    <row r="820" spans="1:30" ht="14.1" customHeight="1" x14ac:dyDescent="0.3">
      <c r="A820" s="1590"/>
      <c r="B820" s="1594"/>
      <c r="C820" s="1594"/>
      <c r="D820" s="1594"/>
      <c r="E820" s="1594"/>
      <c r="F820" s="1594"/>
      <c r="G820" s="1594"/>
      <c r="H820" s="1595"/>
      <c r="I820" s="1544"/>
      <c r="J820" s="1544"/>
      <c r="K820" s="75" t="s">
        <v>11</v>
      </c>
      <c r="L820" s="75" t="s">
        <v>217</v>
      </c>
      <c r="M820" s="75" t="s">
        <v>218</v>
      </c>
      <c r="N820" s="76" t="s">
        <v>219</v>
      </c>
      <c r="O820" s="530"/>
    </row>
    <row r="821" spans="1:30" ht="14.1" customHeight="1" thickBot="1" x14ac:dyDescent="0.35">
      <c r="A821" s="1591"/>
      <c r="B821" s="1596"/>
      <c r="C821" s="1596"/>
      <c r="D821" s="1596"/>
      <c r="E821" s="1596"/>
      <c r="F821" s="1596"/>
      <c r="G821" s="1596"/>
      <c r="H821" s="1597"/>
      <c r="I821" s="1545"/>
      <c r="J821" s="1545"/>
      <c r="K821" s="81" t="s">
        <v>228</v>
      </c>
      <c r="L821" s="81" t="s">
        <v>228</v>
      </c>
      <c r="M821" s="81" t="s">
        <v>228</v>
      </c>
      <c r="N821" s="82" t="s">
        <v>228</v>
      </c>
      <c r="O821" s="530"/>
    </row>
    <row r="822" spans="1:30" ht="14.1" customHeight="1" thickBot="1" x14ac:dyDescent="0.35">
      <c r="A822" s="86"/>
      <c r="B822" s="12"/>
      <c r="C822" s="12"/>
      <c r="D822" s="12"/>
      <c r="E822" s="12"/>
      <c r="F822" s="12"/>
      <c r="G822" s="12"/>
      <c r="H822" s="75"/>
      <c r="I822" s="12"/>
      <c r="J822" s="87"/>
      <c r="K822" s="75"/>
      <c r="L822" s="75"/>
      <c r="M822" s="75"/>
      <c r="N822" s="88"/>
      <c r="O822" s="530"/>
      <c r="P822" s="156" t="str">
        <f>B1200</f>
        <v>1 m' Pemasangan pipa PVC dia.  4" melalui galian tanah biasa</v>
      </c>
      <c r="Q822" s="157"/>
      <c r="R822" s="158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60"/>
    </row>
    <row r="823" spans="1:30" ht="14.1" customHeight="1" x14ac:dyDescent="0.3">
      <c r="A823" s="183">
        <f>A807+1</f>
        <v>35</v>
      </c>
      <c r="B823" s="95" t="s">
        <v>325</v>
      </c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197"/>
      <c r="O823" s="533"/>
      <c r="P823" s="132"/>
      <c r="Q823" s="140"/>
      <c r="R823" s="133"/>
      <c r="S823" s="279"/>
      <c r="T823" s="279"/>
      <c r="U823" s="279"/>
      <c r="V823" s="279"/>
      <c r="W823" s="279"/>
      <c r="X823" s="279"/>
      <c r="Y823" s="279"/>
      <c r="Z823" s="279"/>
      <c r="AA823" s="279"/>
      <c r="AB823" s="279"/>
      <c r="AC823" s="279"/>
      <c r="AD823" s="280"/>
    </row>
    <row r="824" spans="1:30" ht="14.1" customHeight="1" x14ac:dyDescent="0.3">
      <c r="A824" s="184"/>
      <c r="B824" s="199" t="s">
        <v>231</v>
      </c>
      <c r="C824" s="10" t="s">
        <v>326</v>
      </c>
      <c r="D824" s="1"/>
      <c r="E824" s="1"/>
      <c r="F824" s="1"/>
      <c r="G824" s="1"/>
      <c r="H824" s="7"/>
      <c r="J824" s="200"/>
      <c r="K824" s="7"/>
      <c r="L824" s="142"/>
      <c r="M824" s="142"/>
      <c r="N824" s="101"/>
      <c r="O824" s="530"/>
      <c r="P824" s="132"/>
      <c r="Q824" s="140"/>
      <c r="R824" s="133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8"/>
    </row>
    <row r="825" spans="1:30" ht="14.1" customHeight="1" x14ac:dyDescent="0.3">
      <c r="A825" s="184"/>
      <c r="B825" s="106"/>
      <c r="C825" s="105" t="s">
        <v>311</v>
      </c>
      <c r="D825" s="1"/>
      <c r="E825" s="1"/>
      <c r="F825" s="1"/>
      <c r="G825" s="1"/>
      <c r="H825" s="7"/>
      <c r="I825" s="201" t="s">
        <v>28</v>
      </c>
      <c r="J825" s="202">
        <v>4.38</v>
      </c>
      <c r="K825" s="142">
        <f>$L$804</f>
        <v>6480.0000000000009</v>
      </c>
      <c r="L825" s="142">
        <f>J825*K825</f>
        <v>28382.400000000005</v>
      </c>
      <c r="M825" s="203" t="s">
        <v>233</v>
      </c>
      <c r="N825" s="204">
        <f>L825+M825</f>
        <v>28382.400000000005</v>
      </c>
      <c r="O825" s="530"/>
      <c r="P825" s="132"/>
      <c r="Q825" s="140"/>
      <c r="R825" s="133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8"/>
    </row>
    <row r="826" spans="1:30" ht="14.1" customHeight="1" thickBot="1" x14ac:dyDescent="0.35">
      <c r="A826" s="184"/>
      <c r="B826" s="106"/>
      <c r="C826" s="105" t="s">
        <v>327</v>
      </c>
      <c r="D826" s="1"/>
      <c r="E826" s="1"/>
      <c r="F826" s="1"/>
      <c r="G826" s="1"/>
      <c r="H826" s="7"/>
      <c r="I826" s="201" t="s">
        <v>28</v>
      </c>
      <c r="J826" s="202">
        <f>J825</f>
        <v>4.38</v>
      </c>
      <c r="K826" s="142">
        <f>$M$804</f>
        <v>12350.000000000002</v>
      </c>
      <c r="L826" s="205" t="s">
        <v>233</v>
      </c>
      <c r="M826" s="142">
        <f>J826*K826</f>
        <v>54093.000000000007</v>
      </c>
      <c r="N826" s="101">
        <f>L826+M826</f>
        <v>54093.000000000007</v>
      </c>
      <c r="O826" s="530"/>
      <c r="P826" s="164"/>
      <c r="Q826" s="165"/>
      <c r="R826" s="166"/>
      <c r="S826" s="167"/>
      <c r="T826" s="167"/>
      <c r="U826" s="167"/>
      <c r="V826" s="167"/>
      <c r="W826" s="168"/>
      <c r="X826" s="168"/>
      <c r="Y826" s="167"/>
      <c r="Z826" s="167"/>
      <c r="AA826" s="167"/>
      <c r="AB826" s="167"/>
      <c r="AC826" s="167"/>
      <c r="AD826" s="169"/>
    </row>
    <row r="827" spans="1:30" ht="14.1" customHeight="1" thickBot="1" x14ac:dyDescent="0.35">
      <c r="A827" s="184"/>
      <c r="B827" s="206" t="s">
        <v>234</v>
      </c>
      <c r="C827" s="10" t="s">
        <v>328</v>
      </c>
      <c r="D827" s="1"/>
      <c r="E827" s="1"/>
      <c r="F827" s="1"/>
      <c r="G827" s="1"/>
      <c r="H827" s="7"/>
      <c r="I827" s="201" t="s">
        <v>329</v>
      </c>
      <c r="J827" s="207">
        <v>6</v>
      </c>
      <c r="K827" s="142">
        <v>2000</v>
      </c>
      <c r="L827" s="142">
        <f>J827*K827</f>
        <v>12000</v>
      </c>
      <c r="M827" s="203" t="s">
        <v>233</v>
      </c>
      <c r="N827" s="204">
        <f>L827+M827</f>
        <v>12000</v>
      </c>
      <c r="O827" s="530"/>
      <c r="P827" s="151"/>
      <c r="Q827" s="152"/>
      <c r="R827" s="152">
        <f t="shared" ref="R827:AC827" si="165">SUM(R823:R826)</f>
        <v>0</v>
      </c>
      <c r="S827" s="152">
        <f t="shared" si="165"/>
        <v>0</v>
      </c>
      <c r="T827" s="152">
        <f t="shared" si="165"/>
        <v>0</v>
      </c>
      <c r="U827" s="152">
        <f t="shared" si="165"/>
        <v>0</v>
      </c>
      <c r="V827" s="152">
        <f t="shared" si="165"/>
        <v>0</v>
      </c>
      <c r="W827" s="152">
        <f t="shared" si="165"/>
        <v>0</v>
      </c>
      <c r="X827" s="152">
        <f t="shared" si="165"/>
        <v>0</v>
      </c>
      <c r="Y827" s="152">
        <f t="shared" si="165"/>
        <v>0</v>
      </c>
      <c r="Z827" s="152">
        <f t="shared" si="165"/>
        <v>0</v>
      </c>
      <c r="AA827" s="152">
        <f t="shared" si="165"/>
        <v>0</v>
      </c>
      <c r="AB827" s="152">
        <f t="shared" si="165"/>
        <v>0</v>
      </c>
      <c r="AC827" s="152">
        <f t="shared" si="165"/>
        <v>0</v>
      </c>
      <c r="AD827" s="153"/>
    </row>
    <row r="828" spans="1:30" ht="14.1" customHeight="1" x14ac:dyDescent="0.3">
      <c r="A828" s="184"/>
      <c r="B828" s="206" t="s">
        <v>251</v>
      </c>
      <c r="C828" s="10" t="s">
        <v>330</v>
      </c>
      <c r="D828" s="1"/>
      <c r="E828" s="1"/>
      <c r="F828" s="1"/>
      <c r="G828" s="1"/>
      <c r="H828" s="7"/>
      <c r="I828" s="201" t="s">
        <v>250</v>
      </c>
      <c r="J828" s="207">
        <v>1</v>
      </c>
      <c r="K828" s="142">
        <v>1500</v>
      </c>
      <c r="L828" s="142">
        <f>J828*K828</f>
        <v>1500</v>
      </c>
      <c r="M828" s="203" t="s">
        <v>233</v>
      </c>
      <c r="N828" s="204">
        <f>L828+M828</f>
        <v>1500</v>
      </c>
      <c r="O828" s="530"/>
    </row>
    <row r="829" spans="1:30" ht="14.1" customHeight="1" thickBot="1" x14ac:dyDescent="0.35">
      <c r="A829" s="184"/>
      <c r="B829" s="1"/>
      <c r="C829" s="1"/>
      <c r="D829" s="1"/>
      <c r="E829" s="1"/>
      <c r="F829" s="1"/>
      <c r="G829" s="1"/>
      <c r="H829" s="7"/>
      <c r="I829" s="107"/>
      <c r="J829" s="107"/>
      <c r="K829" s="150" t="s">
        <v>245</v>
      </c>
      <c r="L829" s="107">
        <f>SUM(L825:L828)</f>
        <v>41882.400000000009</v>
      </c>
      <c r="M829" s="108">
        <f>SUM(M825:M828)</f>
        <v>54093.000000000007</v>
      </c>
      <c r="N829" s="109">
        <f>SUM(N825:N828)</f>
        <v>95975.400000000009</v>
      </c>
      <c r="O829" s="530"/>
    </row>
    <row r="830" spans="1:30" ht="14.1" customHeight="1" thickBot="1" x14ac:dyDescent="0.35">
      <c r="A830" s="184"/>
      <c r="B830" s="1"/>
      <c r="C830" s="1"/>
      <c r="D830" s="1"/>
      <c r="E830" s="1"/>
      <c r="F830" s="1"/>
      <c r="G830" s="1"/>
      <c r="H830" s="7"/>
      <c r="I830" s="100"/>
      <c r="J830" s="100"/>
      <c r="K830" s="289" t="s">
        <v>512</v>
      </c>
      <c r="L830" s="100"/>
      <c r="M830" s="99"/>
      <c r="N830" s="101">
        <f>N829*15%</f>
        <v>14396.310000000001</v>
      </c>
      <c r="O830" s="530"/>
      <c r="P830" s="156" t="str">
        <f>B1208</f>
        <v>1 m' Pemasangan pipa PVC dia.  4" melalui galian tanah keras</v>
      </c>
      <c r="Q830" s="157"/>
      <c r="R830" s="158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60"/>
    </row>
    <row r="831" spans="1:30" ht="14.1" customHeight="1" x14ac:dyDescent="0.3">
      <c r="A831" s="184"/>
      <c r="B831" s="1"/>
      <c r="C831" s="1"/>
      <c r="D831" s="1"/>
      <c r="E831" s="1"/>
      <c r="F831" s="1"/>
      <c r="G831" s="1"/>
      <c r="H831" s="7"/>
      <c r="I831" s="100"/>
      <c r="J831" s="100"/>
      <c r="K831" s="154" t="s">
        <v>247</v>
      </c>
      <c r="L831" s="100"/>
      <c r="M831" s="148"/>
      <c r="N831" s="101">
        <f>N829+N830</f>
        <v>110371.71</v>
      </c>
      <c r="O831" s="530"/>
      <c r="P831" s="132"/>
      <c r="Q831" s="140"/>
      <c r="R831" s="133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8"/>
    </row>
    <row r="832" spans="1:30" ht="14.1" customHeight="1" x14ac:dyDescent="0.3">
      <c r="A832" s="183">
        <f>A823+1</f>
        <v>36</v>
      </c>
      <c r="B832" s="95" t="s">
        <v>331</v>
      </c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197"/>
      <c r="O832" s="533"/>
      <c r="P832" s="132"/>
      <c r="Q832" s="140"/>
      <c r="R832" s="133"/>
      <c r="S832" s="279"/>
      <c r="T832" s="279"/>
      <c r="U832" s="279"/>
      <c r="V832" s="279"/>
      <c r="W832" s="279"/>
      <c r="X832" s="279"/>
      <c r="Y832" s="279"/>
      <c r="Z832" s="279"/>
      <c r="AA832" s="279"/>
      <c r="AB832" s="279"/>
      <c r="AC832" s="279"/>
      <c r="AD832" s="280"/>
    </row>
    <row r="833" spans="1:30" ht="14.1" customHeight="1" x14ac:dyDescent="0.3">
      <c r="A833" s="198"/>
      <c r="B833" s="106" t="s">
        <v>233</v>
      </c>
      <c r="C833" s="1" t="s">
        <v>179</v>
      </c>
      <c r="D833" s="1"/>
      <c r="E833" s="1"/>
      <c r="F833" s="1"/>
      <c r="G833" s="1"/>
      <c r="H833" s="7"/>
      <c r="I833" s="141" t="s">
        <v>28</v>
      </c>
      <c r="J833" s="161">
        <v>0.1</v>
      </c>
      <c r="K833" s="142">
        <f>'UPAH BAHAN'!$H$69</f>
        <v>21000</v>
      </c>
      <c r="L833" s="171" t="s">
        <v>233</v>
      </c>
      <c r="M833" s="99">
        <f t="shared" ref="M833:M838" si="166">J833*K833</f>
        <v>2100</v>
      </c>
      <c r="N833" s="101">
        <f t="shared" ref="N833:N842" si="167">L833+M833</f>
        <v>2100</v>
      </c>
      <c r="O833" s="530"/>
      <c r="P833" s="132"/>
      <c r="Q833" s="140"/>
      <c r="R833" s="133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8"/>
    </row>
    <row r="834" spans="1:30" ht="14.1" customHeight="1" thickBot="1" x14ac:dyDescent="0.35">
      <c r="A834" s="198"/>
      <c r="B834" s="106" t="s">
        <v>233</v>
      </c>
      <c r="C834" s="1" t="s">
        <v>332</v>
      </c>
      <c r="D834" s="1"/>
      <c r="E834" s="1"/>
      <c r="F834" s="1"/>
      <c r="G834" s="1"/>
      <c r="H834" s="7"/>
      <c r="I834" s="141" t="s">
        <v>28</v>
      </c>
      <c r="J834" s="161">
        <v>8.3000000000000004E-2</v>
      </c>
      <c r="K834" s="142">
        <f>'UPAH BAHAN'!$H$64</f>
        <v>65000</v>
      </c>
      <c r="L834" s="171" t="s">
        <v>233</v>
      </c>
      <c r="M834" s="99">
        <f t="shared" si="166"/>
        <v>5395</v>
      </c>
      <c r="N834" s="101">
        <f t="shared" si="167"/>
        <v>5395</v>
      </c>
      <c r="O834" s="530"/>
      <c r="P834" s="164"/>
      <c r="Q834" s="165"/>
      <c r="R834" s="166"/>
      <c r="S834" s="167"/>
      <c r="T834" s="167"/>
      <c r="U834" s="167"/>
      <c r="V834" s="167"/>
      <c r="W834" s="168"/>
      <c r="X834" s="168"/>
      <c r="Y834" s="167"/>
      <c r="Z834" s="167"/>
      <c r="AA834" s="167"/>
      <c r="AB834" s="167"/>
      <c r="AC834" s="167"/>
      <c r="AD834" s="169"/>
    </row>
    <row r="835" spans="1:30" ht="14.1" customHeight="1" thickBot="1" x14ac:dyDescent="0.35">
      <c r="A835" s="198"/>
      <c r="B835" s="106" t="s">
        <v>233</v>
      </c>
      <c r="C835" s="1" t="s">
        <v>173</v>
      </c>
      <c r="D835" s="1"/>
      <c r="E835" s="1"/>
      <c r="F835" s="1"/>
      <c r="G835" s="1"/>
      <c r="H835" s="7"/>
      <c r="I835" s="141" t="s">
        <v>28</v>
      </c>
      <c r="J835" s="161">
        <v>0.2</v>
      </c>
      <c r="K835" s="142">
        <f>'UPAH BAHAN'!$H$64</f>
        <v>65000</v>
      </c>
      <c r="L835" s="171" t="s">
        <v>233</v>
      </c>
      <c r="M835" s="99">
        <f t="shared" si="166"/>
        <v>13000</v>
      </c>
      <c r="N835" s="101">
        <f t="shared" si="167"/>
        <v>13000</v>
      </c>
      <c r="O835" s="530"/>
      <c r="P835" s="151"/>
      <c r="Q835" s="152"/>
      <c r="R835" s="152">
        <f t="shared" ref="R835:AC835" si="168">SUM(R831:R834)</f>
        <v>0</v>
      </c>
      <c r="S835" s="152">
        <f t="shared" si="168"/>
        <v>0</v>
      </c>
      <c r="T835" s="152">
        <f t="shared" si="168"/>
        <v>0</v>
      </c>
      <c r="U835" s="152">
        <f t="shared" si="168"/>
        <v>0</v>
      </c>
      <c r="V835" s="152">
        <f t="shared" si="168"/>
        <v>0</v>
      </c>
      <c r="W835" s="152">
        <f t="shared" si="168"/>
        <v>0</v>
      </c>
      <c r="X835" s="152">
        <f t="shared" si="168"/>
        <v>0</v>
      </c>
      <c r="Y835" s="152">
        <f t="shared" si="168"/>
        <v>0</v>
      </c>
      <c r="Z835" s="152">
        <f t="shared" si="168"/>
        <v>0</v>
      </c>
      <c r="AA835" s="152">
        <f t="shared" si="168"/>
        <v>0</v>
      </c>
      <c r="AB835" s="152">
        <f t="shared" si="168"/>
        <v>0</v>
      </c>
      <c r="AC835" s="152">
        <f t="shared" si="168"/>
        <v>0</v>
      </c>
      <c r="AD835" s="153"/>
    </row>
    <row r="836" spans="1:30" ht="14.1" customHeight="1" x14ac:dyDescent="0.3">
      <c r="A836" s="198"/>
      <c r="B836" s="106" t="s">
        <v>233</v>
      </c>
      <c r="C836" s="1" t="s">
        <v>178</v>
      </c>
      <c r="D836" s="1"/>
      <c r="E836" s="1"/>
      <c r="F836" s="1"/>
      <c r="G836" s="1"/>
      <c r="H836" s="7"/>
      <c r="I836" s="141" t="s">
        <v>306</v>
      </c>
      <c r="J836" s="161">
        <v>0.4</v>
      </c>
      <c r="K836" s="142">
        <f>'UPAH BAHAN'!$H$68</f>
        <v>4500</v>
      </c>
      <c r="L836" s="171" t="s">
        <v>233</v>
      </c>
      <c r="M836" s="99">
        <f t="shared" si="166"/>
        <v>1800</v>
      </c>
      <c r="N836" s="101">
        <f t="shared" si="167"/>
        <v>1800</v>
      </c>
      <c r="O836" s="531"/>
    </row>
    <row r="837" spans="1:30" ht="14.1" customHeight="1" thickBot="1" x14ac:dyDescent="0.35">
      <c r="A837" s="198"/>
      <c r="B837" s="106" t="s">
        <v>233</v>
      </c>
      <c r="C837" s="1" t="s">
        <v>175</v>
      </c>
      <c r="D837" s="1"/>
      <c r="E837" s="1"/>
      <c r="F837" s="1"/>
      <c r="G837" s="1"/>
      <c r="H837" s="7"/>
      <c r="I837" s="141" t="s">
        <v>263</v>
      </c>
      <c r="J837" s="161">
        <v>0.15</v>
      </c>
      <c r="K837" s="142">
        <f>'UPAH BAHAN'!$H$66</f>
        <v>17500</v>
      </c>
      <c r="L837" s="171" t="s">
        <v>233</v>
      </c>
      <c r="M837" s="99">
        <f t="shared" si="166"/>
        <v>2625</v>
      </c>
      <c r="N837" s="101">
        <f t="shared" si="167"/>
        <v>2625</v>
      </c>
      <c r="O837" s="531"/>
    </row>
    <row r="838" spans="1:30" ht="14.1" customHeight="1" thickBot="1" x14ac:dyDescent="0.35">
      <c r="A838" s="198"/>
      <c r="B838" s="106" t="s">
        <v>233</v>
      </c>
      <c r="C838" s="1" t="s">
        <v>333</v>
      </c>
      <c r="D838" s="1"/>
      <c r="E838" s="1"/>
      <c r="F838" s="1"/>
      <c r="G838" s="1"/>
      <c r="H838" s="7"/>
      <c r="I838" s="141" t="s">
        <v>86</v>
      </c>
      <c r="J838" s="161">
        <v>0.05</v>
      </c>
      <c r="K838" s="142">
        <f>'UPAH BAHAN'!$H$73</f>
        <v>8500</v>
      </c>
      <c r="L838" s="171" t="s">
        <v>233</v>
      </c>
      <c r="M838" s="99">
        <f t="shared" si="166"/>
        <v>425</v>
      </c>
      <c r="N838" s="101">
        <f t="shared" si="167"/>
        <v>425</v>
      </c>
      <c r="O838" s="531"/>
      <c r="P838" s="156" t="str">
        <f>B1216</f>
        <v>1 m' Pemasangan pipa PVC dia.  3" melalui galian tanah biasa</v>
      </c>
      <c r="Q838" s="157"/>
      <c r="R838" s="158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60"/>
    </row>
    <row r="839" spans="1:30" ht="14.1" customHeight="1" x14ac:dyDescent="0.3">
      <c r="A839" s="198"/>
      <c r="B839" s="106" t="s">
        <v>233</v>
      </c>
      <c r="C839" s="1" t="s">
        <v>128</v>
      </c>
      <c r="D839" s="1"/>
      <c r="E839" s="1"/>
      <c r="F839" s="1"/>
      <c r="G839" s="1"/>
      <c r="H839" s="7"/>
      <c r="I839" s="1"/>
      <c r="J839" s="161">
        <v>0.1</v>
      </c>
      <c r="K839" s="142">
        <f>'UPAH BAHAN'!$H$19</f>
        <v>105000</v>
      </c>
      <c r="L839" s="100">
        <f>J839*K839</f>
        <v>10500</v>
      </c>
      <c r="M839" s="148" t="s">
        <v>233</v>
      </c>
      <c r="N839" s="101">
        <f t="shared" si="167"/>
        <v>10500</v>
      </c>
      <c r="O839" s="531"/>
      <c r="P839" s="132"/>
      <c r="Q839" s="140"/>
      <c r="R839" s="133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8"/>
    </row>
    <row r="840" spans="1:30" ht="14.1" customHeight="1" x14ac:dyDescent="0.3">
      <c r="A840" s="198"/>
      <c r="B840" s="106" t="s">
        <v>233</v>
      </c>
      <c r="C840" s="1" t="s">
        <v>134</v>
      </c>
      <c r="D840" s="1"/>
      <c r="E840" s="1"/>
      <c r="F840" s="1"/>
      <c r="G840" s="1"/>
      <c r="H840" s="7"/>
      <c r="I840" s="1"/>
      <c r="J840" s="161">
        <v>1E-3</v>
      </c>
      <c r="K840" s="142">
        <f>'UPAH BAHAN'!$H$24</f>
        <v>165000</v>
      </c>
      <c r="L840" s="100">
        <f>J840*K840</f>
        <v>165</v>
      </c>
      <c r="M840" s="148" t="s">
        <v>233</v>
      </c>
      <c r="N840" s="101">
        <f t="shared" si="167"/>
        <v>165</v>
      </c>
      <c r="O840" s="531"/>
      <c r="P840" s="132"/>
      <c r="Q840" s="140"/>
      <c r="R840" s="133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8"/>
    </row>
    <row r="841" spans="1:30" ht="14.1" customHeight="1" x14ac:dyDescent="0.3">
      <c r="A841" s="198"/>
      <c r="B841" s="106" t="s">
        <v>233</v>
      </c>
      <c r="C841" s="1" t="s">
        <v>334</v>
      </c>
      <c r="D841" s="1"/>
      <c r="E841" s="1"/>
      <c r="F841" s="1"/>
      <c r="G841" s="1"/>
      <c r="H841" s="7"/>
      <c r="I841" s="1"/>
      <c r="J841" s="161">
        <v>0.15</v>
      </c>
      <c r="K841" s="142">
        <f>'UPAH BAHAN'!$H$23</f>
        <v>135000</v>
      </c>
      <c r="L841" s="100">
        <f>J841*K841</f>
        <v>20250</v>
      </c>
      <c r="M841" s="148" t="s">
        <v>233</v>
      </c>
      <c r="N841" s="101">
        <f t="shared" si="167"/>
        <v>20250</v>
      </c>
      <c r="O841" s="531"/>
      <c r="P841" s="132"/>
      <c r="Q841" s="140"/>
      <c r="R841" s="133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8"/>
    </row>
    <row r="842" spans="1:30" ht="14.1" customHeight="1" thickBot="1" x14ac:dyDescent="0.35">
      <c r="A842" s="198"/>
      <c r="B842" s="106" t="s">
        <v>233</v>
      </c>
      <c r="C842" s="1" t="s">
        <v>289</v>
      </c>
      <c r="D842" s="1"/>
      <c r="E842" s="1"/>
      <c r="F842" s="1"/>
      <c r="G842" s="1"/>
      <c r="H842" s="7"/>
      <c r="I842" s="1"/>
      <c r="J842" s="161">
        <v>0.03</v>
      </c>
      <c r="K842" s="142">
        <f>'UPAH BAHAN'!$H$25</f>
        <v>150000</v>
      </c>
      <c r="L842" s="100">
        <f>J842*K842</f>
        <v>4500</v>
      </c>
      <c r="M842" s="148" t="s">
        <v>233</v>
      </c>
      <c r="N842" s="101">
        <f t="shared" si="167"/>
        <v>4500</v>
      </c>
      <c r="O842" s="531"/>
      <c r="P842" s="164"/>
      <c r="Q842" s="165"/>
      <c r="R842" s="166"/>
      <c r="S842" s="167"/>
      <c r="T842" s="167"/>
      <c r="U842" s="167"/>
      <c r="V842" s="167"/>
      <c r="W842" s="168"/>
      <c r="X842" s="168"/>
      <c r="Y842" s="167"/>
      <c r="Z842" s="167"/>
      <c r="AA842" s="167"/>
      <c r="AB842" s="167"/>
      <c r="AC842" s="167"/>
      <c r="AD842" s="169"/>
    </row>
    <row r="843" spans="1:30" ht="12.9" customHeight="1" thickBot="1" x14ac:dyDescent="0.35">
      <c r="A843" s="198"/>
      <c r="B843" s="1"/>
      <c r="C843" s="1"/>
      <c r="D843" s="1"/>
      <c r="E843" s="1"/>
      <c r="F843" s="1"/>
      <c r="G843" s="1"/>
      <c r="H843" s="7"/>
      <c r="I843" s="107"/>
      <c r="J843" s="107"/>
      <c r="K843" s="150" t="s">
        <v>245</v>
      </c>
      <c r="L843" s="107">
        <f>SUM(L833:L842)</f>
        <v>35415</v>
      </c>
      <c r="M843" s="108">
        <f>SUM(M833:M842)</f>
        <v>25345</v>
      </c>
      <c r="N843" s="109">
        <f>SUM(N833:N842)</f>
        <v>60760</v>
      </c>
      <c r="O843" s="531"/>
      <c r="P843" s="151"/>
      <c r="Q843" s="152"/>
      <c r="R843" s="152">
        <f t="shared" ref="R843:AC843" si="169">SUM(R839:R842)</f>
        <v>0</v>
      </c>
      <c r="S843" s="152">
        <f t="shared" si="169"/>
        <v>0</v>
      </c>
      <c r="T843" s="152">
        <f t="shared" si="169"/>
        <v>0</v>
      </c>
      <c r="U843" s="152">
        <f t="shared" si="169"/>
        <v>0</v>
      </c>
      <c r="V843" s="152">
        <f t="shared" si="169"/>
        <v>0</v>
      </c>
      <c r="W843" s="152">
        <f t="shared" si="169"/>
        <v>0</v>
      </c>
      <c r="X843" s="152">
        <f t="shared" si="169"/>
        <v>0</v>
      </c>
      <c r="Y843" s="152">
        <f t="shared" si="169"/>
        <v>0</v>
      </c>
      <c r="Z843" s="152">
        <f t="shared" si="169"/>
        <v>0</v>
      </c>
      <c r="AA843" s="152">
        <f t="shared" si="169"/>
        <v>0</v>
      </c>
      <c r="AB843" s="152">
        <f t="shared" si="169"/>
        <v>0</v>
      </c>
      <c r="AC843" s="152">
        <f t="shared" si="169"/>
        <v>0</v>
      </c>
      <c r="AD843" s="153"/>
    </row>
    <row r="844" spans="1:30" ht="12.9" customHeight="1" x14ac:dyDescent="0.3">
      <c r="A844" s="198"/>
      <c r="B844" s="1"/>
      <c r="C844" s="1"/>
      <c r="D844" s="1"/>
      <c r="E844" s="1"/>
      <c r="F844" s="1"/>
      <c r="G844" s="1"/>
      <c r="H844" s="7"/>
      <c r="I844" s="100"/>
      <c r="J844" s="100"/>
      <c r="K844" s="289" t="s">
        <v>512</v>
      </c>
      <c r="L844" s="100"/>
      <c r="M844" s="99"/>
      <c r="N844" s="101">
        <f>N843*15%</f>
        <v>9114</v>
      </c>
      <c r="O844" s="531"/>
    </row>
    <row r="845" spans="1:30" ht="12.9" customHeight="1" thickBot="1" x14ac:dyDescent="0.35">
      <c r="A845" s="198"/>
      <c r="B845" s="1"/>
      <c r="C845" s="1"/>
      <c r="D845" s="1"/>
      <c r="E845" s="1"/>
      <c r="F845" s="1"/>
      <c r="G845" s="1"/>
      <c r="H845" s="7"/>
      <c r="I845" s="100"/>
      <c r="J845" s="100"/>
      <c r="K845" s="154" t="s">
        <v>247</v>
      </c>
      <c r="L845" s="100"/>
      <c r="M845" s="148"/>
      <c r="N845" s="101">
        <f>N843+N844</f>
        <v>69874</v>
      </c>
      <c r="O845" s="531"/>
    </row>
    <row r="846" spans="1:30" ht="12.9" customHeight="1" thickBot="1" x14ac:dyDescent="0.35">
      <c r="A846" s="183">
        <f>A832+1</f>
        <v>37</v>
      </c>
      <c r="B846" s="95" t="s">
        <v>335</v>
      </c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197"/>
      <c r="O846" s="535"/>
      <c r="P846" s="156" t="str">
        <f>B1224</f>
        <v>1 m' Pemasangan pipa PVC dia.  3" melalui galian tanah keras</v>
      </c>
      <c r="Q846" s="157"/>
      <c r="R846" s="158"/>
      <c r="S846" s="277"/>
      <c r="T846" s="277"/>
      <c r="U846" s="277"/>
      <c r="V846" s="277"/>
      <c r="W846" s="277"/>
      <c r="X846" s="277"/>
      <c r="Y846" s="277"/>
      <c r="Z846" s="277"/>
      <c r="AA846" s="277"/>
      <c r="AB846" s="277"/>
      <c r="AC846" s="277"/>
      <c r="AD846" s="278"/>
    </row>
    <row r="847" spans="1:30" ht="12.9" customHeight="1" x14ac:dyDescent="0.3">
      <c r="A847" s="184"/>
      <c r="B847" s="106" t="s">
        <v>231</v>
      </c>
      <c r="C847" s="1" t="s">
        <v>336</v>
      </c>
      <c r="D847" s="1"/>
      <c r="E847" s="1"/>
      <c r="F847" s="1"/>
      <c r="G847" s="1"/>
      <c r="H847" s="7"/>
      <c r="I847" s="1"/>
      <c r="J847" s="6"/>
      <c r="K847" s="7"/>
      <c r="L847" s="1"/>
      <c r="M847" s="6"/>
      <c r="N847" s="195"/>
      <c r="O847" s="531"/>
      <c r="P847" s="132"/>
      <c r="Q847" s="140"/>
      <c r="R847" s="133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8"/>
    </row>
    <row r="848" spans="1:30" ht="12.9" customHeight="1" x14ac:dyDescent="0.3">
      <c r="A848" s="184"/>
      <c r="B848" s="106"/>
      <c r="C848" s="105" t="s">
        <v>311</v>
      </c>
      <c r="D848" s="1"/>
      <c r="E848" s="1"/>
      <c r="F848" s="1"/>
      <c r="G848" s="1"/>
      <c r="H848" s="7"/>
      <c r="I848" s="141" t="s">
        <v>28</v>
      </c>
      <c r="J848" s="161">
        <v>15.25</v>
      </c>
      <c r="K848" s="142">
        <f>$L$813</f>
        <v>6480.0000000000009</v>
      </c>
      <c r="L848" s="100">
        <f>J848*K848</f>
        <v>98820.000000000015</v>
      </c>
      <c r="M848" s="148" t="s">
        <v>233</v>
      </c>
      <c r="N848" s="101">
        <f>L848+M848</f>
        <v>98820.000000000015</v>
      </c>
      <c r="O848" s="531"/>
      <c r="P848" s="132"/>
      <c r="Q848" s="140"/>
      <c r="R848" s="133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8"/>
    </row>
    <row r="849" spans="1:30" ht="12.9" customHeight="1" x14ac:dyDescent="0.3">
      <c r="A849" s="184"/>
      <c r="B849" s="106"/>
      <c r="C849" s="248" t="s">
        <v>312</v>
      </c>
      <c r="D849" s="1"/>
      <c r="E849" s="1"/>
      <c r="F849" s="1"/>
      <c r="G849" s="1"/>
      <c r="H849" s="7"/>
      <c r="I849" s="141" t="s">
        <v>28</v>
      </c>
      <c r="J849" s="161">
        <v>15.25</v>
      </c>
      <c r="K849" s="142">
        <f>$M$813</f>
        <v>12350.000000000002</v>
      </c>
      <c r="L849" s="118" t="s">
        <v>233</v>
      </c>
      <c r="M849" s="99">
        <f>J849*K849</f>
        <v>188337.50000000003</v>
      </c>
      <c r="N849" s="101">
        <f>L849+M849</f>
        <v>188337.50000000003</v>
      </c>
      <c r="O849" s="531"/>
      <c r="P849" s="132"/>
      <c r="Q849" s="140"/>
      <c r="R849" s="133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8"/>
    </row>
    <row r="850" spans="1:30" ht="12.9" customHeight="1" thickBot="1" x14ac:dyDescent="0.35">
      <c r="A850" s="184"/>
      <c r="B850" s="106" t="s">
        <v>234</v>
      </c>
      <c r="C850" s="1" t="s">
        <v>337</v>
      </c>
      <c r="D850" s="1"/>
      <c r="E850" s="1"/>
      <c r="F850" s="1"/>
      <c r="G850" s="1"/>
      <c r="H850" s="7"/>
      <c r="I850" s="141"/>
      <c r="J850" s="161"/>
      <c r="K850" s="142"/>
      <c r="L850" s="100"/>
      <c r="M850" s="99"/>
      <c r="N850" s="101"/>
      <c r="O850" s="531"/>
      <c r="P850" s="164"/>
      <c r="Q850" s="165"/>
      <c r="R850" s="166"/>
      <c r="S850" s="167"/>
      <c r="T850" s="167"/>
      <c r="U850" s="167"/>
      <c r="V850" s="167"/>
      <c r="W850" s="168"/>
      <c r="X850" s="168"/>
      <c r="Y850" s="167"/>
      <c r="Z850" s="167"/>
      <c r="AA850" s="167"/>
      <c r="AB850" s="167"/>
      <c r="AC850" s="167"/>
      <c r="AD850" s="169"/>
    </row>
    <row r="851" spans="1:30" ht="12.9" customHeight="1" thickBot="1" x14ac:dyDescent="0.35">
      <c r="A851" s="184"/>
      <c r="B851" s="106"/>
      <c r="C851" s="105" t="s">
        <v>311</v>
      </c>
      <c r="D851" s="1"/>
      <c r="E851" s="1"/>
      <c r="F851" s="1"/>
      <c r="G851" s="1"/>
      <c r="H851" s="7"/>
      <c r="I851" s="141" t="s">
        <v>28</v>
      </c>
      <c r="J851" s="161">
        <v>8.4499999999999993</v>
      </c>
      <c r="K851" s="142">
        <f>$L$804</f>
        <v>6480.0000000000009</v>
      </c>
      <c r="L851" s="100">
        <f>J851*K851</f>
        <v>54756</v>
      </c>
      <c r="M851" s="148" t="s">
        <v>233</v>
      </c>
      <c r="N851" s="101">
        <f t="shared" ref="N851:N858" si="170">L851+M851</f>
        <v>54756</v>
      </c>
      <c r="O851" s="531"/>
      <c r="P851" s="151"/>
      <c r="Q851" s="152"/>
      <c r="R851" s="152">
        <f t="shared" ref="R851:AC851" si="171">SUM(R847:R850)</f>
        <v>0</v>
      </c>
      <c r="S851" s="152">
        <f t="shared" si="171"/>
        <v>0</v>
      </c>
      <c r="T851" s="152">
        <f t="shared" si="171"/>
        <v>0</v>
      </c>
      <c r="U851" s="152">
        <f t="shared" si="171"/>
        <v>0</v>
      </c>
      <c r="V851" s="152">
        <f t="shared" si="171"/>
        <v>0</v>
      </c>
      <c r="W851" s="152">
        <f t="shared" si="171"/>
        <v>0</v>
      </c>
      <c r="X851" s="152">
        <f t="shared" si="171"/>
        <v>0</v>
      </c>
      <c r="Y851" s="152">
        <f t="shared" si="171"/>
        <v>0</v>
      </c>
      <c r="Z851" s="152">
        <f t="shared" si="171"/>
        <v>0</v>
      </c>
      <c r="AA851" s="152">
        <f t="shared" si="171"/>
        <v>0</v>
      </c>
      <c r="AB851" s="152">
        <f t="shared" si="171"/>
        <v>0</v>
      </c>
      <c r="AC851" s="152">
        <f t="shared" si="171"/>
        <v>0</v>
      </c>
      <c r="AD851" s="153"/>
    </row>
    <row r="852" spans="1:30" ht="12.9" customHeight="1" x14ac:dyDescent="0.3">
      <c r="A852" s="184"/>
      <c r="B852" s="106"/>
      <c r="C852" s="105" t="s">
        <v>312</v>
      </c>
      <c r="D852" s="1"/>
      <c r="E852" s="1"/>
      <c r="F852" s="1"/>
      <c r="G852" s="1"/>
      <c r="H852" s="7"/>
      <c r="I852" s="141" t="s">
        <v>28</v>
      </c>
      <c r="J852" s="161">
        <v>8.4499999999999993</v>
      </c>
      <c r="K852" s="142">
        <f>$M$804</f>
        <v>12350.000000000002</v>
      </c>
      <c r="L852" s="118" t="s">
        <v>233</v>
      </c>
      <c r="M852" s="99">
        <f>J852*K852</f>
        <v>104357.5</v>
      </c>
      <c r="N852" s="101">
        <f t="shared" si="170"/>
        <v>104357.5</v>
      </c>
      <c r="O852" s="531"/>
    </row>
    <row r="853" spans="1:30" ht="12.9" customHeight="1" thickBot="1" x14ac:dyDescent="0.35">
      <c r="A853" s="184"/>
      <c r="B853" s="106" t="s">
        <v>251</v>
      </c>
      <c r="C853" s="1" t="s">
        <v>338</v>
      </c>
      <c r="D853" s="1"/>
      <c r="E853" s="1"/>
      <c r="F853" s="1"/>
      <c r="G853" s="1"/>
      <c r="H853" s="7"/>
      <c r="I853" s="141" t="s">
        <v>86</v>
      </c>
      <c r="J853" s="99">
        <v>8</v>
      </c>
      <c r="K853" s="142">
        <f>'UPAH BAHAN'!$H$78</f>
        <v>5000</v>
      </c>
      <c r="L853" s="171" t="s">
        <v>233</v>
      </c>
      <c r="M853" s="99">
        <f>J853*K853</f>
        <v>40000</v>
      </c>
      <c r="N853" s="101">
        <f t="shared" si="170"/>
        <v>40000</v>
      </c>
      <c r="O853" s="531"/>
    </row>
    <row r="854" spans="1:30" ht="12.9" customHeight="1" thickBot="1" x14ac:dyDescent="0.35">
      <c r="A854" s="184"/>
      <c r="B854" s="106" t="s">
        <v>253</v>
      </c>
      <c r="C854" s="1" t="s">
        <v>339</v>
      </c>
      <c r="D854" s="1"/>
      <c r="E854" s="1"/>
      <c r="F854" s="1"/>
      <c r="G854" s="1"/>
      <c r="H854" s="7"/>
      <c r="I854" s="141" t="s">
        <v>86</v>
      </c>
      <c r="J854" s="99">
        <v>2</v>
      </c>
      <c r="K854" s="142">
        <f>'UPAH BAHAN'!$H$74</f>
        <v>67500</v>
      </c>
      <c r="L854" s="171" t="s">
        <v>233</v>
      </c>
      <c r="M854" s="99">
        <f>J854*K854</f>
        <v>135000</v>
      </c>
      <c r="N854" s="101">
        <f t="shared" si="170"/>
        <v>135000</v>
      </c>
      <c r="O854" s="531"/>
      <c r="P854" s="156" t="str">
        <f>B1232</f>
        <v>1 m' Pemasangan pipa PVC dia.  2" melalui galian tanah biasa</v>
      </c>
      <c r="Q854" s="157"/>
      <c r="R854" s="158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60"/>
    </row>
    <row r="855" spans="1:30" ht="12.9" customHeight="1" x14ac:dyDescent="0.3">
      <c r="A855" s="184"/>
      <c r="B855" s="106" t="s">
        <v>340</v>
      </c>
      <c r="C855" s="1" t="s">
        <v>341</v>
      </c>
      <c r="D855" s="1"/>
      <c r="E855" s="1"/>
      <c r="F855" s="1"/>
      <c r="G855" s="1"/>
      <c r="H855" s="7"/>
      <c r="I855" s="141" t="s">
        <v>86</v>
      </c>
      <c r="J855" s="99">
        <v>1</v>
      </c>
      <c r="K855" s="142">
        <f>'UPAH BAHAN'!$H$77</f>
        <v>150000</v>
      </c>
      <c r="L855" s="171" t="s">
        <v>233</v>
      </c>
      <c r="M855" s="99">
        <f>J855*K855</f>
        <v>150000</v>
      </c>
      <c r="N855" s="101">
        <f t="shared" si="170"/>
        <v>150000</v>
      </c>
      <c r="O855" s="531"/>
      <c r="P855" s="132"/>
      <c r="Q855" s="140"/>
      <c r="R855" s="133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8"/>
    </row>
    <row r="856" spans="1:30" ht="12.9" customHeight="1" x14ac:dyDescent="0.3">
      <c r="A856" s="184"/>
      <c r="B856" s="106" t="s">
        <v>342</v>
      </c>
      <c r="C856" s="1" t="s">
        <v>343</v>
      </c>
      <c r="D856" s="1"/>
      <c r="E856" s="1"/>
      <c r="F856" s="1"/>
      <c r="G856" s="1"/>
      <c r="H856" s="7"/>
      <c r="I856" s="141" t="s">
        <v>250</v>
      </c>
      <c r="J856" s="99">
        <v>1</v>
      </c>
      <c r="K856" s="142">
        <v>50000</v>
      </c>
      <c r="L856" s="100">
        <f>J856*K856</f>
        <v>50000</v>
      </c>
      <c r="M856" s="148" t="s">
        <v>233</v>
      </c>
      <c r="N856" s="101">
        <f t="shared" si="170"/>
        <v>50000</v>
      </c>
      <c r="O856" s="531"/>
      <c r="P856" s="132"/>
      <c r="Q856" s="140"/>
      <c r="R856" s="133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8"/>
    </row>
    <row r="857" spans="1:30" ht="12.9" customHeight="1" x14ac:dyDescent="0.3">
      <c r="A857" s="184"/>
      <c r="B857" s="106" t="s">
        <v>344</v>
      </c>
      <c r="C857" s="1" t="s">
        <v>345</v>
      </c>
      <c r="D857" s="1"/>
      <c r="E857" s="1"/>
      <c r="F857" s="1"/>
      <c r="G857" s="1"/>
      <c r="H857" s="7"/>
      <c r="I857" s="141" t="s">
        <v>250</v>
      </c>
      <c r="J857" s="99">
        <v>1</v>
      </c>
      <c r="K857" s="142">
        <v>10000</v>
      </c>
      <c r="L857" s="100">
        <f>J857*K857</f>
        <v>10000</v>
      </c>
      <c r="M857" s="148" t="s">
        <v>233</v>
      </c>
      <c r="N857" s="101">
        <f t="shared" si="170"/>
        <v>10000</v>
      </c>
      <c r="O857" s="531"/>
      <c r="P857" s="132"/>
      <c r="Q857" s="140"/>
      <c r="R857" s="133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8"/>
    </row>
    <row r="858" spans="1:30" ht="12.9" customHeight="1" thickBot="1" x14ac:dyDescent="0.35">
      <c r="A858" s="184"/>
      <c r="B858" s="106" t="s">
        <v>346</v>
      </c>
      <c r="C858" s="1" t="s">
        <v>330</v>
      </c>
      <c r="D858" s="1"/>
      <c r="E858" s="1"/>
      <c r="F858" s="1"/>
      <c r="G858" s="1"/>
      <c r="H858" s="7"/>
      <c r="I858" s="141" t="s">
        <v>250</v>
      </c>
      <c r="J858" s="99">
        <v>1</v>
      </c>
      <c r="K858" s="142">
        <v>10000</v>
      </c>
      <c r="L858" s="100">
        <f>J858*K858</f>
        <v>10000</v>
      </c>
      <c r="M858" s="148" t="s">
        <v>233</v>
      </c>
      <c r="N858" s="101">
        <f t="shared" si="170"/>
        <v>10000</v>
      </c>
      <c r="O858" s="534"/>
      <c r="P858" s="164"/>
      <c r="Q858" s="165"/>
      <c r="R858" s="166"/>
      <c r="S858" s="167"/>
      <c r="T858" s="167"/>
      <c r="U858" s="167"/>
      <c r="V858" s="167"/>
      <c r="W858" s="168"/>
      <c r="X858" s="168"/>
      <c r="Y858" s="167"/>
      <c r="Z858" s="167"/>
      <c r="AA858" s="167"/>
      <c r="AB858" s="167"/>
      <c r="AC858" s="167"/>
      <c r="AD858" s="169"/>
    </row>
    <row r="859" spans="1:30" ht="12.9" customHeight="1" thickBot="1" x14ac:dyDescent="0.35">
      <c r="A859" s="184"/>
      <c r="B859" s="1"/>
      <c r="C859" s="1"/>
      <c r="D859" s="1"/>
      <c r="E859" s="1"/>
      <c r="F859" s="1"/>
      <c r="G859" s="1"/>
      <c r="H859" s="7"/>
      <c r="I859" s="107"/>
      <c r="J859" s="107"/>
      <c r="K859" s="150" t="s">
        <v>245</v>
      </c>
      <c r="L859" s="107">
        <f>SUM(L848:L858)</f>
        <v>223576</v>
      </c>
      <c r="M859" s="108">
        <f>SUM(M848:M858)</f>
        <v>617695</v>
      </c>
      <c r="N859" s="109">
        <f>SUM(N848:N858)</f>
        <v>841271</v>
      </c>
      <c r="O859" s="531"/>
      <c r="P859" s="151"/>
      <c r="Q859" s="152"/>
      <c r="R859" s="152">
        <f t="shared" ref="R859:AC859" si="172">SUM(R855:R858)</f>
        <v>0</v>
      </c>
      <c r="S859" s="152">
        <f t="shared" si="172"/>
        <v>0</v>
      </c>
      <c r="T859" s="152">
        <f t="shared" si="172"/>
        <v>0</v>
      </c>
      <c r="U859" s="152">
        <f t="shared" si="172"/>
        <v>0</v>
      </c>
      <c r="V859" s="152">
        <f t="shared" si="172"/>
        <v>0</v>
      </c>
      <c r="W859" s="152">
        <f t="shared" si="172"/>
        <v>0</v>
      </c>
      <c r="X859" s="152">
        <f t="shared" si="172"/>
        <v>0</v>
      </c>
      <c r="Y859" s="152">
        <f t="shared" si="172"/>
        <v>0</v>
      </c>
      <c r="Z859" s="152">
        <f t="shared" si="172"/>
        <v>0</v>
      </c>
      <c r="AA859" s="152">
        <f t="shared" si="172"/>
        <v>0</v>
      </c>
      <c r="AB859" s="152">
        <f t="shared" si="172"/>
        <v>0</v>
      </c>
      <c r="AC859" s="152">
        <f t="shared" si="172"/>
        <v>0</v>
      </c>
      <c r="AD859" s="153"/>
    </row>
    <row r="860" spans="1:30" ht="12.9" customHeight="1" x14ac:dyDescent="0.3">
      <c r="A860" s="184"/>
      <c r="B860" s="1"/>
      <c r="C860" s="1"/>
      <c r="D860" s="1"/>
      <c r="E860" s="1"/>
      <c r="F860" s="1"/>
      <c r="G860" s="1"/>
      <c r="H860" s="7"/>
      <c r="I860" s="100"/>
      <c r="J860" s="100"/>
      <c r="K860" s="289" t="s">
        <v>512</v>
      </c>
      <c r="L860" s="100"/>
      <c r="M860" s="99"/>
      <c r="N860" s="101">
        <f>N859*15%</f>
        <v>126190.65</v>
      </c>
      <c r="O860" s="531"/>
    </row>
    <row r="861" spans="1:30" ht="12.9" customHeight="1" thickBot="1" x14ac:dyDescent="0.35">
      <c r="A861" s="184"/>
      <c r="B861" s="1"/>
      <c r="C861" s="1"/>
      <c r="D861" s="1"/>
      <c r="E861" s="1"/>
      <c r="F861" s="1"/>
      <c r="G861" s="1"/>
      <c r="H861" s="7"/>
      <c r="I861" s="100"/>
      <c r="J861" s="100"/>
      <c r="K861" s="154" t="s">
        <v>247</v>
      </c>
      <c r="L861" s="100"/>
      <c r="M861" s="148"/>
      <c r="N861" s="101">
        <f>N859+N860</f>
        <v>967461.65</v>
      </c>
      <c r="O861" s="531"/>
    </row>
    <row r="862" spans="1:30" ht="12.9" customHeight="1" thickBot="1" x14ac:dyDescent="0.35">
      <c r="A862" s="183">
        <f>A846+1</f>
        <v>38</v>
      </c>
      <c r="B862" s="95" t="s">
        <v>347</v>
      </c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197"/>
      <c r="O862" s="535"/>
      <c r="P862" s="156" t="str">
        <f>B1240</f>
        <v>1 m' Pemasangan pipa PVC dia.  2" melalui galian tanah keras</v>
      </c>
      <c r="Q862" s="157"/>
      <c r="R862" s="158"/>
      <c r="S862" s="277"/>
      <c r="T862" s="277"/>
      <c r="U862" s="277"/>
      <c r="V862" s="277"/>
      <c r="W862" s="277"/>
      <c r="X862" s="277"/>
      <c r="Y862" s="277"/>
      <c r="Z862" s="277"/>
      <c r="AA862" s="277"/>
      <c r="AB862" s="277"/>
      <c r="AC862" s="277"/>
      <c r="AD862" s="278"/>
    </row>
    <row r="863" spans="1:30" ht="12.9" customHeight="1" x14ac:dyDescent="0.3">
      <c r="A863" s="198"/>
      <c r="B863" s="106" t="s">
        <v>231</v>
      </c>
      <c r="C863" s="1" t="s">
        <v>336</v>
      </c>
      <c r="D863" s="1"/>
      <c r="E863" s="1"/>
      <c r="F863" s="1"/>
      <c r="G863" s="1"/>
      <c r="H863" s="7"/>
      <c r="I863" s="1"/>
      <c r="J863" s="6"/>
      <c r="K863" s="142"/>
      <c r="L863" s="100"/>
      <c r="M863" s="6"/>
      <c r="N863" s="195"/>
      <c r="O863" s="531"/>
      <c r="P863" s="132"/>
      <c r="Q863" s="140"/>
      <c r="R863" s="133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8"/>
    </row>
    <row r="864" spans="1:30" ht="12.9" customHeight="1" x14ac:dyDescent="0.3">
      <c r="A864" s="184"/>
      <c r="B864" s="106"/>
      <c r="C864" s="105" t="s">
        <v>311</v>
      </c>
      <c r="D864" s="1"/>
      <c r="E864" s="1"/>
      <c r="F864" s="1"/>
      <c r="G864" s="1"/>
      <c r="H864" s="7"/>
      <c r="I864" s="141" t="s">
        <v>28</v>
      </c>
      <c r="J864" s="161">
        <v>8.5</v>
      </c>
      <c r="K864" s="142">
        <f>$L$813</f>
        <v>6480.0000000000009</v>
      </c>
      <c r="L864" s="100">
        <f>J864*K864</f>
        <v>55080.000000000007</v>
      </c>
      <c r="M864" s="148" t="s">
        <v>233</v>
      </c>
      <c r="N864" s="101">
        <f>L864+M864</f>
        <v>55080.000000000007</v>
      </c>
      <c r="O864" s="531"/>
      <c r="P864" s="132"/>
      <c r="Q864" s="140"/>
      <c r="R864" s="133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8"/>
    </row>
    <row r="865" spans="1:30" ht="12.9" customHeight="1" x14ac:dyDescent="0.3">
      <c r="A865" s="184"/>
      <c r="B865" s="106"/>
      <c r="C865" s="105" t="s">
        <v>312</v>
      </c>
      <c r="D865" s="1"/>
      <c r="E865" s="1"/>
      <c r="F865" s="1"/>
      <c r="G865" s="1"/>
      <c r="H865" s="7"/>
      <c r="I865" s="141" t="s">
        <v>28</v>
      </c>
      <c r="J865" s="161">
        <v>8.5</v>
      </c>
      <c r="K865" s="142">
        <f>$M$813</f>
        <v>12350.000000000002</v>
      </c>
      <c r="L865" s="171" t="s">
        <v>233</v>
      </c>
      <c r="M865" s="99">
        <f>J865*K865</f>
        <v>104975.00000000001</v>
      </c>
      <c r="N865" s="101">
        <f>L865+M865</f>
        <v>104975.00000000001</v>
      </c>
      <c r="O865" s="531"/>
      <c r="P865" s="132"/>
      <c r="Q865" s="140"/>
      <c r="R865" s="133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8"/>
    </row>
    <row r="866" spans="1:30" ht="12.9" customHeight="1" thickBot="1" x14ac:dyDescent="0.35">
      <c r="A866" s="184"/>
      <c r="B866" s="106" t="s">
        <v>234</v>
      </c>
      <c r="C866" s="1" t="s">
        <v>348</v>
      </c>
      <c r="D866" s="1"/>
      <c r="E866" s="1"/>
      <c r="F866" s="1"/>
      <c r="G866" s="1"/>
      <c r="H866" s="7"/>
      <c r="I866" s="141"/>
      <c r="J866" s="161"/>
      <c r="K866" s="142"/>
      <c r="L866" s="100"/>
      <c r="M866" s="99"/>
      <c r="N866" s="101"/>
      <c r="O866" s="534"/>
      <c r="P866" s="164"/>
      <c r="Q866" s="165"/>
      <c r="R866" s="166"/>
      <c r="S866" s="167"/>
      <c r="T866" s="167"/>
      <c r="U866" s="167"/>
      <c r="V866" s="167"/>
      <c r="W866" s="168"/>
      <c r="X866" s="168"/>
      <c r="Y866" s="167"/>
      <c r="Z866" s="167"/>
      <c r="AA866" s="167"/>
      <c r="AB866" s="167"/>
      <c r="AC866" s="167"/>
      <c r="AD866" s="169"/>
    </row>
    <row r="867" spans="1:30" ht="12.9" customHeight="1" thickBot="1" x14ac:dyDescent="0.35">
      <c r="A867" s="184"/>
      <c r="B867" s="106"/>
      <c r="C867" s="105" t="s">
        <v>311</v>
      </c>
      <c r="D867" s="1"/>
      <c r="E867" s="1"/>
      <c r="F867" s="1"/>
      <c r="G867" s="1"/>
      <c r="H867" s="7"/>
      <c r="I867" s="141" t="s">
        <v>28</v>
      </c>
      <c r="J867" s="161">
        <v>4.5999999999999996</v>
      </c>
      <c r="K867" s="142">
        <f>$L$658</f>
        <v>4781.5</v>
      </c>
      <c r="L867" s="100">
        <f>J867*K867</f>
        <v>21994.899999999998</v>
      </c>
      <c r="M867" s="148" t="s">
        <v>233</v>
      </c>
      <c r="N867" s="101">
        <f t="shared" ref="N867:N872" si="173">L867+M867</f>
        <v>21994.899999999998</v>
      </c>
      <c r="O867" s="531"/>
      <c r="P867" s="151"/>
      <c r="Q867" s="152"/>
      <c r="R867" s="152">
        <f t="shared" ref="R867:AC867" si="174">SUM(R863:R866)</f>
        <v>0</v>
      </c>
      <c r="S867" s="152">
        <f t="shared" si="174"/>
        <v>0</v>
      </c>
      <c r="T867" s="152">
        <f t="shared" si="174"/>
        <v>0</v>
      </c>
      <c r="U867" s="152">
        <f t="shared" si="174"/>
        <v>0</v>
      </c>
      <c r="V867" s="152">
        <f t="shared" si="174"/>
        <v>0</v>
      </c>
      <c r="W867" s="152">
        <f t="shared" si="174"/>
        <v>0</v>
      </c>
      <c r="X867" s="152">
        <f t="shared" si="174"/>
        <v>0</v>
      </c>
      <c r="Y867" s="152">
        <f t="shared" si="174"/>
        <v>0</v>
      </c>
      <c r="Z867" s="152">
        <f t="shared" si="174"/>
        <v>0</v>
      </c>
      <c r="AA867" s="152">
        <f t="shared" si="174"/>
        <v>0</v>
      </c>
      <c r="AB867" s="152">
        <f t="shared" si="174"/>
        <v>0</v>
      </c>
      <c r="AC867" s="152">
        <f t="shared" si="174"/>
        <v>0</v>
      </c>
      <c r="AD867" s="153"/>
    </row>
    <row r="868" spans="1:30" ht="12.9" customHeight="1" x14ac:dyDescent="0.3">
      <c r="A868" s="184"/>
      <c r="B868" s="106"/>
      <c r="C868" s="105" t="s">
        <v>312</v>
      </c>
      <c r="D868" s="1"/>
      <c r="E868" s="1"/>
      <c r="F868" s="1"/>
      <c r="G868" s="1"/>
      <c r="H868" s="7"/>
      <c r="I868" s="141" t="s">
        <v>28</v>
      </c>
      <c r="J868" s="161">
        <v>4.5999999999999996</v>
      </c>
      <c r="K868" s="142">
        <f>$M$658</f>
        <v>12281</v>
      </c>
      <c r="L868" s="171" t="s">
        <v>233</v>
      </c>
      <c r="M868" s="99">
        <f>J868*K868</f>
        <v>56492.6</v>
      </c>
      <c r="N868" s="101">
        <f t="shared" si="173"/>
        <v>56492.6</v>
      </c>
      <c r="O868" s="531"/>
    </row>
    <row r="869" spans="1:30" ht="12.9" customHeight="1" thickBot="1" x14ac:dyDescent="0.35">
      <c r="A869" s="184"/>
      <c r="B869" s="106" t="s">
        <v>251</v>
      </c>
      <c r="C869" s="1" t="s">
        <v>338</v>
      </c>
      <c r="D869" s="1"/>
      <c r="E869" s="1"/>
      <c r="F869" s="1"/>
      <c r="G869" s="1"/>
      <c r="H869" s="7"/>
      <c r="I869" s="141" t="s">
        <v>86</v>
      </c>
      <c r="J869" s="99">
        <v>8</v>
      </c>
      <c r="K869" s="142">
        <f>'UPAH BAHAN'!$H$78</f>
        <v>5000</v>
      </c>
      <c r="L869" s="171" t="s">
        <v>233</v>
      </c>
      <c r="M869" s="99">
        <f>J869*K869</f>
        <v>40000</v>
      </c>
      <c r="N869" s="101">
        <f t="shared" si="173"/>
        <v>40000</v>
      </c>
      <c r="O869" s="531"/>
    </row>
    <row r="870" spans="1:30" ht="12.9" customHeight="1" thickBot="1" x14ac:dyDescent="0.35">
      <c r="A870" s="184"/>
      <c r="B870" s="106" t="s">
        <v>253</v>
      </c>
      <c r="C870" s="1" t="s">
        <v>343</v>
      </c>
      <c r="D870" s="1"/>
      <c r="E870" s="1"/>
      <c r="F870" s="1"/>
      <c r="G870" s="1"/>
      <c r="H870" s="7"/>
      <c r="I870" s="141" t="s">
        <v>250</v>
      </c>
      <c r="J870" s="99">
        <v>1</v>
      </c>
      <c r="K870" s="208">
        <v>40000</v>
      </c>
      <c r="L870" s="100">
        <f>J870*K870</f>
        <v>40000</v>
      </c>
      <c r="M870" s="148" t="s">
        <v>233</v>
      </c>
      <c r="N870" s="101">
        <f t="shared" si="173"/>
        <v>40000</v>
      </c>
      <c r="O870" s="531"/>
      <c r="P870" s="156" t="str">
        <f>B1248</f>
        <v>1 m' Pemasangan pipa PVC dia.  1,5" melalui galian tanah biasa</v>
      </c>
      <c r="Q870" s="157"/>
      <c r="R870" s="158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60"/>
    </row>
    <row r="871" spans="1:30" ht="12.9" customHeight="1" x14ac:dyDescent="0.3">
      <c r="A871" s="184"/>
      <c r="B871" s="106" t="s">
        <v>340</v>
      </c>
      <c r="C871" s="1" t="s">
        <v>345</v>
      </c>
      <c r="D871" s="1"/>
      <c r="E871" s="1"/>
      <c r="F871" s="1"/>
      <c r="G871" s="1"/>
      <c r="H871" s="7"/>
      <c r="I871" s="141" t="s">
        <v>250</v>
      </c>
      <c r="J871" s="99">
        <v>1</v>
      </c>
      <c r="K871" s="208">
        <f>+K857</f>
        <v>10000</v>
      </c>
      <c r="L871" s="100">
        <f>J871*K871</f>
        <v>10000</v>
      </c>
      <c r="M871" s="148" t="s">
        <v>233</v>
      </c>
      <c r="N871" s="101">
        <f t="shared" si="173"/>
        <v>10000</v>
      </c>
      <c r="O871" s="531"/>
      <c r="P871" s="132"/>
      <c r="Q871" s="140"/>
      <c r="R871" s="133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8"/>
    </row>
    <row r="872" spans="1:30" ht="12.9" customHeight="1" x14ac:dyDescent="0.3">
      <c r="A872" s="184"/>
      <c r="B872" s="106" t="s">
        <v>342</v>
      </c>
      <c r="C872" s="1" t="s">
        <v>330</v>
      </c>
      <c r="D872" s="1"/>
      <c r="E872" s="1"/>
      <c r="F872" s="1"/>
      <c r="G872" s="1"/>
      <c r="H872" s="7"/>
      <c r="I872" s="141" t="s">
        <v>250</v>
      </c>
      <c r="J872" s="99">
        <v>1</v>
      </c>
      <c r="K872" s="208">
        <f>+K858-2500</f>
        <v>7500</v>
      </c>
      <c r="L872" s="100">
        <f>J872*K872</f>
        <v>7500</v>
      </c>
      <c r="M872" s="148" t="s">
        <v>233</v>
      </c>
      <c r="N872" s="101">
        <f t="shared" si="173"/>
        <v>7500</v>
      </c>
      <c r="O872" s="531"/>
      <c r="P872" s="132"/>
      <c r="Q872" s="140"/>
      <c r="R872" s="133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8"/>
    </row>
    <row r="873" spans="1:30" ht="12.9" customHeight="1" x14ac:dyDescent="0.3">
      <c r="A873" s="184"/>
      <c r="B873" s="1"/>
      <c r="C873" s="1"/>
      <c r="D873" s="1"/>
      <c r="E873" s="1"/>
      <c r="F873" s="1"/>
      <c r="G873" s="1"/>
      <c r="H873" s="7"/>
      <c r="I873" s="107"/>
      <c r="J873" s="107"/>
      <c r="K873" s="150" t="s">
        <v>245</v>
      </c>
      <c r="L873" s="107">
        <f>SUM(L864:L872)</f>
        <v>134574.90000000002</v>
      </c>
      <c r="M873" s="108">
        <f>SUM(M864:M872)</f>
        <v>201467.6</v>
      </c>
      <c r="N873" s="109">
        <f>SUM(N864:N872)</f>
        <v>336042.5</v>
      </c>
      <c r="O873" s="531"/>
      <c r="P873" s="132"/>
      <c r="Q873" s="140"/>
      <c r="R873" s="133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8"/>
    </row>
    <row r="874" spans="1:30" ht="12.9" customHeight="1" thickBot="1" x14ac:dyDescent="0.35">
      <c r="A874" s="184"/>
      <c r="B874" s="1"/>
      <c r="C874" s="1"/>
      <c r="D874" s="1"/>
      <c r="E874" s="1"/>
      <c r="F874" s="1"/>
      <c r="G874" s="1"/>
      <c r="H874" s="7"/>
      <c r="I874" s="100"/>
      <c r="J874" s="100"/>
      <c r="K874" s="289" t="s">
        <v>512</v>
      </c>
      <c r="L874" s="100"/>
      <c r="M874" s="99"/>
      <c r="N874" s="101">
        <f>N873*15%</f>
        <v>50406.375</v>
      </c>
      <c r="O874" s="534"/>
      <c r="P874" s="164"/>
      <c r="Q874" s="165"/>
      <c r="R874" s="166"/>
      <c r="S874" s="167"/>
      <c r="T874" s="167"/>
      <c r="U874" s="167"/>
      <c r="V874" s="167"/>
      <c r="W874" s="168"/>
      <c r="X874" s="168"/>
      <c r="Y874" s="167"/>
      <c r="Z874" s="167"/>
      <c r="AA874" s="167"/>
      <c r="AB874" s="167"/>
      <c r="AC874" s="167"/>
      <c r="AD874" s="169"/>
    </row>
    <row r="875" spans="1:30" ht="12.9" customHeight="1" thickBot="1" x14ac:dyDescent="0.35">
      <c r="A875" s="186"/>
      <c r="B875" s="173"/>
      <c r="C875" s="173"/>
      <c r="D875" s="173"/>
      <c r="E875" s="173"/>
      <c r="F875" s="173"/>
      <c r="G875" s="173"/>
      <c r="H875" s="174"/>
      <c r="I875" s="175"/>
      <c r="J875" s="175"/>
      <c r="K875" s="176" t="s">
        <v>247</v>
      </c>
      <c r="L875" s="175"/>
      <c r="M875" s="177"/>
      <c r="N875" s="116">
        <f>N873+N874</f>
        <v>386448.875</v>
      </c>
      <c r="O875" s="531"/>
      <c r="P875" s="151"/>
      <c r="Q875" s="152"/>
      <c r="R875" s="152">
        <f t="shared" ref="R875:AC875" si="175">SUM(R871:R874)</f>
        <v>0</v>
      </c>
      <c r="S875" s="152">
        <f t="shared" si="175"/>
        <v>0</v>
      </c>
      <c r="T875" s="152">
        <f t="shared" si="175"/>
        <v>0</v>
      </c>
      <c r="U875" s="152">
        <f t="shared" si="175"/>
        <v>0</v>
      </c>
      <c r="V875" s="152">
        <f t="shared" si="175"/>
        <v>0</v>
      </c>
      <c r="W875" s="152">
        <f t="shared" si="175"/>
        <v>0</v>
      </c>
      <c r="X875" s="152">
        <f t="shared" si="175"/>
        <v>0</v>
      </c>
      <c r="Y875" s="152">
        <f t="shared" si="175"/>
        <v>0</v>
      </c>
      <c r="Z875" s="152">
        <f t="shared" si="175"/>
        <v>0</v>
      </c>
      <c r="AA875" s="152">
        <f t="shared" si="175"/>
        <v>0</v>
      </c>
      <c r="AB875" s="152">
        <f t="shared" si="175"/>
        <v>0</v>
      </c>
      <c r="AC875" s="152">
        <f t="shared" si="175"/>
        <v>0</v>
      </c>
      <c r="AD875" s="153"/>
    </row>
    <row r="876" spans="1:30" ht="12.9" customHeight="1" x14ac:dyDescent="0.3">
      <c r="A876" s="183">
        <f>A862+1</f>
        <v>39</v>
      </c>
      <c r="B876" s="95" t="s">
        <v>349</v>
      </c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197"/>
      <c r="O876" s="535"/>
    </row>
    <row r="877" spans="1:30" ht="12.9" customHeight="1" x14ac:dyDescent="0.3">
      <c r="A877" s="184"/>
      <c r="B877" s="106" t="s">
        <v>233</v>
      </c>
      <c r="C877" s="1" t="s">
        <v>350</v>
      </c>
      <c r="D877" s="1"/>
      <c r="E877" s="1"/>
      <c r="F877" s="1"/>
      <c r="G877" s="1"/>
      <c r="H877" s="7"/>
      <c r="I877" s="141" t="s">
        <v>15</v>
      </c>
      <c r="J877" s="99">
        <v>0.5</v>
      </c>
      <c r="K877" s="142">
        <v>127000</v>
      </c>
      <c r="L877" s="171" t="s">
        <v>233</v>
      </c>
      <c r="M877" s="99">
        <f>J877*K877</f>
        <v>63500</v>
      </c>
      <c r="N877" s="101">
        <f t="shared" ref="N877:N882" si="176">L877+M877</f>
        <v>63500</v>
      </c>
      <c r="O877" s="531"/>
    </row>
    <row r="878" spans="1:30" ht="12.9" customHeight="1" thickBot="1" x14ac:dyDescent="0.35">
      <c r="A878" s="184"/>
      <c r="B878" s="106" t="s">
        <v>233</v>
      </c>
      <c r="C878" s="1" t="s">
        <v>351</v>
      </c>
      <c r="D878" s="1"/>
      <c r="E878" s="1"/>
      <c r="F878" s="1"/>
      <c r="G878" s="1"/>
      <c r="H878" s="7"/>
      <c r="I878" s="141" t="s">
        <v>86</v>
      </c>
      <c r="J878" s="99">
        <v>2</v>
      </c>
      <c r="K878" s="142">
        <v>50000</v>
      </c>
      <c r="L878" s="171" t="s">
        <v>233</v>
      </c>
      <c r="M878" s="99">
        <f>J878*K878</f>
        <v>100000</v>
      </c>
      <c r="N878" s="101">
        <f t="shared" si="176"/>
        <v>100000</v>
      </c>
      <c r="O878" s="531"/>
    </row>
    <row r="879" spans="1:30" ht="12.9" customHeight="1" thickBot="1" x14ac:dyDescent="0.35">
      <c r="A879" s="184"/>
      <c r="B879" s="106" t="s">
        <v>233</v>
      </c>
      <c r="C879" s="1" t="s">
        <v>352</v>
      </c>
      <c r="D879" s="1"/>
      <c r="E879" s="1"/>
      <c r="F879" s="1"/>
      <c r="G879" s="1"/>
      <c r="H879" s="7"/>
      <c r="I879" s="141" t="s">
        <v>86</v>
      </c>
      <c r="J879" s="99">
        <v>1</v>
      </c>
      <c r="K879" s="142">
        <v>65000</v>
      </c>
      <c r="L879" s="171" t="s">
        <v>233</v>
      </c>
      <c r="M879" s="99">
        <f>J879*K879</f>
        <v>65000</v>
      </c>
      <c r="N879" s="101">
        <f t="shared" si="176"/>
        <v>65000</v>
      </c>
      <c r="O879" s="531"/>
      <c r="P879" s="156" t="str">
        <f>B1257</f>
        <v>1 m' Pemasangan pipa PVC dia.  1,5" melalui galian tanah keras</v>
      </c>
      <c r="Q879" s="157"/>
      <c r="R879" s="158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60"/>
    </row>
    <row r="880" spans="1:30" ht="12.9" customHeight="1" x14ac:dyDescent="0.3">
      <c r="A880" s="184"/>
      <c r="B880" s="106" t="s">
        <v>233</v>
      </c>
      <c r="C880" s="1" t="s">
        <v>338</v>
      </c>
      <c r="D880" s="1"/>
      <c r="E880" s="1"/>
      <c r="F880" s="1"/>
      <c r="G880" s="1"/>
      <c r="H880" s="7"/>
      <c r="I880" s="141" t="s">
        <v>250</v>
      </c>
      <c r="J880" s="99">
        <v>1</v>
      </c>
      <c r="K880" s="142">
        <f>'UPAH BAHAN'!$H$78</f>
        <v>5000</v>
      </c>
      <c r="L880" s="171" t="s">
        <v>233</v>
      </c>
      <c r="M880" s="99">
        <f>J880*K880</f>
        <v>5000</v>
      </c>
      <c r="N880" s="101">
        <f t="shared" si="176"/>
        <v>5000</v>
      </c>
      <c r="O880" s="531"/>
      <c r="P880" s="132"/>
      <c r="Q880" s="140"/>
      <c r="R880" s="133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8"/>
    </row>
    <row r="881" spans="1:30" ht="12.9" customHeight="1" x14ac:dyDescent="0.3">
      <c r="A881" s="184"/>
      <c r="B881" s="106" t="s">
        <v>233</v>
      </c>
      <c r="C881" s="1" t="s">
        <v>353</v>
      </c>
      <c r="D881" s="1"/>
      <c r="E881" s="1"/>
      <c r="F881" s="1"/>
      <c r="G881" s="1"/>
      <c r="H881" s="7"/>
      <c r="I881" s="141" t="s">
        <v>250</v>
      </c>
      <c r="J881" s="99">
        <v>1</v>
      </c>
      <c r="K881" s="142">
        <f>+K871</f>
        <v>10000</v>
      </c>
      <c r="L881" s="100">
        <f>J881*K881</f>
        <v>10000</v>
      </c>
      <c r="M881" s="148" t="s">
        <v>233</v>
      </c>
      <c r="N881" s="101">
        <f t="shared" si="176"/>
        <v>10000</v>
      </c>
      <c r="O881" s="531"/>
      <c r="P881" s="132"/>
      <c r="Q881" s="140"/>
      <c r="R881" s="133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8"/>
    </row>
    <row r="882" spans="1:30" ht="12.9" customHeight="1" x14ac:dyDescent="0.3">
      <c r="A882" s="184"/>
      <c r="B882" s="106" t="s">
        <v>233</v>
      </c>
      <c r="C882" s="1" t="s">
        <v>330</v>
      </c>
      <c r="D882" s="1"/>
      <c r="E882" s="1"/>
      <c r="F882" s="1"/>
      <c r="G882" s="1"/>
      <c r="H882" s="7"/>
      <c r="I882" s="141" t="s">
        <v>250</v>
      </c>
      <c r="J882" s="99">
        <v>1</v>
      </c>
      <c r="K882" s="142">
        <f>+K872-2500</f>
        <v>5000</v>
      </c>
      <c r="L882" s="100">
        <f>J882*K882</f>
        <v>5000</v>
      </c>
      <c r="M882" s="148" t="s">
        <v>233</v>
      </c>
      <c r="N882" s="101">
        <f t="shared" si="176"/>
        <v>5000</v>
      </c>
      <c r="O882" s="531"/>
      <c r="P882" s="132"/>
      <c r="Q882" s="140"/>
      <c r="R882" s="133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8"/>
    </row>
    <row r="883" spans="1:30" ht="12.9" customHeight="1" thickBot="1" x14ac:dyDescent="0.35">
      <c r="A883" s="184"/>
      <c r="B883" s="1"/>
      <c r="C883" s="1"/>
      <c r="D883" s="1"/>
      <c r="E883" s="1"/>
      <c r="F883" s="1"/>
      <c r="G883" s="1"/>
      <c r="H883" s="7"/>
      <c r="I883" s="107"/>
      <c r="J883" s="107"/>
      <c r="K883" s="150" t="s">
        <v>245</v>
      </c>
      <c r="L883" s="107">
        <f>SUM(L877:L882)</f>
        <v>15000</v>
      </c>
      <c r="M883" s="108">
        <f>SUM(M877:M882)</f>
        <v>233500</v>
      </c>
      <c r="N883" s="109">
        <f>SUM(N877:N882)</f>
        <v>248500</v>
      </c>
      <c r="O883" s="534"/>
      <c r="P883" s="164"/>
      <c r="Q883" s="165"/>
      <c r="R883" s="166"/>
      <c r="S883" s="167"/>
      <c r="T883" s="167"/>
      <c r="U883" s="167"/>
      <c r="V883" s="167"/>
      <c r="W883" s="168"/>
      <c r="X883" s="168"/>
      <c r="Y883" s="167"/>
      <c r="Z883" s="167"/>
      <c r="AA883" s="167"/>
      <c r="AB883" s="167"/>
      <c r="AC883" s="167"/>
      <c r="AD883" s="169"/>
    </row>
    <row r="884" spans="1:30" ht="12.9" customHeight="1" thickBot="1" x14ac:dyDescent="0.35">
      <c r="A884" s="184"/>
      <c r="B884" s="1"/>
      <c r="C884" s="1"/>
      <c r="D884" s="1"/>
      <c r="E884" s="1"/>
      <c r="F884" s="1"/>
      <c r="G884" s="1"/>
      <c r="H884" s="7"/>
      <c r="I884" s="100"/>
      <c r="J884" s="100"/>
      <c r="K884" s="289" t="s">
        <v>512</v>
      </c>
      <c r="L884" s="100"/>
      <c r="M884" s="99"/>
      <c r="N884" s="101">
        <f>N883*15%</f>
        <v>37275</v>
      </c>
      <c r="O884" s="531"/>
      <c r="P884" s="151"/>
      <c r="Q884" s="152"/>
      <c r="R884" s="152">
        <f t="shared" ref="R884:AC884" si="177">SUM(R880:R883)</f>
        <v>0</v>
      </c>
      <c r="S884" s="152">
        <f t="shared" si="177"/>
        <v>0</v>
      </c>
      <c r="T884" s="152">
        <f t="shared" si="177"/>
        <v>0</v>
      </c>
      <c r="U884" s="152">
        <f t="shared" si="177"/>
        <v>0</v>
      </c>
      <c r="V884" s="152">
        <f t="shared" si="177"/>
        <v>0</v>
      </c>
      <c r="W884" s="152">
        <f t="shared" si="177"/>
        <v>0</v>
      </c>
      <c r="X884" s="152">
        <f t="shared" si="177"/>
        <v>0</v>
      </c>
      <c r="Y884" s="152">
        <f t="shared" si="177"/>
        <v>0</v>
      </c>
      <c r="Z884" s="152">
        <f t="shared" si="177"/>
        <v>0</v>
      </c>
      <c r="AA884" s="152">
        <f t="shared" si="177"/>
        <v>0</v>
      </c>
      <c r="AB884" s="152">
        <f t="shared" si="177"/>
        <v>0</v>
      </c>
      <c r="AC884" s="152">
        <f t="shared" si="177"/>
        <v>0</v>
      </c>
      <c r="AD884" s="153"/>
    </row>
    <row r="885" spans="1:30" ht="12.9" customHeight="1" x14ac:dyDescent="0.3">
      <c r="A885" s="184"/>
      <c r="B885" s="1"/>
      <c r="C885" s="1"/>
      <c r="D885" s="1"/>
      <c r="E885" s="1"/>
      <c r="F885" s="1"/>
      <c r="G885" s="1"/>
      <c r="H885" s="7"/>
      <c r="I885" s="100"/>
      <c r="J885" s="100"/>
      <c r="K885" s="154" t="s">
        <v>247</v>
      </c>
      <c r="L885" s="100"/>
      <c r="M885" s="148"/>
      <c r="N885" s="101">
        <f>N883+N884</f>
        <v>285775</v>
      </c>
      <c r="O885" s="531"/>
    </row>
    <row r="886" spans="1:30" ht="12.9" customHeight="1" thickBot="1" x14ac:dyDescent="0.35">
      <c r="A886" s="183">
        <f>A876+1</f>
        <v>40</v>
      </c>
      <c r="B886" s="95" t="s">
        <v>354</v>
      </c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197"/>
      <c r="O886" s="535"/>
    </row>
    <row r="887" spans="1:30" ht="12.9" customHeight="1" thickBot="1" x14ac:dyDescent="0.35">
      <c r="A887" s="184"/>
      <c r="B887" s="106" t="s">
        <v>231</v>
      </c>
      <c r="C887" s="1" t="s">
        <v>348</v>
      </c>
      <c r="D887" s="1"/>
      <c r="E887" s="1"/>
      <c r="F887" s="1"/>
      <c r="G887" s="1"/>
      <c r="H887" s="7"/>
      <c r="I887" s="1"/>
      <c r="J887" s="6"/>
      <c r="K887" s="7"/>
      <c r="L887" s="1"/>
      <c r="M887" s="6"/>
      <c r="N887" s="195"/>
      <c r="O887" s="531"/>
      <c r="P887" s="156" t="str">
        <f>B1265</f>
        <v>1 m' Pemasangan pipa PVC dia.  1" melalui galian tanah biasa</v>
      </c>
      <c r="Q887" s="157"/>
      <c r="R887" s="158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60"/>
    </row>
    <row r="888" spans="1:30" ht="12.9" customHeight="1" x14ac:dyDescent="0.3">
      <c r="A888" s="184"/>
      <c r="B888" s="106"/>
      <c r="C888" s="105" t="s">
        <v>311</v>
      </c>
      <c r="D888" s="1"/>
      <c r="E888" s="1"/>
      <c r="F888" s="1"/>
      <c r="G888" s="1"/>
      <c r="H888" s="7"/>
      <c r="I888" s="141" t="s">
        <v>28</v>
      </c>
      <c r="J888" s="99">
        <v>7.5</v>
      </c>
      <c r="K888" s="142">
        <f>$L$658</f>
        <v>4781.5</v>
      </c>
      <c r="L888" s="100">
        <f>J888*K888</f>
        <v>35861.25</v>
      </c>
      <c r="M888" s="148" t="s">
        <v>233</v>
      </c>
      <c r="N888" s="101">
        <f>L888+M888</f>
        <v>35861.25</v>
      </c>
      <c r="O888" s="531"/>
      <c r="P888" s="132"/>
      <c r="Q888" s="140"/>
      <c r="R888" s="133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8"/>
    </row>
    <row r="889" spans="1:30" ht="12.9" customHeight="1" x14ac:dyDescent="0.3">
      <c r="A889" s="184"/>
      <c r="B889" s="106"/>
      <c r="C889" s="105" t="s">
        <v>312</v>
      </c>
      <c r="D889" s="1"/>
      <c r="E889" s="1"/>
      <c r="F889" s="1"/>
      <c r="G889" s="1"/>
      <c r="H889" s="7"/>
      <c r="I889" s="141" t="s">
        <v>28</v>
      </c>
      <c r="J889" s="99">
        <v>7.5</v>
      </c>
      <c r="K889" s="142">
        <f>$M$658</f>
        <v>12281</v>
      </c>
      <c r="L889" s="171" t="s">
        <v>233</v>
      </c>
      <c r="M889" s="99">
        <f>J889*K889</f>
        <v>92107.5</v>
      </c>
      <c r="N889" s="101">
        <f>L889+M889</f>
        <v>92107.5</v>
      </c>
      <c r="O889" s="531"/>
      <c r="P889" s="132"/>
      <c r="Q889" s="140"/>
      <c r="R889" s="133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8"/>
    </row>
    <row r="890" spans="1:30" ht="12.9" customHeight="1" x14ac:dyDescent="0.3">
      <c r="A890" s="184"/>
      <c r="B890" s="106" t="s">
        <v>234</v>
      </c>
      <c r="C890" s="1" t="s">
        <v>330</v>
      </c>
      <c r="D890" s="1"/>
      <c r="E890" s="1"/>
      <c r="F890" s="1"/>
      <c r="G890" s="1"/>
      <c r="H890" s="7"/>
      <c r="I890" s="141" t="s">
        <v>250</v>
      </c>
      <c r="J890" s="99">
        <v>1</v>
      </c>
      <c r="K890" s="142">
        <f>+K881</f>
        <v>10000</v>
      </c>
      <c r="L890" s="100">
        <f>J890*K890</f>
        <v>10000</v>
      </c>
      <c r="M890" s="148" t="s">
        <v>233</v>
      </c>
      <c r="N890" s="101">
        <f>L890+M890</f>
        <v>10000</v>
      </c>
      <c r="O890" s="531"/>
      <c r="P890" s="132"/>
      <c r="Q890" s="140"/>
      <c r="R890" s="133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8"/>
    </row>
    <row r="891" spans="1:30" ht="12.9" customHeight="1" thickBot="1" x14ac:dyDescent="0.35">
      <c r="A891" s="184"/>
      <c r="B891" s="1"/>
      <c r="C891" s="1"/>
      <c r="D891" s="1"/>
      <c r="E891" s="1"/>
      <c r="F891" s="1"/>
      <c r="G891" s="1"/>
      <c r="H891" s="7"/>
      <c r="I891" s="107"/>
      <c r="J891" s="107"/>
      <c r="K891" s="150" t="s">
        <v>245</v>
      </c>
      <c r="L891" s="107">
        <f>SUM(L888:L890)</f>
        <v>45861.25</v>
      </c>
      <c r="M891" s="108">
        <f>SUM(M888:M890)</f>
        <v>92107.5</v>
      </c>
      <c r="N891" s="109">
        <f>SUM(N888:N890)</f>
        <v>137968.75</v>
      </c>
      <c r="O891" s="534"/>
      <c r="P891" s="164"/>
      <c r="Q891" s="165"/>
      <c r="R891" s="166"/>
      <c r="S891" s="167"/>
      <c r="T891" s="167"/>
      <c r="U891" s="167"/>
      <c r="V891" s="167"/>
      <c r="W891" s="168"/>
      <c r="X891" s="168"/>
      <c r="Y891" s="167"/>
      <c r="Z891" s="167"/>
      <c r="AA891" s="167"/>
      <c r="AB891" s="167"/>
      <c r="AC891" s="167"/>
      <c r="AD891" s="169"/>
    </row>
    <row r="892" spans="1:30" ht="12.9" customHeight="1" thickBot="1" x14ac:dyDescent="0.35">
      <c r="A892" s="184"/>
      <c r="B892" s="1"/>
      <c r="C892" s="1"/>
      <c r="D892" s="1"/>
      <c r="E892" s="1"/>
      <c r="F892" s="1"/>
      <c r="G892" s="1"/>
      <c r="H892" s="7"/>
      <c r="I892" s="100"/>
      <c r="J892" s="100"/>
      <c r="K892" s="289" t="s">
        <v>512</v>
      </c>
      <c r="L892" s="100"/>
      <c r="M892" s="99"/>
      <c r="N892" s="101">
        <f>N891*15%</f>
        <v>20695.3125</v>
      </c>
      <c r="O892" s="531"/>
      <c r="P892" s="151"/>
      <c r="Q892" s="152"/>
      <c r="R892" s="152">
        <f t="shared" ref="R892:AC892" si="178">SUM(R888:R891)</f>
        <v>0</v>
      </c>
      <c r="S892" s="152">
        <f t="shared" si="178"/>
        <v>0</v>
      </c>
      <c r="T892" s="152">
        <f t="shared" si="178"/>
        <v>0</v>
      </c>
      <c r="U892" s="152">
        <f t="shared" si="178"/>
        <v>0</v>
      </c>
      <c r="V892" s="152">
        <f t="shared" si="178"/>
        <v>0</v>
      </c>
      <c r="W892" s="152">
        <f t="shared" si="178"/>
        <v>0</v>
      </c>
      <c r="X892" s="152">
        <f t="shared" si="178"/>
        <v>0</v>
      </c>
      <c r="Y892" s="152">
        <f t="shared" si="178"/>
        <v>0</v>
      </c>
      <c r="Z892" s="152">
        <f t="shared" si="178"/>
        <v>0</v>
      </c>
      <c r="AA892" s="152">
        <f t="shared" si="178"/>
        <v>0</v>
      </c>
      <c r="AB892" s="152">
        <f t="shared" si="178"/>
        <v>0</v>
      </c>
      <c r="AC892" s="152">
        <f t="shared" si="178"/>
        <v>0</v>
      </c>
      <c r="AD892" s="153"/>
    </row>
    <row r="893" spans="1:30" ht="12.9" customHeight="1" x14ac:dyDescent="0.3">
      <c r="A893" s="184"/>
      <c r="B893" s="1"/>
      <c r="C893" s="1"/>
      <c r="D893" s="1"/>
      <c r="E893" s="1"/>
      <c r="F893" s="1"/>
      <c r="G893" s="1"/>
      <c r="H893" s="7"/>
      <c r="I893" s="100"/>
      <c r="J893" s="100"/>
      <c r="K893" s="154" t="s">
        <v>247</v>
      </c>
      <c r="L893" s="100"/>
      <c r="M893" s="148"/>
      <c r="N893" s="101">
        <f>N891+N892</f>
        <v>158664.0625</v>
      </c>
      <c r="O893" s="531"/>
    </row>
    <row r="894" spans="1:30" ht="12.9" customHeight="1" thickBot="1" x14ac:dyDescent="0.35">
      <c r="A894" s="178"/>
      <c r="B894" s="179"/>
      <c r="C894" s="179"/>
      <c r="D894" s="179"/>
      <c r="E894" s="179"/>
      <c r="F894" s="179"/>
      <c r="G894" s="179"/>
      <c r="H894" s="180"/>
      <c r="I894" s="194"/>
      <c r="J894" s="181"/>
      <c r="K894" s="180"/>
      <c r="L894" s="180"/>
      <c r="M894" s="180"/>
      <c r="N894" s="182"/>
      <c r="O894" s="531"/>
    </row>
    <row r="895" spans="1:30" ht="12.9" customHeight="1" thickBot="1" x14ac:dyDescent="0.35">
      <c r="A895" s="106"/>
      <c r="B895" s="1"/>
      <c r="C895" s="1"/>
      <c r="D895" s="1"/>
      <c r="E895" s="1"/>
      <c r="F895" s="1"/>
      <c r="G895" s="1"/>
      <c r="H895" s="1"/>
      <c r="I895" s="1"/>
      <c r="J895" s="100"/>
      <c r="K895" s="100"/>
      <c r="L895" s="100"/>
      <c r="M895" s="100"/>
      <c r="N895" s="100"/>
      <c r="O895" s="531"/>
      <c r="P895" s="156" t="str">
        <f>B1273</f>
        <v>1 m' Pemasangan pipa PVC dia.  1" melalui galian tanah keras</v>
      </c>
      <c r="Q895" s="157"/>
      <c r="R895" s="158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60"/>
    </row>
    <row r="896" spans="1:30" ht="12.9" customHeight="1" thickBot="1" x14ac:dyDescent="0.35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3" t="s">
        <v>355</v>
      </c>
      <c r="O896" s="531"/>
      <c r="P896" s="132"/>
      <c r="Q896" s="140"/>
      <c r="R896" s="133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8"/>
    </row>
    <row r="897" spans="1:30" ht="12.9" customHeight="1" x14ac:dyDescent="0.3">
      <c r="A897" s="1589" t="s">
        <v>9</v>
      </c>
      <c r="B897" s="1592" t="s">
        <v>10</v>
      </c>
      <c r="C897" s="1592"/>
      <c r="D897" s="1592"/>
      <c r="E897" s="1592"/>
      <c r="F897" s="1592"/>
      <c r="G897" s="1592"/>
      <c r="H897" s="1593"/>
      <c r="I897" s="1543" t="s">
        <v>210</v>
      </c>
      <c r="J897" s="1543" t="s">
        <v>211</v>
      </c>
      <c r="K897" s="73" t="s">
        <v>212</v>
      </c>
      <c r="L897" s="1598" t="s">
        <v>12</v>
      </c>
      <c r="M897" s="1599"/>
      <c r="N897" s="1600"/>
      <c r="O897" s="531"/>
      <c r="P897" s="132"/>
      <c r="Q897" s="140"/>
      <c r="R897" s="133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8"/>
    </row>
    <row r="898" spans="1:30" ht="12.9" customHeight="1" x14ac:dyDescent="0.3">
      <c r="A898" s="1590"/>
      <c r="B898" s="1594"/>
      <c r="C898" s="1594"/>
      <c r="D898" s="1594"/>
      <c r="E898" s="1594"/>
      <c r="F898" s="1594"/>
      <c r="G898" s="1594"/>
      <c r="H898" s="1595"/>
      <c r="I898" s="1544"/>
      <c r="J898" s="1544"/>
      <c r="K898" s="75" t="s">
        <v>11</v>
      </c>
      <c r="L898" s="75" t="s">
        <v>217</v>
      </c>
      <c r="M898" s="75" t="s">
        <v>218</v>
      </c>
      <c r="N898" s="76" t="s">
        <v>219</v>
      </c>
      <c r="O898" s="531"/>
      <c r="P898" s="132"/>
      <c r="Q898" s="140"/>
      <c r="R898" s="133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8"/>
    </row>
    <row r="899" spans="1:30" ht="12.9" customHeight="1" thickBot="1" x14ac:dyDescent="0.35">
      <c r="A899" s="1591"/>
      <c r="B899" s="1596"/>
      <c r="C899" s="1596"/>
      <c r="D899" s="1596"/>
      <c r="E899" s="1596"/>
      <c r="F899" s="1596"/>
      <c r="G899" s="1596"/>
      <c r="H899" s="1597"/>
      <c r="I899" s="1545"/>
      <c r="J899" s="1545"/>
      <c r="K899" s="81" t="s">
        <v>228</v>
      </c>
      <c r="L899" s="81" t="s">
        <v>228</v>
      </c>
      <c r="M899" s="81" t="s">
        <v>228</v>
      </c>
      <c r="N899" s="82" t="s">
        <v>228</v>
      </c>
      <c r="O899" s="534"/>
      <c r="P899" s="164"/>
      <c r="Q899" s="165"/>
      <c r="R899" s="166"/>
      <c r="S899" s="167"/>
      <c r="T899" s="167"/>
      <c r="U899" s="167"/>
      <c r="V899" s="167"/>
      <c r="W899" s="168"/>
      <c r="X899" s="168"/>
      <c r="Y899" s="167"/>
      <c r="Z899" s="167"/>
      <c r="AA899" s="167"/>
      <c r="AB899" s="167"/>
      <c r="AC899" s="167"/>
      <c r="AD899" s="169"/>
    </row>
    <row r="900" spans="1:30" ht="12.9" customHeight="1" thickBot="1" x14ac:dyDescent="0.35">
      <c r="A900" s="86"/>
      <c r="B900" s="12"/>
      <c r="C900" s="12"/>
      <c r="D900" s="12"/>
      <c r="E900" s="12"/>
      <c r="F900" s="12"/>
      <c r="G900" s="12"/>
      <c r="H900" s="75"/>
      <c r="I900" s="12"/>
      <c r="J900" s="87"/>
      <c r="K900" s="75"/>
      <c r="L900" s="75"/>
      <c r="M900" s="75"/>
      <c r="N900" s="88"/>
      <c r="O900" s="531"/>
      <c r="P900" s="151"/>
      <c r="Q900" s="152"/>
      <c r="R900" s="152">
        <f t="shared" ref="R900:AC900" si="179">SUM(R896:R899)</f>
        <v>0</v>
      </c>
      <c r="S900" s="152">
        <f t="shared" si="179"/>
        <v>0</v>
      </c>
      <c r="T900" s="152">
        <f t="shared" si="179"/>
        <v>0</v>
      </c>
      <c r="U900" s="152">
        <f t="shared" si="179"/>
        <v>0</v>
      </c>
      <c r="V900" s="152">
        <f t="shared" si="179"/>
        <v>0</v>
      </c>
      <c r="W900" s="152">
        <f t="shared" si="179"/>
        <v>0</v>
      </c>
      <c r="X900" s="152">
        <f t="shared" si="179"/>
        <v>0</v>
      </c>
      <c r="Y900" s="152">
        <f t="shared" si="179"/>
        <v>0</v>
      </c>
      <c r="Z900" s="152">
        <f t="shared" si="179"/>
        <v>0</v>
      </c>
      <c r="AA900" s="152">
        <f t="shared" si="179"/>
        <v>0</v>
      </c>
      <c r="AB900" s="152">
        <f t="shared" si="179"/>
        <v>0</v>
      </c>
      <c r="AC900" s="152">
        <f t="shared" si="179"/>
        <v>0</v>
      </c>
      <c r="AD900" s="153"/>
    </row>
    <row r="901" spans="1:30" ht="12.9" customHeight="1" x14ac:dyDescent="0.3">
      <c r="A901" s="183">
        <f>A886+1</f>
        <v>41</v>
      </c>
      <c r="B901" s="269" t="s">
        <v>497</v>
      </c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197"/>
      <c r="O901" s="533"/>
    </row>
    <row r="902" spans="1:30" ht="12.9" customHeight="1" x14ac:dyDescent="0.3">
      <c r="A902" s="184"/>
      <c r="B902" s="234" t="s">
        <v>233</v>
      </c>
      <c r="C902" s="249" t="s">
        <v>498</v>
      </c>
      <c r="D902" s="1"/>
      <c r="E902" s="1"/>
      <c r="F902" s="1"/>
      <c r="G902" s="1"/>
      <c r="H902" s="7"/>
      <c r="I902" s="234" t="s">
        <v>493</v>
      </c>
      <c r="J902" s="6">
        <v>0.1434</v>
      </c>
      <c r="K902" s="142">
        <f>'UPAH BAHAN'!H76</f>
        <v>85000</v>
      </c>
      <c r="L902" s="281" t="s">
        <v>233</v>
      </c>
      <c r="M902" s="205">
        <f>J902*K902</f>
        <v>12189</v>
      </c>
      <c r="N902" s="101">
        <f>L902+M902</f>
        <v>12189</v>
      </c>
      <c r="O902" s="536"/>
    </row>
    <row r="903" spans="1:30" ht="12.9" customHeight="1" x14ac:dyDescent="0.3">
      <c r="A903" s="184"/>
      <c r="B903" s="234" t="s">
        <v>233</v>
      </c>
      <c r="C903" s="248" t="s">
        <v>128</v>
      </c>
      <c r="D903" s="1"/>
      <c r="E903" s="1"/>
      <c r="F903" s="1"/>
      <c r="G903" s="1"/>
      <c r="H903" s="7"/>
      <c r="I903" s="234" t="s">
        <v>467</v>
      </c>
      <c r="J903" s="161">
        <v>4.2000000000000003E-2</v>
      </c>
      <c r="K903" s="142">
        <f>$L$380</f>
        <v>16447.5</v>
      </c>
      <c r="L903" s="142">
        <f>J903*K903</f>
        <v>690.79500000000007</v>
      </c>
      <c r="M903" s="205" t="s">
        <v>233</v>
      </c>
      <c r="N903" s="101">
        <f>L903+M903</f>
        <v>690.79500000000007</v>
      </c>
      <c r="O903" s="536"/>
    </row>
    <row r="904" spans="1:30" ht="12.9" customHeight="1" x14ac:dyDescent="0.3">
      <c r="A904" s="184"/>
      <c r="B904" s="234" t="s">
        <v>233</v>
      </c>
      <c r="C904" s="249" t="s">
        <v>220</v>
      </c>
      <c r="D904" s="1"/>
      <c r="E904" s="1"/>
      <c r="F904" s="1"/>
      <c r="G904" s="1"/>
      <c r="H904" s="7"/>
      <c r="I904" s="234" t="s">
        <v>467</v>
      </c>
      <c r="J904" s="161">
        <v>4.0000000000000001E-3</v>
      </c>
      <c r="K904" s="142">
        <f>'UPAH BAHAN'!H22</f>
        <v>135000</v>
      </c>
      <c r="L904" s="142">
        <f>J904*K904</f>
        <v>540</v>
      </c>
      <c r="M904" s="205" t="s">
        <v>233</v>
      </c>
      <c r="N904" s="101">
        <f>L904+M904</f>
        <v>540</v>
      </c>
      <c r="O904" s="536"/>
    </row>
    <row r="905" spans="1:30" ht="12.9" customHeight="1" x14ac:dyDescent="0.3">
      <c r="A905" s="184"/>
      <c r="B905" s="234" t="s">
        <v>233</v>
      </c>
      <c r="C905" s="248" t="s">
        <v>135</v>
      </c>
      <c r="D905" s="1"/>
      <c r="E905" s="1"/>
      <c r="F905" s="1"/>
      <c r="G905" s="1"/>
      <c r="H905" s="7"/>
      <c r="I905" s="234" t="s">
        <v>467</v>
      </c>
      <c r="J905" s="161">
        <v>2E-3</v>
      </c>
      <c r="K905" s="142">
        <f>$L$437</f>
        <v>31375</v>
      </c>
      <c r="L905" s="142">
        <f>J905*K905</f>
        <v>62.75</v>
      </c>
      <c r="M905" s="205" t="s">
        <v>233</v>
      </c>
      <c r="N905" s="101">
        <f>L905+M905</f>
        <v>62.75</v>
      </c>
      <c r="O905" s="536"/>
    </row>
    <row r="906" spans="1:30" ht="12.9" customHeight="1" x14ac:dyDescent="0.3">
      <c r="A906" s="184"/>
      <c r="B906" s="234" t="s">
        <v>233</v>
      </c>
      <c r="C906" s="249" t="s">
        <v>134</v>
      </c>
      <c r="D906" s="1"/>
      <c r="E906" s="1"/>
      <c r="F906" s="1"/>
      <c r="G906" s="1"/>
      <c r="H906" s="7"/>
      <c r="I906" s="234" t="s">
        <v>467</v>
      </c>
      <c r="J906" s="161">
        <v>4.2000000000000003E-2</v>
      </c>
      <c r="K906" s="142">
        <f>'UPAH BAHAN'!H24</f>
        <v>165000</v>
      </c>
      <c r="L906" s="142">
        <f>J906*K906</f>
        <v>6930</v>
      </c>
      <c r="M906" s="205" t="s">
        <v>233</v>
      </c>
      <c r="N906" s="101">
        <f>L906+M906</f>
        <v>6930</v>
      </c>
      <c r="O906" s="536"/>
    </row>
    <row r="907" spans="1:30" ht="12.9" customHeight="1" x14ac:dyDescent="0.3">
      <c r="A907" s="184"/>
      <c r="B907" s="1"/>
      <c r="C907" s="1"/>
      <c r="D907" s="1"/>
      <c r="E907" s="1"/>
      <c r="F907" s="1"/>
      <c r="G907" s="1"/>
      <c r="H907" s="142"/>
      <c r="I907" s="187"/>
      <c r="J907" s="209"/>
      <c r="K907" s="150" t="s">
        <v>245</v>
      </c>
      <c r="L907" s="117">
        <f>SUM(L902:L906)</f>
        <v>8223.5450000000001</v>
      </c>
      <c r="M907" s="117">
        <f>SUM(M902:M906)</f>
        <v>12189</v>
      </c>
      <c r="N907" s="117">
        <f>SUM(N902:N906)</f>
        <v>20412.544999999998</v>
      </c>
      <c r="O907" s="536"/>
    </row>
    <row r="908" spans="1:30" ht="12.9" customHeight="1" x14ac:dyDescent="0.3">
      <c r="A908" s="184"/>
      <c r="B908" s="1"/>
      <c r="C908" s="1"/>
      <c r="D908" s="1"/>
      <c r="E908" s="1"/>
      <c r="F908" s="1"/>
      <c r="G908" s="1"/>
      <c r="H908" s="142"/>
      <c r="I908" s="100"/>
      <c r="J908" s="100"/>
      <c r="K908" s="289" t="s">
        <v>512</v>
      </c>
      <c r="L908" s="100"/>
      <c r="M908" s="99"/>
      <c r="N908" s="101">
        <f>N907*15%</f>
        <v>3061.8817499999996</v>
      </c>
      <c r="O908" s="536"/>
    </row>
    <row r="909" spans="1:30" ht="12.9" customHeight="1" x14ac:dyDescent="0.3">
      <c r="A909" s="184"/>
      <c r="B909" s="1"/>
      <c r="C909" s="1"/>
      <c r="D909" s="1"/>
      <c r="E909" s="1"/>
      <c r="F909" s="1"/>
      <c r="G909" s="1"/>
      <c r="H909" s="142"/>
      <c r="I909" s="100"/>
      <c r="J909" s="100"/>
      <c r="K909" s="154" t="s">
        <v>247</v>
      </c>
      <c r="L909" s="100"/>
      <c r="M909" s="148"/>
      <c r="N909" s="101">
        <f>N907+N908</f>
        <v>23474.426749999999</v>
      </c>
      <c r="O909" s="536"/>
    </row>
    <row r="910" spans="1:30" ht="12.9" customHeight="1" x14ac:dyDescent="0.3">
      <c r="A910" s="183">
        <f>A901+1</f>
        <v>42</v>
      </c>
      <c r="B910" s="285" t="s">
        <v>359</v>
      </c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197"/>
      <c r="O910" s="537"/>
    </row>
    <row r="911" spans="1:30" ht="12.9" customHeight="1" x14ac:dyDescent="0.3">
      <c r="A911" s="184"/>
      <c r="B911" s="106" t="s">
        <v>231</v>
      </c>
      <c r="C911" s="1" t="s">
        <v>16</v>
      </c>
      <c r="D911" s="1"/>
      <c r="E911" s="1"/>
      <c r="F911" s="1"/>
      <c r="G911" s="1"/>
      <c r="H911" s="7"/>
      <c r="I911" s="106"/>
      <c r="J911" s="161"/>
      <c r="K911" s="7"/>
      <c r="L911" s="7"/>
      <c r="M911" s="7"/>
      <c r="N911" s="195"/>
      <c r="O911" s="536"/>
    </row>
    <row r="912" spans="1:30" ht="12.9" customHeight="1" x14ac:dyDescent="0.3">
      <c r="A912" s="184"/>
      <c r="B912" s="106"/>
      <c r="C912" s="105" t="s">
        <v>311</v>
      </c>
      <c r="D912" s="1"/>
      <c r="E912" s="1"/>
      <c r="F912" s="1"/>
      <c r="G912" s="1"/>
      <c r="H912" s="7"/>
      <c r="I912" s="106" t="s">
        <v>148</v>
      </c>
      <c r="J912" s="161">
        <v>4.4999999999999998E-2</v>
      </c>
      <c r="K912" s="142">
        <f>$L$380</f>
        <v>16447.5</v>
      </c>
      <c r="L912" s="142">
        <f>J912*K912</f>
        <v>740.13749999999993</v>
      </c>
      <c r="M912" s="205" t="s">
        <v>233</v>
      </c>
      <c r="N912" s="101">
        <f>L912+M912</f>
        <v>740.13749999999993</v>
      </c>
      <c r="O912" s="536"/>
    </row>
    <row r="913" spans="1:15" ht="12.9" customHeight="1" x14ac:dyDescent="0.3">
      <c r="A913" s="184"/>
      <c r="B913" s="106" t="s">
        <v>234</v>
      </c>
      <c r="C913" s="1" t="s">
        <v>356</v>
      </c>
      <c r="D913" s="1"/>
      <c r="E913" s="1"/>
      <c r="F913" s="1"/>
      <c r="G913" s="1"/>
      <c r="H913" s="7"/>
      <c r="I913" s="106"/>
      <c r="J913" s="161"/>
      <c r="K913" s="142"/>
      <c r="L913" s="142"/>
      <c r="M913" s="205"/>
      <c r="N913" s="101"/>
      <c r="O913" s="536"/>
    </row>
    <row r="914" spans="1:15" ht="12.9" customHeight="1" x14ac:dyDescent="0.3">
      <c r="A914" s="184"/>
      <c r="B914" s="106"/>
      <c r="C914" s="105" t="s">
        <v>311</v>
      </c>
      <c r="D914" s="1"/>
      <c r="E914" s="1"/>
      <c r="F914" s="1"/>
      <c r="G914" s="1"/>
      <c r="H914" s="7"/>
      <c r="I914" s="106" t="s">
        <v>148</v>
      </c>
      <c r="J914" s="161">
        <f>J912</f>
        <v>4.4999999999999998E-2</v>
      </c>
      <c r="K914" s="142">
        <f>$L$437</f>
        <v>31375</v>
      </c>
      <c r="L914" s="142">
        <f>J914*K914</f>
        <v>1411.875</v>
      </c>
      <c r="M914" s="205" t="s">
        <v>233</v>
      </c>
      <c r="N914" s="101">
        <f>L914+M914</f>
        <v>1411.875</v>
      </c>
      <c r="O914" s="536"/>
    </row>
    <row r="915" spans="1:15" ht="12.9" customHeight="1" x14ac:dyDescent="0.3">
      <c r="A915" s="184"/>
      <c r="B915" s="106" t="s">
        <v>251</v>
      </c>
      <c r="C915" s="1" t="s">
        <v>357</v>
      </c>
      <c r="D915" s="1"/>
      <c r="E915" s="1"/>
      <c r="F915" s="1"/>
      <c r="G915" s="1"/>
      <c r="H915" s="7"/>
      <c r="I915" s="106"/>
      <c r="J915" s="161"/>
      <c r="K915" s="142"/>
      <c r="L915" s="142"/>
      <c r="M915" s="205"/>
      <c r="N915" s="101"/>
      <c r="O915" s="536"/>
    </row>
    <row r="916" spans="1:15" ht="12.9" customHeight="1" x14ac:dyDescent="0.3">
      <c r="A916" s="184"/>
      <c r="B916" s="106"/>
      <c r="C916" s="105" t="s">
        <v>311</v>
      </c>
      <c r="D916" s="1"/>
      <c r="E916" s="1"/>
      <c r="F916" s="1"/>
      <c r="G916" s="1"/>
      <c r="H916" s="7"/>
      <c r="I916" s="106" t="s">
        <v>148</v>
      </c>
      <c r="J916" s="161">
        <f>J912</f>
        <v>4.4999999999999998E-2</v>
      </c>
      <c r="K916" s="142">
        <f>$L$538</f>
        <v>41560</v>
      </c>
      <c r="L916" s="100">
        <f>J916*K916</f>
        <v>1870.1999999999998</v>
      </c>
      <c r="M916" s="104" t="s">
        <v>233</v>
      </c>
      <c r="N916" s="101">
        <f>L916+M916</f>
        <v>1870.1999999999998</v>
      </c>
      <c r="O916" s="536"/>
    </row>
    <row r="917" spans="1:15" ht="12.9" customHeight="1" x14ac:dyDescent="0.3">
      <c r="A917" s="184"/>
      <c r="B917" s="106"/>
      <c r="C917" s="105" t="s">
        <v>327</v>
      </c>
      <c r="D917" s="1"/>
      <c r="E917" s="1"/>
      <c r="F917" s="1"/>
      <c r="G917" s="1"/>
      <c r="H917" s="7"/>
      <c r="I917" s="106" t="s">
        <v>148</v>
      </c>
      <c r="J917" s="161">
        <f>J916</f>
        <v>4.4999999999999998E-2</v>
      </c>
      <c r="K917" s="142">
        <f>$M$538</f>
        <v>558177.14285714284</v>
      </c>
      <c r="L917" s="118" t="s">
        <v>233</v>
      </c>
      <c r="M917" s="99">
        <f t="shared" ref="M917:M922" si="180">J917*K917</f>
        <v>25117.971428571425</v>
      </c>
      <c r="N917" s="101">
        <f>L917+M917</f>
        <v>25117.971428571425</v>
      </c>
      <c r="O917" s="536"/>
    </row>
    <row r="918" spans="1:15" ht="12.9" customHeight="1" x14ac:dyDescent="0.3">
      <c r="A918" s="184"/>
      <c r="B918" s="106" t="s">
        <v>253</v>
      </c>
      <c r="C918" s="1" t="s">
        <v>360</v>
      </c>
      <c r="D918" s="1"/>
      <c r="E918" s="1"/>
      <c r="F918" s="1"/>
      <c r="G918" s="1"/>
      <c r="H918" s="7"/>
      <c r="I918" s="106" t="s">
        <v>15</v>
      </c>
      <c r="J918" s="99">
        <v>4.4000000000000004</v>
      </c>
      <c r="K918" s="142">
        <v>84000</v>
      </c>
      <c r="L918" s="205" t="s">
        <v>233</v>
      </c>
      <c r="M918" s="142">
        <f t="shared" si="180"/>
        <v>369600.00000000006</v>
      </c>
      <c r="N918" s="101">
        <f t="shared" ref="N918:N923" si="181">L918+M918</f>
        <v>369600.00000000006</v>
      </c>
      <c r="O918" s="536"/>
    </row>
    <row r="919" spans="1:15" ht="12.9" customHeight="1" x14ac:dyDescent="0.3">
      <c r="A919" s="184"/>
      <c r="B919" s="106" t="s">
        <v>340</v>
      </c>
      <c r="C919" s="1" t="s">
        <v>358</v>
      </c>
      <c r="D919" s="1"/>
      <c r="E919" s="1"/>
      <c r="F919" s="1"/>
      <c r="G919" s="1"/>
      <c r="H919" s="7"/>
      <c r="I919" s="106" t="s">
        <v>15</v>
      </c>
      <c r="J919" s="99">
        <v>1</v>
      </c>
      <c r="K919" s="142">
        <f>'UPAH BAHAN'!$H$76</f>
        <v>85000</v>
      </c>
      <c r="L919" s="205" t="s">
        <v>233</v>
      </c>
      <c r="M919" s="142">
        <f t="shared" si="180"/>
        <v>85000</v>
      </c>
      <c r="N919" s="101">
        <f t="shared" si="181"/>
        <v>85000</v>
      </c>
      <c r="O919" s="536"/>
    </row>
    <row r="920" spans="1:15" ht="12.9" customHeight="1" x14ac:dyDescent="0.3">
      <c r="A920" s="184"/>
      <c r="B920" s="106" t="s">
        <v>342</v>
      </c>
      <c r="C920" s="1" t="s">
        <v>361</v>
      </c>
      <c r="D920" s="1"/>
      <c r="E920" s="1"/>
      <c r="F920" s="1"/>
      <c r="G920" s="1"/>
      <c r="H920" s="7"/>
      <c r="I920" s="106" t="s">
        <v>86</v>
      </c>
      <c r="J920" s="99">
        <v>2</v>
      </c>
      <c r="K920" s="142">
        <f>'UPAH BAHAN'!$H$74</f>
        <v>67500</v>
      </c>
      <c r="L920" s="205" t="s">
        <v>233</v>
      </c>
      <c r="M920" s="142">
        <f t="shared" si="180"/>
        <v>135000</v>
      </c>
      <c r="N920" s="101">
        <f t="shared" si="181"/>
        <v>135000</v>
      </c>
      <c r="O920" s="536"/>
    </row>
    <row r="921" spans="1:15" ht="12.9" customHeight="1" x14ac:dyDescent="0.3">
      <c r="A921" s="184"/>
      <c r="B921" s="106" t="s">
        <v>344</v>
      </c>
      <c r="C921" s="1" t="s">
        <v>187</v>
      </c>
      <c r="D921" s="1"/>
      <c r="E921" s="1"/>
      <c r="F921" s="1"/>
      <c r="G921" s="1"/>
      <c r="H921" s="7"/>
      <c r="I921" s="106" t="s">
        <v>86</v>
      </c>
      <c r="J921" s="99">
        <v>1</v>
      </c>
      <c r="K921" s="142">
        <f>'UPAH BAHAN'!$H$77</f>
        <v>150000</v>
      </c>
      <c r="L921" s="205" t="s">
        <v>233</v>
      </c>
      <c r="M921" s="142">
        <f t="shared" si="180"/>
        <v>150000</v>
      </c>
      <c r="N921" s="101">
        <f t="shared" si="181"/>
        <v>150000</v>
      </c>
      <c r="O921" s="536"/>
    </row>
    <row r="922" spans="1:15" ht="12.9" customHeight="1" x14ac:dyDescent="0.3">
      <c r="A922" s="184"/>
      <c r="B922" s="106" t="s">
        <v>346</v>
      </c>
      <c r="C922" s="1" t="s">
        <v>362</v>
      </c>
      <c r="D922" s="1"/>
      <c r="E922" s="1"/>
      <c r="F922" s="1"/>
      <c r="G922" s="1"/>
      <c r="H922" s="7"/>
      <c r="I922" s="106" t="s">
        <v>86</v>
      </c>
      <c r="J922" s="99">
        <v>1</v>
      </c>
      <c r="K922" s="142">
        <f>'UPAH BAHAN'!$H$75</f>
        <v>67500</v>
      </c>
      <c r="L922" s="205" t="s">
        <v>233</v>
      </c>
      <c r="M922" s="142">
        <f t="shared" si="180"/>
        <v>67500</v>
      </c>
      <c r="N922" s="101">
        <f t="shared" si="181"/>
        <v>67500</v>
      </c>
      <c r="O922" s="536"/>
    </row>
    <row r="923" spans="1:15" ht="12.9" customHeight="1" x14ac:dyDescent="0.3">
      <c r="A923" s="184"/>
      <c r="B923" s="106" t="s">
        <v>363</v>
      </c>
      <c r="C923" s="1" t="s">
        <v>364</v>
      </c>
      <c r="D923" s="1"/>
      <c r="E923" s="1"/>
      <c r="F923" s="1"/>
      <c r="G923" s="1"/>
      <c r="H923" s="7"/>
      <c r="I923" s="106" t="s">
        <v>250</v>
      </c>
      <c r="J923" s="99">
        <v>1</v>
      </c>
      <c r="K923" s="142">
        <f>L882</f>
        <v>5000</v>
      </c>
      <c r="L923" s="142">
        <f>J923*K923</f>
        <v>5000</v>
      </c>
      <c r="M923" s="205" t="s">
        <v>233</v>
      </c>
      <c r="N923" s="101">
        <f t="shared" si="181"/>
        <v>5000</v>
      </c>
      <c r="O923" s="536"/>
    </row>
    <row r="924" spans="1:15" ht="12.9" customHeight="1" x14ac:dyDescent="0.3">
      <c r="A924" s="184"/>
      <c r="B924" s="1"/>
      <c r="C924" s="1"/>
      <c r="D924" s="1"/>
      <c r="E924" s="1"/>
      <c r="F924" s="1"/>
      <c r="G924" s="1"/>
      <c r="H924" s="7"/>
      <c r="I924" s="187"/>
      <c r="J924" s="209"/>
      <c r="K924" s="150" t="s">
        <v>245</v>
      </c>
      <c r="L924" s="117">
        <f>SUM(L912:L923)</f>
        <v>9022.2124999999996</v>
      </c>
      <c r="M924" s="117">
        <f>SUM(M912:M923)</f>
        <v>832217.9714285715</v>
      </c>
      <c r="N924" s="109">
        <f>SUM(N912:N923)</f>
        <v>841240.18392857141</v>
      </c>
      <c r="O924" s="536"/>
    </row>
    <row r="925" spans="1:15" ht="12.9" customHeight="1" x14ac:dyDescent="0.3">
      <c r="A925" s="184"/>
      <c r="B925" s="1"/>
      <c r="C925" s="1"/>
      <c r="D925" s="1"/>
      <c r="E925" s="1"/>
      <c r="F925" s="1"/>
      <c r="G925" s="1"/>
      <c r="H925" s="7"/>
      <c r="I925" s="100"/>
      <c r="J925" s="100"/>
      <c r="K925" s="289" t="s">
        <v>512</v>
      </c>
      <c r="L925" s="100"/>
      <c r="M925" s="99"/>
      <c r="N925" s="101">
        <f>N924*15%</f>
        <v>126186.0275892857</v>
      </c>
      <c r="O925" s="536"/>
    </row>
    <row r="926" spans="1:15" ht="12.9" customHeight="1" x14ac:dyDescent="0.3">
      <c r="A926" s="184"/>
      <c r="B926" s="1"/>
      <c r="C926" s="1"/>
      <c r="D926" s="1"/>
      <c r="E926" s="1"/>
      <c r="F926" s="1"/>
      <c r="G926" s="1"/>
      <c r="H926" s="7"/>
      <c r="I926" s="100"/>
      <c r="J926" s="100"/>
      <c r="K926" s="154" t="s">
        <v>247</v>
      </c>
      <c r="L926" s="100"/>
      <c r="M926" s="148"/>
      <c r="N926" s="101">
        <f>N924+N925</f>
        <v>967426.21151785715</v>
      </c>
      <c r="O926" s="536"/>
    </row>
    <row r="927" spans="1:15" ht="12.9" customHeight="1" x14ac:dyDescent="0.3">
      <c r="A927" s="183"/>
      <c r="B927" s="94" t="s">
        <v>365</v>
      </c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197"/>
      <c r="O927" s="536"/>
    </row>
    <row r="928" spans="1:15" ht="12.9" customHeight="1" x14ac:dyDescent="0.3">
      <c r="A928" s="183">
        <v>1</v>
      </c>
      <c r="B928" s="95" t="s">
        <v>366</v>
      </c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197"/>
      <c r="O928" s="537"/>
    </row>
    <row r="929" spans="1:16" ht="12.9" customHeight="1" x14ac:dyDescent="0.3">
      <c r="A929" s="184"/>
      <c r="B929" s="106" t="s">
        <v>231</v>
      </c>
      <c r="C929" s="1" t="s">
        <v>367</v>
      </c>
      <c r="D929" s="1"/>
      <c r="E929" s="1"/>
      <c r="F929" s="1"/>
      <c r="G929" s="1"/>
      <c r="H929" s="7"/>
      <c r="I929" s="141" t="s">
        <v>15</v>
      </c>
      <c r="J929" s="99">
        <v>0.5</v>
      </c>
      <c r="K929" s="142">
        <v>442800</v>
      </c>
      <c r="L929" s="171" t="s">
        <v>233</v>
      </c>
      <c r="M929" s="99">
        <f>J929*K929</f>
        <v>221400</v>
      </c>
      <c r="N929" s="101">
        <f>L929+M929</f>
        <v>221400</v>
      </c>
      <c r="O929" s="537">
        <v>2657000</v>
      </c>
      <c r="P929" s="540">
        <f>O929/6</f>
        <v>442833.33333333331</v>
      </c>
    </row>
    <row r="930" spans="1:16" ht="12.9" customHeight="1" x14ac:dyDescent="0.3">
      <c r="A930" s="184"/>
      <c r="B930" s="106" t="s">
        <v>234</v>
      </c>
      <c r="C930" s="1" t="s">
        <v>337</v>
      </c>
      <c r="D930" s="1"/>
      <c r="E930" s="1"/>
      <c r="F930" s="1"/>
      <c r="G930" s="1"/>
      <c r="H930" s="7"/>
      <c r="I930" s="141"/>
      <c r="J930" s="99"/>
      <c r="K930" s="142"/>
      <c r="L930" s="171"/>
      <c r="M930" s="99"/>
      <c r="N930" s="101"/>
      <c r="O930" s="537"/>
    </row>
    <row r="931" spans="1:16" ht="12.9" customHeight="1" x14ac:dyDescent="0.3">
      <c r="A931" s="184"/>
      <c r="B931" s="106"/>
      <c r="C931" s="105" t="s">
        <v>311</v>
      </c>
      <c r="D931" s="1"/>
      <c r="E931" s="1"/>
      <c r="F931" s="1"/>
      <c r="G931" s="1"/>
      <c r="H931" s="7"/>
      <c r="I931" s="141" t="s">
        <v>28</v>
      </c>
      <c r="J931" s="99">
        <v>0.92</v>
      </c>
      <c r="K931" s="142">
        <f>$L$804</f>
        <v>6480.0000000000009</v>
      </c>
      <c r="L931" s="100">
        <f>J931*K931</f>
        <v>5961.6000000000013</v>
      </c>
      <c r="M931" s="148" t="s">
        <v>233</v>
      </c>
      <c r="N931" s="101">
        <f>L931+M931</f>
        <v>5961.6000000000013</v>
      </c>
      <c r="O931" s="537"/>
    </row>
    <row r="932" spans="1:16" ht="12.9" customHeight="1" x14ac:dyDescent="0.3">
      <c r="A932" s="184"/>
      <c r="B932" s="106"/>
      <c r="C932" s="105" t="s">
        <v>312</v>
      </c>
      <c r="D932" s="1"/>
      <c r="E932" s="1"/>
      <c r="F932" s="1"/>
      <c r="G932" s="1"/>
      <c r="H932" s="7"/>
      <c r="I932" s="141" t="s">
        <v>28</v>
      </c>
      <c r="J932" s="99">
        <f>J931</f>
        <v>0.92</v>
      </c>
      <c r="K932" s="142">
        <f>$M$804</f>
        <v>12350.000000000002</v>
      </c>
      <c r="L932" s="171" t="s">
        <v>233</v>
      </c>
      <c r="M932" s="99">
        <f>J932*K932</f>
        <v>11362.000000000002</v>
      </c>
      <c r="N932" s="101">
        <f>L932+M932</f>
        <v>11362.000000000002</v>
      </c>
      <c r="O932" s="537"/>
    </row>
    <row r="933" spans="1:16" ht="12.9" customHeight="1" x14ac:dyDescent="0.3">
      <c r="A933" s="184"/>
      <c r="B933" s="106" t="s">
        <v>251</v>
      </c>
      <c r="C933" s="1" t="s">
        <v>368</v>
      </c>
      <c r="D933" s="1"/>
      <c r="E933" s="1"/>
      <c r="F933" s="1"/>
      <c r="G933" s="1"/>
      <c r="H933" s="7"/>
      <c r="I933" s="141" t="s">
        <v>250</v>
      </c>
      <c r="J933" s="99">
        <v>1</v>
      </c>
      <c r="K933" s="142">
        <v>120000</v>
      </c>
      <c r="L933" s="100">
        <f>J933*K933</f>
        <v>120000</v>
      </c>
      <c r="M933" s="148" t="s">
        <v>233</v>
      </c>
      <c r="N933" s="101">
        <f>L933+M933</f>
        <v>120000</v>
      </c>
      <c r="O933" s="537"/>
    </row>
    <row r="934" spans="1:16" ht="12.9" customHeight="1" x14ac:dyDescent="0.3">
      <c r="A934" s="184"/>
      <c r="B934" s="106" t="s">
        <v>253</v>
      </c>
      <c r="C934" s="1" t="s">
        <v>330</v>
      </c>
      <c r="D934" s="1"/>
      <c r="E934" s="1"/>
      <c r="F934" s="1"/>
      <c r="G934" s="1"/>
      <c r="H934" s="7"/>
      <c r="I934" s="141" t="s">
        <v>250</v>
      </c>
      <c r="J934" s="99">
        <v>1</v>
      </c>
      <c r="K934" s="142">
        <f>K923</f>
        <v>5000</v>
      </c>
      <c r="L934" s="100">
        <f>J934*K934</f>
        <v>5000</v>
      </c>
      <c r="M934" s="148" t="s">
        <v>233</v>
      </c>
      <c r="N934" s="101">
        <f>L934+M934</f>
        <v>5000</v>
      </c>
      <c r="O934" s="537"/>
    </row>
    <row r="935" spans="1:16" ht="12.9" customHeight="1" x14ac:dyDescent="0.3">
      <c r="A935" s="184"/>
      <c r="B935" s="1"/>
      <c r="C935" s="1"/>
      <c r="D935" s="1"/>
      <c r="E935" s="1"/>
      <c r="F935" s="1"/>
      <c r="G935" s="1"/>
      <c r="H935" s="7"/>
      <c r="I935" s="107"/>
      <c r="J935" s="107"/>
      <c r="K935" s="150" t="s">
        <v>245</v>
      </c>
      <c r="L935" s="107">
        <f>SUM(L929:L934)</f>
        <v>130961.60000000001</v>
      </c>
      <c r="M935" s="108">
        <f>SUM(M929:M934)</f>
        <v>232762</v>
      </c>
      <c r="N935" s="109">
        <f>SUM(N929:N934)</f>
        <v>363723.6</v>
      </c>
      <c r="O935" s="537"/>
    </row>
    <row r="936" spans="1:16" ht="12.9" customHeight="1" x14ac:dyDescent="0.3">
      <c r="A936" s="184"/>
      <c r="B936" s="1"/>
      <c r="C936" s="1"/>
      <c r="D936" s="1"/>
      <c r="E936" s="1"/>
      <c r="F936" s="1"/>
      <c r="G936" s="1"/>
      <c r="H936" s="7"/>
      <c r="I936" s="100"/>
      <c r="J936" s="100"/>
      <c r="K936" s="289" t="s">
        <v>512</v>
      </c>
      <c r="L936" s="100"/>
      <c r="M936" s="99"/>
      <c r="N936" s="101">
        <f>N935*15%</f>
        <v>54558.539999999994</v>
      </c>
      <c r="O936" s="537"/>
    </row>
    <row r="937" spans="1:16" ht="12.9" customHeight="1" x14ac:dyDescent="0.3">
      <c r="A937" s="184"/>
      <c r="B937" s="1"/>
      <c r="C937" s="1"/>
      <c r="D937" s="1"/>
      <c r="E937" s="1"/>
      <c r="F937" s="1"/>
      <c r="G937" s="1"/>
      <c r="H937" s="7"/>
      <c r="I937" s="100"/>
      <c r="J937" s="100"/>
      <c r="K937" s="154" t="s">
        <v>247</v>
      </c>
      <c r="L937" s="100"/>
      <c r="M937" s="148"/>
      <c r="N937" s="101">
        <f>N935+N936</f>
        <v>418282.13999999996</v>
      </c>
      <c r="O937" s="537"/>
    </row>
    <row r="938" spans="1:16" ht="12.9" customHeight="1" x14ac:dyDescent="0.3">
      <c r="A938" s="183">
        <v>2</v>
      </c>
      <c r="B938" s="95" t="s">
        <v>369</v>
      </c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197"/>
      <c r="O938" s="537"/>
    </row>
    <row r="939" spans="1:16" ht="12.9" customHeight="1" x14ac:dyDescent="0.3">
      <c r="A939" s="184"/>
      <c r="B939" s="106" t="s">
        <v>231</v>
      </c>
      <c r="C939" s="1" t="s">
        <v>367</v>
      </c>
      <c r="D939" s="1"/>
      <c r="E939" s="1"/>
      <c r="F939" s="1"/>
      <c r="G939" s="1"/>
      <c r="H939" s="7"/>
      <c r="I939" s="141" t="s">
        <v>15</v>
      </c>
      <c r="J939" s="99">
        <v>0.5</v>
      </c>
      <c r="K939" s="142">
        <f>+K929</f>
        <v>442800</v>
      </c>
      <c r="L939" s="171" t="s">
        <v>233</v>
      </c>
      <c r="M939" s="99">
        <f>J939*K939</f>
        <v>221400</v>
      </c>
      <c r="N939" s="101">
        <f>L939+M939</f>
        <v>221400</v>
      </c>
      <c r="O939" s="533"/>
    </row>
    <row r="940" spans="1:16" ht="12.9" customHeight="1" x14ac:dyDescent="0.3">
      <c r="A940" s="184"/>
      <c r="B940" s="106" t="s">
        <v>234</v>
      </c>
      <c r="C940" s="1" t="s">
        <v>337</v>
      </c>
      <c r="D940" s="1"/>
      <c r="E940" s="1"/>
      <c r="F940" s="1"/>
      <c r="G940" s="1"/>
      <c r="H940" s="7"/>
      <c r="I940" s="141"/>
      <c r="J940" s="99"/>
      <c r="K940" s="142"/>
      <c r="L940" s="171"/>
      <c r="M940" s="99"/>
      <c r="N940" s="101"/>
      <c r="O940" s="533"/>
    </row>
    <row r="941" spans="1:16" ht="12.9" customHeight="1" x14ac:dyDescent="0.3">
      <c r="A941" s="184"/>
      <c r="B941" s="106"/>
      <c r="C941" s="105" t="s">
        <v>311</v>
      </c>
      <c r="D941" s="1"/>
      <c r="E941" s="1"/>
      <c r="F941" s="1"/>
      <c r="G941" s="1"/>
      <c r="H941" s="7"/>
      <c r="I941" s="141" t="s">
        <v>28</v>
      </c>
      <c r="J941" s="99">
        <v>0.92</v>
      </c>
      <c r="K941" s="142">
        <f>$L$804</f>
        <v>6480.0000000000009</v>
      </c>
      <c r="L941" s="100">
        <f>J941*K941</f>
        <v>5961.6000000000013</v>
      </c>
      <c r="M941" s="148" t="s">
        <v>233</v>
      </c>
      <c r="N941" s="101">
        <f t="shared" ref="N941:N946" si="182">L941+M941</f>
        <v>5961.6000000000013</v>
      </c>
      <c r="O941" s="533"/>
    </row>
    <row r="942" spans="1:16" ht="12.9" customHeight="1" x14ac:dyDescent="0.3">
      <c r="A942" s="184"/>
      <c r="B942" s="106"/>
      <c r="C942" s="105" t="s">
        <v>312</v>
      </c>
      <c r="D942" s="1"/>
      <c r="E942" s="1"/>
      <c r="F942" s="1"/>
      <c r="G942" s="1"/>
      <c r="H942" s="7"/>
      <c r="I942" s="141" t="s">
        <v>28</v>
      </c>
      <c r="J942" s="99">
        <f>J941</f>
        <v>0.92</v>
      </c>
      <c r="K942" s="142">
        <f>$M$804</f>
        <v>12350.000000000002</v>
      </c>
      <c r="L942" s="171" t="s">
        <v>233</v>
      </c>
      <c r="M942" s="99">
        <f>J942*K942</f>
        <v>11362.000000000002</v>
      </c>
      <c r="N942" s="101">
        <f t="shared" si="182"/>
        <v>11362.000000000002</v>
      </c>
      <c r="O942" s="533"/>
    </row>
    <row r="943" spans="1:16" ht="12.9" customHeight="1" x14ac:dyDescent="0.3">
      <c r="A943" s="184"/>
      <c r="B943" s="106" t="s">
        <v>251</v>
      </c>
      <c r="C943" s="1" t="s">
        <v>370</v>
      </c>
      <c r="D943" s="1"/>
      <c r="E943" s="1"/>
      <c r="F943" s="1"/>
      <c r="G943" s="1"/>
      <c r="H943" s="7"/>
      <c r="I943" s="141" t="s">
        <v>86</v>
      </c>
      <c r="J943" s="99">
        <v>2</v>
      </c>
      <c r="K943" s="142">
        <v>130000</v>
      </c>
      <c r="L943" s="171" t="s">
        <v>233</v>
      </c>
      <c r="M943" s="99">
        <f>J943*K943</f>
        <v>260000</v>
      </c>
      <c r="N943" s="101">
        <f t="shared" si="182"/>
        <v>260000</v>
      </c>
      <c r="O943" s="533"/>
    </row>
    <row r="944" spans="1:16" ht="12.9" customHeight="1" x14ac:dyDescent="0.3">
      <c r="A944" s="184"/>
      <c r="B944" s="106" t="s">
        <v>253</v>
      </c>
      <c r="C944" s="1" t="s">
        <v>371</v>
      </c>
      <c r="D944" s="1"/>
      <c r="E944" s="1"/>
      <c r="F944" s="1"/>
      <c r="G944" s="1"/>
      <c r="H944" s="7"/>
      <c r="I944" s="141" t="s">
        <v>190</v>
      </c>
      <c r="J944" s="99">
        <v>1</v>
      </c>
      <c r="K944" s="142">
        <v>30000</v>
      </c>
      <c r="L944" s="171" t="s">
        <v>233</v>
      </c>
      <c r="M944" s="99">
        <f>J944*K944</f>
        <v>30000</v>
      </c>
      <c r="N944" s="101">
        <f t="shared" si="182"/>
        <v>30000</v>
      </c>
      <c r="O944" s="533"/>
    </row>
    <row r="945" spans="1:16" ht="12.9" customHeight="1" x14ac:dyDescent="0.3">
      <c r="A945" s="184"/>
      <c r="B945" s="106" t="s">
        <v>340</v>
      </c>
      <c r="C945" s="1" t="s">
        <v>368</v>
      </c>
      <c r="D945" s="1"/>
      <c r="E945" s="1"/>
      <c r="F945" s="1"/>
      <c r="G945" s="1"/>
      <c r="H945" s="7"/>
      <c r="I945" s="141" t="s">
        <v>250</v>
      </c>
      <c r="J945" s="99">
        <v>1</v>
      </c>
      <c r="K945" s="142">
        <f>+K933+15000</f>
        <v>135000</v>
      </c>
      <c r="L945" s="100">
        <f>J945*K945</f>
        <v>135000</v>
      </c>
      <c r="M945" s="148" t="s">
        <v>233</v>
      </c>
      <c r="N945" s="101">
        <f t="shared" si="182"/>
        <v>135000</v>
      </c>
      <c r="O945" s="533"/>
    </row>
    <row r="946" spans="1:16" ht="12.9" customHeight="1" x14ac:dyDescent="0.3">
      <c r="A946" s="184"/>
      <c r="B946" s="106" t="s">
        <v>342</v>
      </c>
      <c r="C946" s="1" t="s">
        <v>330</v>
      </c>
      <c r="D946" s="1"/>
      <c r="E946" s="1"/>
      <c r="F946" s="1"/>
      <c r="G946" s="1"/>
      <c r="H946" s="7"/>
      <c r="I946" s="141" t="s">
        <v>250</v>
      </c>
      <c r="J946" s="99">
        <v>1</v>
      </c>
      <c r="K946" s="142">
        <f>+K934</f>
        <v>5000</v>
      </c>
      <c r="L946" s="100">
        <f>J946*K946</f>
        <v>5000</v>
      </c>
      <c r="M946" s="148" t="s">
        <v>233</v>
      </c>
      <c r="N946" s="101">
        <f t="shared" si="182"/>
        <v>5000</v>
      </c>
      <c r="O946" s="533"/>
    </row>
    <row r="947" spans="1:16" ht="12.9" customHeight="1" x14ac:dyDescent="0.3">
      <c r="A947" s="184"/>
      <c r="B947" s="1"/>
      <c r="C947" s="1"/>
      <c r="D947" s="1"/>
      <c r="E947" s="1"/>
      <c r="F947" s="1"/>
      <c r="G947" s="1"/>
      <c r="H947" s="7"/>
      <c r="I947" s="107"/>
      <c r="J947" s="107"/>
      <c r="K947" s="150" t="s">
        <v>245</v>
      </c>
      <c r="L947" s="107">
        <f>SUM(L939:L946)</f>
        <v>145961.60000000001</v>
      </c>
      <c r="M947" s="108">
        <f>SUM(M939:M946)</f>
        <v>522762</v>
      </c>
      <c r="N947" s="109">
        <f>SUM(N939:N946)</f>
        <v>668723.6</v>
      </c>
      <c r="O947" s="533"/>
    </row>
    <row r="948" spans="1:16" ht="12.9" customHeight="1" x14ac:dyDescent="0.3">
      <c r="A948" s="184"/>
      <c r="B948" s="1"/>
      <c r="C948" s="1"/>
      <c r="D948" s="1"/>
      <c r="E948" s="1"/>
      <c r="F948" s="1"/>
      <c r="G948" s="1"/>
      <c r="H948" s="7"/>
      <c r="I948" s="100"/>
      <c r="J948" s="100"/>
      <c r="K948" s="289" t="s">
        <v>512</v>
      </c>
      <c r="L948" s="100"/>
      <c r="M948" s="99"/>
      <c r="N948" s="101">
        <f>N947*15%</f>
        <v>100308.54</v>
      </c>
      <c r="O948" s="533"/>
    </row>
    <row r="949" spans="1:16" ht="12.9" customHeight="1" x14ac:dyDescent="0.3">
      <c r="A949" s="186"/>
      <c r="B949" s="173"/>
      <c r="C949" s="173"/>
      <c r="D949" s="173"/>
      <c r="E949" s="173"/>
      <c r="F949" s="173"/>
      <c r="G949" s="173"/>
      <c r="H949" s="174"/>
      <c r="I949" s="175"/>
      <c r="J949" s="175"/>
      <c r="K949" s="176" t="s">
        <v>247</v>
      </c>
      <c r="L949" s="175"/>
      <c r="M949" s="177"/>
      <c r="N949" s="116">
        <f>N947+N948</f>
        <v>769032.14</v>
      </c>
      <c r="O949" s="533"/>
    </row>
    <row r="950" spans="1:16" ht="12.9" customHeight="1" x14ac:dyDescent="0.3">
      <c r="A950" s="282">
        <f>A938+1</f>
        <v>3</v>
      </c>
      <c r="B950" s="173" t="s">
        <v>372</v>
      </c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283"/>
      <c r="O950" s="533"/>
    </row>
    <row r="951" spans="1:16" ht="12.9" customHeight="1" x14ac:dyDescent="0.3">
      <c r="A951" s="184"/>
      <c r="B951" s="106" t="s">
        <v>231</v>
      </c>
      <c r="C951" s="1" t="s">
        <v>373</v>
      </c>
      <c r="D951" s="1"/>
      <c r="E951" s="1"/>
      <c r="F951" s="1"/>
      <c r="G951" s="1"/>
      <c r="H951" s="7"/>
      <c r="I951" s="141" t="s">
        <v>15</v>
      </c>
      <c r="J951" s="99">
        <v>0.5</v>
      </c>
      <c r="K951" s="142">
        <v>253167</v>
      </c>
      <c r="L951" s="171" t="s">
        <v>233</v>
      </c>
      <c r="M951" s="99">
        <f>J951*K951</f>
        <v>126583.5</v>
      </c>
      <c r="N951" s="101">
        <f>L951+M951</f>
        <v>126583.5</v>
      </c>
      <c r="O951" s="533">
        <v>1519000</v>
      </c>
      <c r="P951" s="540">
        <f>O951/6</f>
        <v>253166.66666666666</v>
      </c>
    </row>
    <row r="952" spans="1:16" ht="12.9" customHeight="1" x14ac:dyDescent="0.3">
      <c r="A952" s="184"/>
      <c r="B952" s="106" t="s">
        <v>234</v>
      </c>
      <c r="C952" s="1" t="s">
        <v>337</v>
      </c>
      <c r="D952" s="1"/>
      <c r="E952" s="1"/>
      <c r="F952" s="1"/>
      <c r="G952" s="1"/>
      <c r="H952" s="7"/>
      <c r="I952" s="141"/>
      <c r="J952" s="99"/>
      <c r="K952" s="142"/>
      <c r="L952" s="171"/>
      <c r="M952" s="99"/>
      <c r="N952" s="101"/>
      <c r="O952" s="533"/>
    </row>
    <row r="953" spans="1:16" ht="12.9" customHeight="1" x14ac:dyDescent="0.3">
      <c r="A953" s="184"/>
      <c r="B953" s="106"/>
      <c r="C953" s="105" t="s">
        <v>311</v>
      </c>
      <c r="D953" s="1"/>
      <c r="E953" s="1"/>
      <c r="F953" s="1"/>
      <c r="G953" s="1"/>
      <c r="H953" s="7"/>
      <c r="I953" s="141" t="s">
        <v>28</v>
      </c>
      <c r="J953" s="99">
        <v>0.92</v>
      </c>
      <c r="K953" s="142">
        <f t="shared" ref="K953:K958" si="183">K941</f>
        <v>6480.0000000000009</v>
      </c>
      <c r="L953" s="100">
        <f>J953*K953</f>
        <v>5961.6000000000013</v>
      </c>
      <c r="M953" s="148" t="s">
        <v>233</v>
      </c>
      <c r="N953" s="101">
        <f t="shared" ref="N953:N958" si="184">L953+M953</f>
        <v>5961.6000000000013</v>
      </c>
      <c r="O953" s="533"/>
    </row>
    <row r="954" spans="1:16" ht="12.9" customHeight="1" x14ac:dyDescent="0.3">
      <c r="A954" s="184"/>
      <c r="B954" s="106"/>
      <c r="C954" s="105" t="s">
        <v>312</v>
      </c>
      <c r="D954" s="1"/>
      <c r="E954" s="1"/>
      <c r="F954" s="1"/>
      <c r="G954" s="1"/>
      <c r="H954" s="7"/>
      <c r="I954" s="141" t="s">
        <v>28</v>
      </c>
      <c r="J954" s="99">
        <f>J953</f>
        <v>0.92</v>
      </c>
      <c r="K954" s="142">
        <f t="shared" si="183"/>
        <v>12350.000000000002</v>
      </c>
      <c r="L954" s="171" t="s">
        <v>233</v>
      </c>
      <c r="M954" s="99">
        <f>J954*K954</f>
        <v>11362.000000000002</v>
      </c>
      <c r="N954" s="101">
        <f t="shared" si="184"/>
        <v>11362.000000000002</v>
      </c>
      <c r="O954" s="533"/>
    </row>
    <row r="955" spans="1:16" ht="12.9" customHeight="1" x14ac:dyDescent="0.3">
      <c r="A955" s="184"/>
      <c r="B955" s="106" t="s">
        <v>251</v>
      </c>
      <c r="C955" s="1" t="s">
        <v>370</v>
      </c>
      <c r="D955" s="1"/>
      <c r="E955" s="1"/>
      <c r="F955" s="1"/>
      <c r="G955" s="1"/>
      <c r="H955" s="7"/>
      <c r="I955" s="141" t="s">
        <v>86</v>
      </c>
      <c r="J955" s="99">
        <v>1</v>
      </c>
      <c r="K955" s="142">
        <f t="shared" si="183"/>
        <v>130000</v>
      </c>
      <c r="L955" s="171" t="s">
        <v>233</v>
      </c>
      <c r="M955" s="99">
        <f>J955*K955</f>
        <v>130000</v>
      </c>
      <c r="N955" s="101">
        <f t="shared" si="184"/>
        <v>130000</v>
      </c>
      <c r="O955" s="533"/>
    </row>
    <row r="956" spans="1:16" ht="12.9" customHeight="1" x14ac:dyDescent="0.3">
      <c r="A956" s="184"/>
      <c r="B956" s="106" t="s">
        <v>253</v>
      </c>
      <c r="C956" s="1" t="s">
        <v>371</v>
      </c>
      <c r="D956" s="1"/>
      <c r="E956" s="1"/>
      <c r="F956" s="1"/>
      <c r="G956" s="1"/>
      <c r="H956" s="7"/>
      <c r="I956" s="141" t="s">
        <v>190</v>
      </c>
      <c r="J956" s="99">
        <v>1</v>
      </c>
      <c r="K956" s="142">
        <f t="shared" si="183"/>
        <v>30000</v>
      </c>
      <c r="L956" s="171" t="s">
        <v>233</v>
      </c>
      <c r="M956" s="99">
        <f>J956*K956</f>
        <v>30000</v>
      </c>
      <c r="N956" s="101">
        <f t="shared" si="184"/>
        <v>30000</v>
      </c>
      <c r="O956" s="533"/>
    </row>
    <row r="957" spans="1:16" ht="12.9" customHeight="1" x14ac:dyDescent="0.3">
      <c r="A957" s="184"/>
      <c r="B957" s="106" t="s">
        <v>340</v>
      </c>
      <c r="C957" s="1" t="s">
        <v>368</v>
      </c>
      <c r="D957" s="1"/>
      <c r="E957" s="1"/>
      <c r="F957" s="1"/>
      <c r="G957" s="1"/>
      <c r="H957" s="7"/>
      <c r="I957" s="141" t="s">
        <v>250</v>
      </c>
      <c r="J957" s="99">
        <v>1</v>
      </c>
      <c r="K957" s="142">
        <f>K945/2</f>
        <v>67500</v>
      </c>
      <c r="L957" s="100">
        <f>J957*K957</f>
        <v>67500</v>
      </c>
      <c r="M957" s="148" t="s">
        <v>233</v>
      </c>
      <c r="N957" s="101">
        <f t="shared" si="184"/>
        <v>67500</v>
      </c>
      <c r="O957" s="533"/>
    </row>
    <row r="958" spans="1:16" ht="12.9" customHeight="1" x14ac:dyDescent="0.3">
      <c r="A958" s="184"/>
      <c r="B958" s="106" t="s">
        <v>342</v>
      </c>
      <c r="C958" s="1" t="s">
        <v>330</v>
      </c>
      <c r="D958" s="1"/>
      <c r="E958" s="1"/>
      <c r="F958" s="1"/>
      <c r="G958" s="1"/>
      <c r="H958" s="7"/>
      <c r="I958" s="141" t="s">
        <v>250</v>
      </c>
      <c r="J958" s="99">
        <v>1</v>
      </c>
      <c r="K958" s="142">
        <f t="shared" si="183"/>
        <v>5000</v>
      </c>
      <c r="L958" s="100">
        <f>J958*K958</f>
        <v>5000</v>
      </c>
      <c r="M958" s="148" t="s">
        <v>233</v>
      </c>
      <c r="N958" s="101">
        <f t="shared" si="184"/>
        <v>5000</v>
      </c>
      <c r="O958" s="533"/>
    </row>
    <row r="959" spans="1:16" ht="12.9" customHeight="1" x14ac:dyDescent="0.3">
      <c r="A959" s="184"/>
      <c r="B959" s="1"/>
      <c r="C959" s="1"/>
      <c r="D959" s="1"/>
      <c r="E959" s="1"/>
      <c r="F959" s="1"/>
      <c r="G959" s="1"/>
      <c r="H959" s="7"/>
      <c r="I959" s="107"/>
      <c r="J959" s="107"/>
      <c r="K959" s="150" t="s">
        <v>245</v>
      </c>
      <c r="L959" s="107">
        <f>SUM(L951:L958)</f>
        <v>78461.600000000006</v>
      </c>
      <c r="M959" s="108">
        <f>SUM(M951:M958)</f>
        <v>297945.5</v>
      </c>
      <c r="N959" s="109">
        <f>SUM(N951:N958)</f>
        <v>376407.1</v>
      </c>
      <c r="O959" s="533"/>
    </row>
    <row r="960" spans="1:16" ht="12.9" customHeight="1" x14ac:dyDescent="0.3">
      <c r="A960" s="184"/>
      <c r="B960" s="1"/>
      <c r="C960" s="1"/>
      <c r="D960" s="1"/>
      <c r="E960" s="1"/>
      <c r="F960" s="1"/>
      <c r="G960" s="1"/>
      <c r="H960" s="7"/>
      <c r="I960" s="100"/>
      <c r="J960" s="100"/>
      <c r="K960" s="289" t="s">
        <v>512</v>
      </c>
      <c r="L960" s="100"/>
      <c r="M960" s="99"/>
      <c r="N960" s="101">
        <f>N959*15%</f>
        <v>56461.064999999995</v>
      </c>
      <c r="O960" s="533"/>
    </row>
    <row r="961" spans="1:15" ht="12.9" customHeight="1" x14ac:dyDescent="0.3">
      <c r="A961" s="184"/>
      <c r="B961" s="1"/>
      <c r="C961" s="1"/>
      <c r="D961" s="1"/>
      <c r="E961" s="1"/>
      <c r="F961" s="1"/>
      <c r="G961" s="1"/>
      <c r="H961" s="7"/>
      <c r="I961" s="100"/>
      <c r="J961" s="100"/>
      <c r="K961" s="154" t="s">
        <v>247</v>
      </c>
      <c r="L961" s="100"/>
      <c r="M961" s="148"/>
      <c r="N961" s="101">
        <f>N959+N960</f>
        <v>432868.16499999998</v>
      </c>
      <c r="O961" s="533"/>
    </row>
    <row r="962" spans="1:15" ht="14.1" customHeight="1" thickBot="1" x14ac:dyDescent="0.35">
      <c r="A962" s="178"/>
      <c r="B962" s="179"/>
      <c r="C962" s="179"/>
      <c r="D962" s="179"/>
      <c r="E962" s="179"/>
      <c r="F962" s="179"/>
      <c r="G962" s="179"/>
      <c r="H962" s="180"/>
      <c r="I962" s="194"/>
      <c r="J962" s="181"/>
      <c r="K962" s="180"/>
      <c r="L962" s="180"/>
      <c r="M962" s="180"/>
      <c r="N962" s="182"/>
      <c r="O962" s="533"/>
    </row>
    <row r="963" spans="1:15" ht="14.1" customHeight="1" x14ac:dyDescent="0.3">
      <c r="A963" s="106"/>
      <c r="B963" s="1"/>
      <c r="C963" s="1"/>
      <c r="D963" s="1"/>
      <c r="E963" s="1"/>
      <c r="F963" s="1"/>
      <c r="G963" s="1"/>
      <c r="H963" s="1"/>
      <c r="I963" s="1"/>
      <c r="J963" s="100"/>
      <c r="K963" s="100"/>
      <c r="L963" s="100"/>
      <c r="M963" s="100"/>
      <c r="N963" s="100"/>
      <c r="O963" s="533"/>
    </row>
    <row r="964" spans="1:15" ht="14.1" customHeight="1" thickBot="1" x14ac:dyDescent="0.35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3" t="s">
        <v>374</v>
      </c>
      <c r="O964" s="533"/>
    </row>
    <row r="965" spans="1:15" ht="14.1" customHeight="1" x14ac:dyDescent="0.3">
      <c r="A965" s="1589" t="s">
        <v>9</v>
      </c>
      <c r="B965" s="1592" t="s">
        <v>10</v>
      </c>
      <c r="C965" s="1592"/>
      <c r="D965" s="1592"/>
      <c r="E965" s="1592"/>
      <c r="F965" s="1592"/>
      <c r="G965" s="1592"/>
      <c r="H965" s="1593"/>
      <c r="I965" s="1543" t="s">
        <v>210</v>
      </c>
      <c r="J965" s="1543" t="s">
        <v>211</v>
      </c>
      <c r="K965" s="73" t="s">
        <v>212</v>
      </c>
      <c r="L965" s="1598" t="s">
        <v>12</v>
      </c>
      <c r="M965" s="1599"/>
      <c r="N965" s="1600"/>
      <c r="O965" s="533"/>
    </row>
    <row r="966" spans="1:15" ht="14.1" customHeight="1" x14ac:dyDescent="0.3">
      <c r="A966" s="1590"/>
      <c r="B966" s="1594"/>
      <c r="C966" s="1594"/>
      <c r="D966" s="1594"/>
      <c r="E966" s="1594"/>
      <c r="F966" s="1594"/>
      <c r="G966" s="1594"/>
      <c r="H966" s="1595"/>
      <c r="I966" s="1544"/>
      <c r="J966" s="1544"/>
      <c r="K966" s="75" t="s">
        <v>11</v>
      </c>
      <c r="L966" s="75" t="s">
        <v>217</v>
      </c>
      <c r="M966" s="75" t="s">
        <v>218</v>
      </c>
      <c r="N966" s="76" t="s">
        <v>219</v>
      </c>
      <c r="O966" s="533"/>
    </row>
    <row r="967" spans="1:15" ht="14.1" customHeight="1" x14ac:dyDescent="0.3">
      <c r="A967" s="1591"/>
      <c r="B967" s="1596"/>
      <c r="C967" s="1596"/>
      <c r="D967" s="1596"/>
      <c r="E967" s="1596"/>
      <c r="F967" s="1596"/>
      <c r="G967" s="1596"/>
      <c r="H967" s="1597"/>
      <c r="I967" s="1545"/>
      <c r="J967" s="1545"/>
      <c r="K967" s="81" t="s">
        <v>228</v>
      </c>
      <c r="L967" s="81" t="s">
        <v>228</v>
      </c>
      <c r="M967" s="81" t="s">
        <v>228</v>
      </c>
      <c r="N967" s="82" t="s">
        <v>228</v>
      </c>
      <c r="O967" s="533"/>
    </row>
    <row r="968" spans="1:15" ht="14.1" customHeight="1" x14ac:dyDescent="0.3">
      <c r="A968" s="86"/>
      <c r="B968" s="12"/>
      <c r="C968" s="12"/>
      <c r="D968" s="12"/>
      <c r="E968" s="12"/>
      <c r="F968" s="12"/>
      <c r="G968" s="12"/>
      <c r="H968" s="75"/>
      <c r="I968" s="12"/>
      <c r="J968" s="87"/>
      <c r="K968" s="75"/>
      <c r="L968" s="75"/>
      <c r="M968" s="75"/>
      <c r="N968" s="88"/>
      <c r="O968" s="533"/>
    </row>
    <row r="969" spans="1:15" ht="14.1" customHeight="1" x14ac:dyDescent="0.3">
      <c r="A969" s="183">
        <f>A950+1</f>
        <v>4</v>
      </c>
      <c r="B969" s="95" t="s">
        <v>375</v>
      </c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197"/>
      <c r="O969" s="533"/>
    </row>
    <row r="970" spans="1:15" ht="14.1" customHeight="1" x14ac:dyDescent="0.3">
      <c r="A970" s="184"/>
      <c r="B970" s="106" t="s">
        <v>231</v>
      </c>
      <c r="C970" s="1" t="s">
        <v>373</v>
      </c>
      <c r="D970" s="1"/>
      <c r="E970" s="1"/>
      <c r="F970" s="1"/>
      <c r="G970" s="1"/>
      <c r="H970" s="7"/>
      <c r="I970" s="141" t="s">
        <v>15</v>
      </c>
      <c r="J970" s="99">
        <v>0.5</v>
      </c>
      <c r="K970" s="142">
        <v>265000</v>
      </c>
      <c r="L970" s="171" t="s">
        <v>233</v>
      </c>
      <c r="M970" s="99">
        <f>J970*K970</f>
        <v>132500</v>
      </c>
      <c r="N970" s="101">
        <f>L970+M970</f>
        <v>132500</v>
      </c>
      <c r="O970" s="533"/>
    </row>
    <row r="971" spans="1:15" ht="14.1" customHeight="1" x14ac:dyDescent="0.3">
      <c r="A971" s="184"/>
      <c r="B971" s="106" t="s">
        <v>234</v>
      </c>
      <c r="C971" s="1" t="s">
        <v>337</v>
      </c>
      <c r="D971" s="1"/>
      <c r="E971" s="1"/>
      <c r="F971" s="1"/>
      <c r="G971" s="1"/>
      <c r="H971" s="7"/>
      <c r="I971" s="141"/>
      <c r="J971" s="99"/>
      <c r="K971" s="142"/>
      <c r="L971" s="171"/>
      <c r="M971" s="99"/>
      <c r="N971" s="101"/>
      <c r="O971" s="533"/>
    </row>
    <row r="972" spans="1:15" ht="14.1" customHeight="1" x14ac:dyDescent="0.3">
      <c r="A972" s="184"/>
      <c r="B972" s="106"/>
      <c r="C972" s="105" t="s">
        <v>311</v>
      </c>
      <c r="D972" s="1"/>
      <c r="E972" s="1"/>
      <c r="F972" s="1"/>
      <c r="G972" s="1"/>
      <c r="H972" s="7"/>
      <c r="I972" s="141" t="s">
        <v>28</v>
      </c>
      <c r="J972" s="99">
        <v>0.92</v>
      </c>
      <c r="K972" s="142">
        <f>$L$804</f>
        <v>6480.0000000000009</v>
      </c>
      <c r="L972" s="100">
        <f>J972*K972</f>
        <v>5961.6000000000013</v>
      </c>
      <c r="M972" s="148" t="s">
        <v>233</v>
      </c>
      <c r="N972" s="101">
        <f>L972+M972</f>
        <v>5961.6000000000013</v>
      </c>
      <c r="O972" s="533"/>
    </row>
    <row r="973" spans="1:15" ht="14.1" customHeight="1" x14ac:dyDescent="0.3">
      <c r="A973" s="184"/>
      <c r="B973" s="106"/>
      <c r="C973" s="105" t="s">
        <v>312</v>
      </c>
      <c r="D973" s="1"/>
      <c r="E973" s="1"/>
      <c r="F973" s="1"/>
      <c r="G973" s="1"/>
      <c r="H973" s="7"/>
      <c r="I973" s="141" t="s">
        <v>28</v>
      </c>
      <c r="J973" s="99">
        <f>J972</f>
        <v>0.92</v>
      </c>
      <c r="K973" s="142">
        <f>$M$804</f>
        <v>12350.000000000002</v>
      </c>
      <c r="L973" s="171" t="s">
        <v>233</v>
      </c>
      <c r="M973" s="99">
        <f>J973*K973</f>
        <v>11362.000000000002</v>
      </c>
      <c r="N973" s="101">
        <f>L973+M973</f>
        <v>11362.000000000002</v>
      </c>
      <c r="O973" s="533"/>
    </row>
    <row r="974" spans="1:15" ht="14.1" customHeight="1" x14ac:dyDescent="0.3">
      <c r="A974" s="184"/>
      <c r="B974" s="106" t="s">
        <v>251</v>
      </c>
      <c r="C974" s="1" t="s">
        <v>368</v>
      </c>
      <c r="D974" s="1"/>
      <c r="E974" s="1"/>
      <c r="F974" s="1"/>
      <c r="G974" s="1"/>
      <c r="H974" s="7"/>
      <c r="I974" s="141" t="s">
        <v>250</v>
      </c>
      <c r="J974" s="99">
        <v>1</v>
      </c>
      <c r="K974" s="142">
        <v>80000</v>
      </c>
      <c r="L974" s="100">
        <f>J974*K974</f>
        <v>80000</v>
      </c>
      <c r="M974" s="148" t="s">
        <v>233</v>
      </c>
      <c r="N974" s="101">
        <f>L974+M974</f>
        <v>80000</v>
      </c>
      <c r="O974" s="533"/>
    </row>
    <row r="975" spans="1:15" ht="14.1" customHeight="1" x14ac:dyDescent="0.3">
      <c r="A975" s="184"/>
      <c r="B975" s="106" t="s">
        <v>253</v>
      </c>
      <c r="C975" s="1" t="s">
        <v>330</v>
      </c>
      <c r="D975" s="1"/>
      <c r="E975" s="1"/>
      <c r="F975" s="1"/>
      <c r="G975" s="1"/>
      <c r="H975" s="7"/>
      <c r="I975" s="141" t="s">
        <v>250</v>
      </c>
      <c r="J975" s="99">
        <v>1</v>
      </c>
      <c r="K975" s="142">
        <f>K958</f>
        <v>5000</v>
      </c>
      <c r="L975" s="100">
        <f>J975*K975</f>
        <v>5000</v>
      </c>
      <c r="M975" s="148" t="s">
        <v>233</v>
      </c>
      <c r="N975" s="101">
        <f>L975+M975</f>
        <v>5000</v>
      </c>
      <c r="O975" s="533"/>
    </row>
    <row r="976" spans="1:15" ht="14.1" customHeight="1" x14ac:dyDescent="0.3">
      <c r="A976" s="184"/>
      <c r="B976" s="1"/>
      <c r="C976" s="1"/>
      <c r="D976" s="1"/>
      <c r="E976" s="1"/>
      <c r="F976" s="1"/>
      <c r="G976" s="1"/>
      <c r="H976" s="7"/>
      <c r="I976" s="107"/>
      <c r="J976" s="107"/>
      <c r="K976" s="150" t="s">
        <v>245</v>
      </c>
      <c r="L976" s="107">
        <f>SUM(L970:L975)</f>
        <v>90961.600000000006</v>
      </c>
      <c r="M976" s="108">
        <f>SUM(M970:M975)</f>
        <v>143862</v>
      </c>
      <c r="N976" s="109">
        <f>SUM(N970:N975)</f>
        <v>234823.6</v>
      </c>
      <c r="O976" s="533"/>
    </row>
    <row r="977" spans="1:16" ht="14.1" customHeight="1" x14ac:dyDescent="0.3">
      <c r="A977" s="184"/>
      <c r="B977" s="1"/>
      <c r="C977" s="1"/>
      <c r="D977" s="1"/>
      <c r="E977" s="1"/>
      <c r="F977" s="1"/>
      <c r="G977" s="1"/>
      <c r="H977" s="7"/>
      <c r="I977" s="100"/>
      <c r="J977" s="100"/>
      <c r="K977" s="289" t="s">
        <v>512</v>
      </c>
      <c r="L977" s="100"/>
      <c r="M977" s="99"/>
      <c r="N977" s="101">
        <f>N976*15%</f>
        <v>35223.54</v>
      </c>
      <c r="O977" s="533"/>
    </row>
    <row r="978" spans="1:16" ht="14.1" customHeight="1" x14ac:dyDescent="0.3">
      <c r="A978" s="184"/>
      <c r="B978" s="1"/>
      <c r="C978" s="1"/>
      <c r="D978" s="1"/>
      <c r="E978" s="1"/>
      <c r="F978" s="1"/>
      <c r="G978" s="1"/>
      <c r="H978" s="7"/>
      <c r="I978" s="100"/>
      <c r="J978" s="100"/>
      <c r="K978" s="154" t="s">
        <v>247</v>
      </c>
      <c r="L978" s="100"/>
      <c r="M978" s="148"/>
      <c r="N978" s="101">
        <f>N976+N977</f>
        <v>270047.14</v>
      </c>
      <c r="O978" s="533"/>
    </row>
    <row r="979" spans="1:16" ht="14.1" customHeight="1" x14ac:dyDescent="0.3">
      <c r="A979" s="183">
        <f>A969+1</f>
        <v>5</v>
      </c>
      <c r="B979" s="95" t="s">
        <v>376</v>
      </c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197"/>
      <c r="O979" s="533"/>
    </row>
    <row r="980" spans="1:16" ht="14.1" customHeight="1" x14ac:dyDescent="0.3">
      <c r="A980" s="184"/>
      <c r="B980" s="106" t="s">
        <v>231</v>
      </c>
      <c r="C980" s="1" t="s">
        <v>373</v>
      </c>
      <c r="D980" s="1"/>
      <c r="E980" s="1"/>
      <c r="F980" s="1"/>
      <c r="G980" s="1"/>
      <c r="H980" s="7"/>
      <c r="I980" s="141" t="s">
        <v>15</v>
      </c>
      <c r="J980" s="99">
        <v>0.5</v>
      </c>
      <c r="K980" s="142">
        <f>+K970</f>
        <v>265000</v>
      </c>
      <c r="L980" s="171" t="s">
        <v>233</v>
      </c>
      <c r="M980" s="99">
        <f>J980*K980</f>
        <v>132500</v>
      </c>
      <c r="N980" s="101">
        <f>L980+M980</f>
        <v>132500</v>
      </c>
      <c r="O980" s="533"/>
    </row>
    <row r="981" spans="1:16" ht="14.1" customHeight="1" x14ac:dyDescent="0.3">
      <c r="A981" s="184"/>
      <c r="B981" s="106" t="s">
        <v>234</v>
      </c>
      <c r="C981" s="1" t="s">
        <v>337</v>
      </c>
      <c r="D981" s="1"/>
      <c r="E981" s="1"/>
      <c r="F981" s="1"/>
      <c r="G981" s="1"/>
      <c r="H981" s="7"/>
      <c r="I981" s="141"/>
      <c r="J981" s="99"/>
      <c r="K981" s="142"/>
      <c r="L981" s="171"/>
      <c r="M981" s="99"/>
      <c r="N981" s="101"/>
      <c r="O981" s="533"/>
    </row>
    <row r="982" spans="1:16" ht="14.1" customHeight="1" x14ac:dyDescent="0.3">
      <c r="A982" s="184"/>
      <c r="B982" s="106"/>
      <c r="C982" s="105" t="s">
        <v>311</v>
      </c>
      <c r="D982" s="1"/>
      <c r="E982" s="1"/>
      <c r="F982" s="1"/>
      <c r="G982" s="1"/>
      <c r="H982" s="7"/>
      <c r="I982" s="141" t="s">
        <v>28</v>
      </c>
      <c r="J982" s="99">
        <v>0.92</v>
      </c>
      <c r="K982" s="142">
        <f>$L$804</f>
        <v>6480.0000000000009</v>
      </c>
      <c r="L982" s="100">
        <f>J982*K982</f>
        <v>5961.6000000000013</v>
      </c>
      <c r="M982" s="148" t="s">
        <v>233</v>
      </c>
      <c r="N982" s="101">
        <f t="shared" ref="N982:N987" si="185">L982+M982</f>
        <v>5961.6000000000013</v>
      </c>
      <c r="O982" s="533"/>
    </row>
    <row r="983" spans="1:16" ht="14.1" customHeight="1" x14ac:dyDescent="0.3">
      <c r="A983" s="184"/>
      <c r="B983" s="106"/>
      <c r="C983" s="105" t="s">
        <v>312</v>
      </c>
      <c r="D983" s="1"/>
      <c r="E983" s="1"/>
      <c r="F983" s="1"/>
      <c r="G983" s="1"/>
      <c r="H983" s="7"/>
      <c r="I983" s="141" t="s">
        <v>28</v>
      </c>
      <c r="J983" s="99">
        <f>J982</f>
        <v>0.92</v>
      </c>
      <c r="K983" s="142">
        <f>$M$804</f>
        <v>12350.000000000002</v>
      </c>
      <c r="L983" s="171" t="s">
        <v>233</v>
      </c>
      <c r="M983" s="99">
        <f>J983*K983</f>
        <v>11362.000000000002</v>
      </c>
      <c r="N983" s="101">
        <f t="shared" si="185"/>
        <v>11362.000000000002</v>
      </c>
      <c r="O983" s="533"/>
    </row>
    <row r="984" spans="1:16" ht="14.1" customHeight="1" x14ac:dyDescent="0.3">
      <c r="A984" s="184"/>
      <c r="B984" s="106" t="s">
        <v>251</v>
      </c>
      <c r="C984" s="1" t="s">
        <v>370</v>
      </c>
      <c r="D984" s="1"/>
      <c r="E984" s="1"/>
      <c r="F984" s="1"/>
      <c r="G984" s="1"/>
      <c r="H984" s="7"/>
      <c r="I984" s="141" t="s">
        <v>86</v>
      </c>
      <c r="J984" s="99">
        <v>2</v>
      </c>
      <c r="K984" s="142">
        <v>130000</v>
      </c>
      <c r="L984" s="171" t="s">
        <v>233</v>
      </c>
      <c r="M984" s="99">
        <f>J984*K984</f>
        <v>260000</v>
      </c>
      <c r="N984" s="101">
        <f t="shared" si="185"/>
        <v>260000</v>
      </c>
      <c r="O984" s="533"/>
    </row>
    <row r="985" spans="1:16" ht="14.1" customHeight="1" x14ac:dyDescent="0.3">
      <c r="A985" s="184"/>
      <c r="B985" s="106" t="s">
        <v>253</v>
      </c>
      <c r="C985" s="1" t="s">
        <v>371</v>
      </c>
      <c r="D985" s="1"/>
      <c r="E985" s="1"/>
      <c r="F985" s="1"/>
      <c r="G985" s="1"/>
      <c r="H985" s="7"/>
      <c r="I985" s="141" t="s">
        <v>190</v>
      </c>
      <c r="J985" s="99">
        <v>1</v>
      </c>
      <c r="K985" s="142">
        <v>30000</v>
      </c>
      <c r="L985" s="171" t="s">
        <v>233</v>
      </c>
      <c r="M985" s="99">
        <f>J985*K985</f>
        <v>30000</v>
      </c>
      <c r="N985" s="101">
        <f t="shared" si="185"/>
        <v>30000</v>
      </c>
      <c r="O985" s="533"/>
    </row>
    <row r="986" spans="1:16" ht="14.1" customHeight="1" x14ac:dyDescent="0.3">
      <c r="A986" s="184"/>
      <c r="B986" s="106" t="s">
        <v>340</v>
      </c>
      <c r="C986" s="1" t="s">
        <v>368</v>
      </c>
      <c r="D986" s="1"/>
      <c r="E986" s="1"/>
      <c r="F986" s="1"/>
      <c r="G986" s="1"/>
      <c r="H986" s="7"/>
      <c r="I986" s="141" t="s">
        <v>250</v>
      </c>
      <c r="J986" s="99">
        <v>1</v>
      </c>
      <c r="K986" s="142">
        <f>+K974+15000</f>
        <v>95000</v>
      </c>
      <c r="L986" s="100">
        <f>J986*K986</f>
        <v>95000</v>
      </c>
      <c r="M986" s="148" t="s">
        <v>233</v>
      </c>
      <c r="N986" s="101">
        <f t="shared" si="185"/>
        <v>95000</v>
      </c>
      <c r="O986" s="533"/>
    </row>
    <row r="987" spans="1:16" ht="14.1" customHeight="1" x14ac:dyDescent="0.3">
      <c r="A987" s="184"/>
      <c r="B987" s="106" t="s">
        <v>342</v>
      </c>
      <c r="C987" s="1" t="s">
        <v>330</v>
      </c>
      <c r="D987" s="1"/>
      <c r="E987" s="1"/>
      <c r="F987" s="1"/>
      <c r="G987" s="1"/>
      <c r="H987" s="7"/>
      <c r="I987" s="141" t="s">
        <v>250</v>
      </c>
      <c r="J987" s="99">
        <v>1</v>
      </c>
      <c r="K987" s="142">
        <f>+K975</f>
        <v>5000</v>
      </c>
      <c r="L987" s="100">
        <f>J987*K987</f>
        <v>5000</v>
      </c>
      <c r="M987" s="148" t="s">
        <v>233</v>
      </c>
      <c r="N987" s="101">
        <f t="shared" si="185"/>
        <v>5000</v>
      </c>
      <c r="O987" s="533"/>
    </row>
    <row r="988" spans="1:16" ht="14.1" customHeight="1" x14ac:dyDescent="0.3">
      <c r="A988" s="184"/>
      <c r="B988" s="1"/>
      <c r="C988" s="1"/>
      <c r="D988" s="1"/>
      <c r="E988" s="1"/>
      <c r="F988" s="1"/>
      <c r="G988" s="1"/>
      <c r="H988" s="7"/>
      <c r="I988" s="107" t="s">
        <v>245</v>
      </c>
      <c r="J988" s="107"/>
      <c r="K988" s="210"/>
      <c r="L988" s="107">
        <f>SUM(L980:L987)</f>
        <v>105961.60000000001</v>
      </c>
      <c r="M988" s="108">
        <f>SUM(M980:M987)</f>
        <v>433862</v>
      </c>
      <c r="N988" s="109">
        <f>SUM(N980:N987)</f>
        <v>539823.6</v>
      </c>
      <c r="O988" s="533"/>
    </row>
    <row r="989" spans="1:16" ht="14.1" customHeight="1" x14ac:dyDescent="0.3">
      <c r="A989" s="184"/>
      <c r="B989" s="1"/>
      <c r="C989" s="1"/>
      <c r="D989" s="1"/>
      <c r="E989" s="1"/>
      <c r="F989" s="1"/>
      <c r="G989" s="1"/>
      <c r="H989" s="7"/>
      <c r="I989" s="290" t="s">
        <v>513</v>
      </c>
      <c r="J989" s="100"/>
      <c r="K989" s="142"/>
      <c r="L989" s="100"/>
      <c r="M989" s="99"/>
      <c r="N989" s="101">
        <f>N988*15%</f>
        <v>80973.539999999994</v>
      </c>
      <c r="O989" s="533"/>
    </row>
    <row r="990" spans="1:16" ht="14.1" customHeight="1" x14ac:dyDescent="0.3">
      <c r="A990" s="184"/>
      <c r="B990" s="1"/>
      <c r="C990" s="1"/>
      <c r="D990" s="1"/>
      <c r="E990" s="1"/>
      <c r="F990" s="1"/>
      <c r="G990" s="1"/>
      <c r="H990" s="7"/>
      <c r="I990" s="284" t="s">
        <v>377</v>
      </c>
      <c r="J990" s="100"/>
      <c r="K990" s="7"/>
      <c r="L990" s="100"/>
      <c r="M990" s="148"/>
      <c r="N990" s="101">
        <f>N988+N989</f>
        <v>620797.14</v>
      </c>
      <c r="O990" s="537"/>
    </row>
    <row r="991" spans="1:16" ht="14.1" customHeight="1" x14ac:dyDescent="0.3">
      <c r="A991" s="183">
        <f>A979+1</f>
        <v>6</v>
      </c>
      <c r="B991" s="95" t="s">
        <v>378</v>
      </c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197"/>
      <c r="O991" s="537"/>
    </row>
    <row r="992" spans="1:16" ht="14.1" customHeight="1" x14ac:dyDescent="0.3">
      <c r="A992" s="184"/>
      <c r="B992" s="106" t="s">
        <v>231</v>
      </c>
      <c r="C992" s="1" t="s">
        <v>379</v>
      </c>
      <c r="D992" s="1"/>
      <c r="E992" s="1"/>
      <c r="F992" s="1"/>
      <c r="G992" s="1"/>
      <c r="H992" s="7"/>
      <c r="I992" s="141" t="s">
        <v>15</v>
      </c>
      <c r="J992" s="99">
        <v>0.5</v>
      </c>
      <c r="K992" s="142">
        <f>'UPAH BAHAN'!H206</f>
        <v>183500</v>
      </c>
      <c r="L992" s="171" t="s">
        <v>233</v>
      </c>
      <c r="M992" s="99">
        <f>J992*K992</f>
        <v>91750</v>
      </c>
      <c r="N992" s="101">
        <f>L992+M992</f>
        <v>91750</v>
      </c>
      <c r="O992" s="537">
        <v>1069000</v>
      </c>
      <c r="P992" s="540">
        <f>O992/6</f>
        <v>178166.66666666666</v>
      </c>
    </row>
    <row r="993" spans="1:15" ht="14.1" customHeight="1" x14ac:dyDescent="0.3">
      <c r="A993" s="184"/>
      <c r="B993" s="106" t="s">
        <v>234</v>
      </c>
      <c r="C993" s="1" t="s">
        <v>337</v>
      </c>
      <c r="D993" s="1"/>
      <c r="E993" s="1"/>
      <c r="F993" s="1"/>
      <c r="G993" s="1"/>
      <c r="H993" s="7"/>
      <c r="I993" s="141"/>
      <c r="J993" s="99"/>
      <c r="K993" s="142"/>
      <c r="L993" s="171"/>
      <c r="M993" s="99"/>
      <c r="N993" s="101"/>
      <c r="O993" s="537"/>
    </row>
    <row r="994" spans="1:15" ht="14.1" customHeight="1" x14ac:dyDescent="0.3">
      <c r="A994" s="184"/>
      <c r="B994" s="106"/>
      <c r="C994" s="105" t="s">
        <v>311</v>
      </c>
      <c r="D994" s="1"/>
      <c r="E994" s="1"/>
      <c r="F994" s="1"/>
      <c r="G994" s="1"/>
      <c r="H994" s="7"/>
      <c r="I994" s="141" t="s">
        <v>28</v>
      </c>
      <c r="J994" s="99">
        <v>0.92</v>
      </c>
      <c r="K994" s="142">
        <f>K982</f>
        <v>6480.0000000000009</v>
      </c>
      <c r="L994" s="100">
        <f>J994*K994</f>
        <v>5961.6000000000013</v>
      </c>
      <c r="M994" s="148" t="s">
        <v>233</v>
      </c>
      <c r="N994" s="101">
        <f t="shared" ref="N994:N999" si="186">L994+M994</f>
        <v>5961.6000000000013</v>
      </c>
      <c r="O994" s="537"/>
    </row>
    <row r="995" spans="1:15" ht="14.1" customHeight="1" x14ac:dyDescent="0.3">
      <c r="A995" s="184"/>
      <c r="B995" s="106"/>
      <c r="C995" s="105" t="s">
        <v>312</v>
      </c>
      <c r="D995" s="1"/>
      <c r="E995" s="1"/>
      <c r="F995" s="1"/>
      <c r="G995" s="1"/>
      <c r="H995" s="7"/>
      <c r="I995" s="141" t="s">
        <v>28</v>
      </c>
      <c r="J995" s="99">
        <f>J994</f>
        <v>0.92</v>
      </c>
      <c r="K995" s="142">
        <f>K983</f>
        <v>12350.000000000002</v>
      </c>
      <c r="L995" s="171" t="s">
        <v>233</v>
      </c>
      <c r="M995" s="99">
        <f>J995*K995</f>
        <v>11362.000000000002</v>
      </c>
      <c r="N995" s="101">
        <f t="shared" si="186"/>
        <v>11362.000000000002</v>
      </c>
      <c r="O995" s="537"/>
    </row>
    <row r="996" spans="1:15" ht="14.1" customHeight="1" x14ac:dyDescent="0.3">
      <c r="A996" s="184"/>
      <c r="B996" s="106" t="s">
        <v>251</v>
      </c>
      <c r="C996" s="1" t="s">
        <v>370</v>
      </c>
      <c r="D996" s="1"/>
      <c r="E996" s="1"/>
      <c r="F996" s="1"/>
      <c r="G996" s="1"/>
      <c r="H996" s="7"/>
      <c r="I996" s="141" t="s">
        <v>86</v>
      </c>
      <c r="J996" s="99">
        <v>1</v>
      </c>
      <c r="K996" s="142">
        <v>130000</v>
      </c>
      <c r="L996" s="171" t="s">
        <v>233</v>
      </c>
      <c r="M996" s="99">
        <f>J996*K996</f>
        <v>130000</v>
      </c>
      <c r="N996" s="101">
        <f t="shared" si="186"/>
        <v>130000</v>
      </c>
      <c r="O996" s="537"/>
    </row>
    <row r="997" spans="1:15" ht="14.1" customHeight="1" x14ac:dyDescent="0.3">
      <c r="A997" s="184"/>
      <c r="B997" s="106" t="s">
        <v>253</v>
      </c>
      <c r="C997" s="1" t="s">
        <v>371</v>
      </c>
      <c r="D997" s="1"/>
      <c r="E997" s="1"/>
      <c r="F997" s="1"/>
      <c r="G997" s="1"/>
      <c r="H997" s="7"/>
      <c r="I997" s="141" t="s">
        <v>190</v>
      </c>
      <c r="J997" s="99">
        <v>1</v>
      </c>
      <c r="K997" s="142">
        <f>K985</f>
        <v>30000</v>
      </c>
      <c r="L997" s="171" t="s">
        <v>233</v>
      </c>
      <c r="M997" s="99">
        <f>J997*K997</f>
        <v>30000</v>
      </c>
      <c r="N997" s="101">
        <f t="shared" si="186"/>
        <v>30000</v>
      </c>
      <c r="O997" s="537"/>
    </row>
    <row r="998" spans="1:15" ht="14.1" customHeight="1" x14ac:dyDescent="0.3">
      <c r="A998" s="184"/>
      <c r="B998" s="106" t="s">
        <v>340</v>
      </c>
      <c r="C998" s="1" t="s">
        <v>368</v>
      </c>
      <c r="D998" s="1"/>
      <c r="E998" s="1"/>
      <c r="F998" s="1"/>
      <c r="G998" s="1"/>
      <c r="H998" s="7"/>
      <c r="I998" s="141" t="s">
        <v>250</v>
      </c>
      <c r="J998" s="99">
        <v>1</v>
      </c>
      <c r="K998" s="142">
        <f>K986/2</f>
        <v>47500</v>
      </c>
      <c r="L998" s="100">
        <f>J998*K998</f>
        <v>47500</v>
      </c>
      <c r="M998" s="148" t="s">
        <v>233</v>
      </c>
      <c r="N998" s="101">
        <f t="shared" si="186"/>
        <v>47500</v>
      </c>
      <c r="O998" s="537"/>
    </row>
    <row r="999" spans="1:15" ht="14.1" customHeight="1" x14ac:dyDescent="0.3">
      <c r="A999" s="184"/>
      <c r="B999" s="106" t="s">
        <v>342</v>
      </c>
      <c r="C999" s="1" t="s">
        <v>330</v>
      </c>
      <c r="D999" s="1"/>
      <c r="E999" s="1"/>
      <c r="F999" s="1"/>
      <c r="G999" s="1"/>
      <c r="H999" s="7"/>
      <c r="I999" s="141" t="s">
        <v>250</v>
      </c>
      <c r="J999" s="99">
        <v>1</v>
      </c>
      <c r="K999" s="142">
        <f>K987</f>
        <v>5000</v>
      </c>
      <c r="L999" s="100">
        <f>J999*K999</f>
        <v>5000</v>
      </c>
      <c r="M999" s="148" t="s">
        <v>233</v>
      </c>
      <c r="N999" s="101">
        <f t="shared" si="186"/>
        <v>5000</v>
      </c>
      <c r="O999" s="537"/>
    </row>
    <row r="1000" spans="1:15" ht="14.1" customHeight="1" x14ac:dyDescent="0.3">
      <c r="A1000" s="184"/>
      <c r="B1000" s="1"/>
      <c r="C1000" s="1"/>
      <c r="D1000" s="1"/>
      <c r="E1000" s="1"/>
      <c r="F1000" s="1"/>
      <c r="G1000" s="1"/>
      <c r="H1000" s="7"/>
      <c r="I1000" s="107"/>
      <c r="J1000" s="107"/>
      <c r="K1000" s="150" t="s">
        <v>245</v>
      </c>
      <c r="L1000" s="107">
        <f>SUM(L992:L999)</f>
        <v>58461.599999999999</v>
      </c>
      <c r="M1000" s="108">
        <f>SUM(M992:M999)</f>
        <v>263112</v>
      </c>
      <c r="N1000" s="109">
        <f>SUM(N992:N999)</f>
        <v>321573.59999999998</v>
      </c>
      <c r="O1000" s="537"/>
    </row>
    <row r="1001" spans="1:15" ht="14.1" customHeight="1" x14ac:dyDescent="0.3">
      <c r="A1001" s="184"/>
      <c r="B1001" s="1"/>
      <c r="C1001" s="1"/>
      <c r="D1001" s="1"/>
      <c r="E1001" s="1"/>
      <c r="F1001" s="1"/>
      <c r="G1001" s="1"/>
      <c r="H1001" s="7"/>
      <c r="I1001" s="100"/>
      <c r="J1001" s="100"/>
      <c r="K1001" s="289" t="s">
        <v>512</v>
      </c>
      <c r="L1001" s="100"/>
      <c r="M1001" s="99"/>
      <c r="N1001" s="101">
        <f>N1000*15%</f>
        <v>48236.039999999994</v>
      </c>
      <c r="O1001" s="537"/>
    </row>
    <row r="1002" spans="1:15" ht="14.1" customHeight="1" x14ac:dyDescent="0.3">
      <c r="A1002" s="184"/>
      <c r="B1002" s="1"/>
      <c r="C1002" s="1"/>
      <c r="D1002" s="1"/>
      <c r="E1002" s="1"/>
      <c r="F1002" s="1"/>
      <c r="G1002" s="1"/>
      <c r="H1002" s="7"/>
      <c r="I1002" s="100"/>
      <c r="J1002" s="100"/>
      <c r="K1002" s="154" t="s">
        <v>247</v>
      </c>
      <c r="L1002" s="100"/>
      <c r="M1002" s="148"/>
      <c r="N1002" s="101">
        <f>N1000+N1001</f>
        <v>369809.63999999996</v>
      </c>
      <c r="O1002" s="537"/>
    </row>
    <row r="1003" spans="1:15" ht="14.1" customHeight="1" x14ac:dyDescent="0.3">
      <c r="A1003" s="183">
        <f>A991+1</f>
        <v>7</v>
      </c>
      <c r="B1003" s="95" t="s">
        <v>380</v>
      </c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197"/>
      <c r="O1003" s="537"/>
    </row>
    <row r="1004" spans="1:15" ht="14.1" customHeight="1" x14ac:dyDescent="0.3">
      <c r="A1004" s="184"/>
      <c r="B1004" s="106" t="s">
        <v>231</v>
      </c>
      <c r="C1004" s="1" t="s">
        <v>379</v>
      </c>
      <c r="D1004" s="1"/>
      <c r="E1004" s="1"/>
      <c r="F1004" s="1"/>
      <c r="G1004" s="1"/>
      <c r="H1004" s="7"/>
      <c r="I1004" s="141" t="s">
        <v>15</v>
      </c>
      <c r="J1004" s="99">
        <v>0.5</v>
      </c>
      <c r="K1004" s="142">
        <f>K992</f>
        <v>183500</v>
      </c>
      <c r="L1004" s="171" t="s">
        <v>233</v>
      </c>
      <c r="M1004" s="99">
        <f>J1004*K1004</f>
        <v>91750</v>
      </c>
      <c r="N1004" s="101">
        <f>L1004+M1004</f>
        <v>91750</v>
      </c>
      <c r="O1004" s="537"/>
    </row>
    <row r="1005" spans="1:15" ht="14.1" customHeight="1" x14ac:dyDescent="0.3">
      <c r="A1005" s="184"/>
      <c r="B1005" s="106" t="s">
        <v>234</v>
      </c>
      <c r="C1005" s="1" t="s">
        <v>337</v>
      </c>
      <c r="D1005" s="1"/>
      <c r="E1005" s="1"/>
      <c r="F1005" s="1"/>
      <c r="G1005" s="1"/>
      <c r="H1005" s="7"/>
      <c r="I1005" s="141"/>
      <c r="J1005" s="99"/>
      <c r="K1005" s="142"/>
      <c r="L1005" s="171"/>
      <c r="M1005" s="99"/>
      <c r="N1005" s="101"/>
      <c r="O1005" s="537"/>
    </row>
    <row r="1006" spans="1:15" ht="14.1" customHeight="1" x14ac:dyDescent="0.3">
      <c r="A1006" s="184"/>
      <c r="B1006" s="106"/>
      <c r="C1006" s="105" t="s">
        <v>311</v>
      </c>
      <c r="D1006" s="1"/>
      <c r="E1006" s="1"/>
      <c r="F1006" s="1"/>
      <c r="G1006" s="1"/>
      <c r="H1006" s="7"/>
      <c r="I1006" s="141" t="s">
        <v>28</v>
      </c>
      <c r="J1006" s="99">
        <v>0.92</v>
      </c>
      <c r="K1006" s="142">
        <f>$L$804</f>
        <v>6480.0000000000009</v>
      </c>
      <c r="L1006" s="100">
        <f>J1006*K1006</f>
        <v>5961.6000000000013</v>
      </c>
      <c r="M1006" s="148" t="s">
        <v>233</v>
      </c>
      <c r="N1006" s="101">
        <f>L1006+M1006</f>
        <v>5961.6000000000013</v>
      </c>
      <c r="O1006" s="537"/>
    </row>
    <row r="1007" spans="1:15" ht="14.1" customHeight="1" x14ac:dyDescent="0.3">
      <c r="A1007" s="184"/>
      <c r="B1007" s="106"/>
      <c r="C1007" s="105" t="s">
        <v>312</v>
      </c>
      <c r="D1007" s="1"/>
      <c r="E1007" s="1"/>
      <c r="F1007" s="1"/>
      <c r="G1007" s="1"/>
      <c r="H1007" s="7"/>
      <c r="I1007" s="141" t="s">
        <v>28</v>
      </c>
      <c r="J1007" s="99">
        <f>J1006</f>
        <v>0.92</v>
      </c>
      <c r="K1007" s="142">
        <f>$M$804</f>
        <v>12350.000000000002</v>
      </c>
      <c r="L1007" s="171" t="s">
        <v>233</v>
      </c>
      <c r="M1007" s="99">
        <f>J1007*K1007</f>
        <v>11362.000000000002</v>
      </c>
      <c r="N1007" s="101">
        <f>L1007+M1007</f>
        <v>11362.000000000002</v>
      </c>
      <c r="O1007" s="537"/>
    </row>
    <row r="1008" spans="1:15" ht="14.1" customHeight="1" x14ac:dyDescent="0.3">
      <c r="A1008" s="184"/>
      <c r="B1008" s="106" t="s">
        <v>251</v>
      </c>
      <c r="C1008" s="1" t="s">
        <v>368</v>
      </c>
      <c r="D1008" s="1"/>
      <c r="E1008" s="1"/>
      <c r="F1008" s="1"/>
      <c r="G1008" s="1"/>
      <c r="H1008" s="7"/>
      <c r="I1008" s="141" t="s">
        <v>250</v>
      </c>
      <c r="J1008" s="99">
        <v>1</v>
      </c>
      <c r="K1008" s="142">
        <v>70000</v>
      </c>
      <c r="L1008" s="100">
        <f>J1008*K1008</f>
        <v>70000</v>
      </c>
      <c r="M1008" s="148" t="s">
        <v>233</v>
      </c>
      <c r="N1008" s="101">
        <f>L1008+M1008</f>
        <v>70000</v>
      </c>
      <c r="O1008" s="537"/>
    </row>
    <row r="1009" spans="1:15" ht="14.1" customHeight="1" x14ac:dyDescent="0.3">
      <c r="A1009" s="184"/>
      <c r="B1009" s="106" t="s">
        <v>253</v>
      </c>
      <c r="C1009" s="1" t="s">
        <v>330</v>
      </c>
      <c r="D1009" s="1"/>
      <c r="E1009" s="1"/>
      <c r="F1009" s="1"/>
      <c r="G1009" s="1"/>
      <c r="H1009" s="7"/>
      <c r="I1009" s="141" t="s">
        <v>250</v>
      </c>
      <c r="J1009" s="99">
        <v>1</v>
      </c>
      <c r="K1009" s="142">
        <f>K999</f>
        <v>5000</v>
      </c>
      <c r="L1009" s="100">
        <f>J1009*K1009</f>
        <v>5000</v>
      </c>
      <c r="M1009" s="148" t="s">
        <v>233</v>
      </c>
      <c r="N1009" s="101">
        <f>L1009+M1009</f>
        <v>5000</v>
      </c>
      <c r="O1009" s="537"/>
    </row>
    <row r="1010" spans="1:15" ht="14.1" customHeight="1" x14ac:dyDescent="0.3">
      <c r="A1010" s="184"/>
      <c r="B1010" s="1"/>
      <c r="C1010" s="1"/>
      <c r="D1010" s="1"/>
      <c r="E1010" s="1"/>
      <c r="F1010" s="1"/>
      <c r="G1010" s="1"/>
      <c r="H1010" s="7"/>
      <c r="I1010" s="107"/>
      <c r="J1010" s="107"/>
      <c r="K1010" s="150" t="s">
        <v>245</v>
      </c>
      <c r="L1010" s="107">
        <f>SUM(L1004:L1009)</f>
        <v>80961.600000000006</v>
      </c>
      <c r="M1010" s="108">
        <f>SUM(M1004:M1009)</f>
        <v>103112</v>
      </c>
      <c r="N1010" s="109">
        <f>SUM(N1004:N1009)</f>
        <v>184073.60000000001</v>
      </c>
      <c r="O1010" s="537"/>
    </row>
    <row r="1011" spans="1:15" ht="14.1" customHeight="1" x14ac:dyDescent="0.3">
      <c r="A1011" s="184"/>
      <c r="B1011" s="1"/>
      <c r="C1011" s="1"/>
      <c r="D1011" s="1"/>
      <c r="E1011" s="1"/>
      <c r="F1011" s="1"/>
      <c r="G1011" s="1"/>
      <c r="H1011" s="7"/>
      <c r="I1011" s="100"/>
      <c r="J1011" s="100"/>
      <c r="K1011" s="289" t="s">
        <v>512</v>
      </c>
      <c r="L1011" s="100"/>
      <c r="M1011" s="99"/>
      <c r="N1011" s="101">
        <f>N1010*15%</f>
        <v>27611.040000000001</v>
      </c>
      <c r="O1011" s="537"/>
    </row>
    <row r="1012" spans="1:15" ht="14.1" customHeight="1" x14ac:dyDescent="0.3">
      <c r="A1012" s="186"/>
      <c r="B1012" s="173"/>
      <c r="C1012" s="173"/>
      <c r="D1012" s="173"/>
      <c r="E1012" s="173"/>
      <c r="F1012" s="173"/>
      <c r="G1012" s="173"/>
      <c r="H1012" s="174"/>
      <c r="I1012" s="175"/>
      <c r="J1012" s="175"/>
      <c r="K1012" s="176" t="s">
        <v>247</v>
      </c>
      <c r="L1012" s="175"/>
      <c r="M1012" s="177"/>
      <c r="N1012" s="116">
        <f>N1010+N1011</f>
        <v>211684.64</v>
      </c>
      <c r="O1012" s="537"/>
    </row>
    <row r="1013" spans="1:15" ht="14.1" customHeight="1" x14ac:dyDescent="0.3">
      <c r="A1013" s="282">
        <f>A1003+1</f>
        <v>8</v>
      </c>
      <c r="B1013" s="173" t="s">
        <v>381</v>
      </c>
      <c r="C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  <c r="N1013" s="283"/>
      <c r="O1013" s="537"/>
    </row>
    <row r="1014" spans="1:15" ht="14.1" customHeight="1" x14ac:dyDescent="0.3">
      <c r="A1014" s="184"/>
      <c r="B1014" s="106" t="s">
        <v>231</v>
      </c>
      <c r="C1014" s="1" t="s">
        <v>379</v>
      </c>
      <c r="D1014" s="1"/>
      <c r="E1014" s="1"/>
      <c r="F1014" s="1"/>
      <c r="G1014" s="1"/>
      <c r="H1014" s="7"/>
      <c r="I1014" s="141" t="s">
        <v>15</v>
      </c>
      <c r="J1014" s="99">
        <v>0.5</v>
      </c>
      <c r="K1014" s="142">
        <f>+K1004</f>
        <v>183500</v>
      </c>
      <c r="L1014" s="171" t="s">
        <v>233</v>
      </c>
      <c r="M1014" s="99">
        <f>J1014*K1014</f>
        <v>91750</v>
      </c>
      <c r="N1014" s="101">
        <f>L1014+M1014</f>
        <v>91750</v>
      </c>
      <c r="O1014" s="537"/>
    </row>
    <row r="1015" spans="1:15" ht="14.1" customHeight="1" x14ac:dyDescent="0.3">
      <c r="A1015" s="184"/>
      <c r="B1015" s="106" t="s">
        <v>234</v>
      </c>
      <c r="C1015" s="1" t="s">
        <v>337</v>
      </c>
      <c r="D1015" s="1"/>
      <c r="E1015" s="1"/>
      <c r="F1015" s="1"/>
      <c r="G1015" s="1"/>
      <c r="H1015" s="7"/>
      <c r="I1015" s="141"/>
      <c r="J1015" s="99"/>
      <c r="K1015" s="142"/>
      <c r="L1015" s="171"/>
      <c r="M1015" s="99"/>
      <c r="N1015" s="101"/>
      <c r="O1015" s="537"/>
    </row>
    <row r="1016" spans="1:15" ht="14.1" customHeight="1" x14ac:dyDescent="0.3">
      <c r="A1016" s="184"/>
      <c r="B1016" s="106"/>
      <c r="C1016" s="105" t="s">
        <v>311</v>
      </c>
      <c r="D1016" s="1"/>
      <c r="E1016" s="1"/>
      <c r="F1016" s="1"/>
      <c r="G1016" s="1"/>
      <c r="H1016" s="7"/>
      <c r="I1016" s="141" t="s">
        <v>28</v>
      </c>
      <c r="J1016" s="99">
        <v>0.92</v>
      </c>
      <c r="K1016" s="142">
        <f>$L$804</f>
        <v>6480.0000000000009</v>
      </c>
      <c r="L1016" s="100">
        <f>J1016*K1016</f>
        <v>5961.6000000000013</v>
      </c>
      <c r="M1016" s="148" t="s">
        <v>233</v>
      </c>
      <c r="N1016" s="101">
        <f t="shared" ref="N1016:N1021" si="187">L1016+M1016</f>
        <v>5961.6000000000013</v>
      </c>
      <c r="O1016" s="537"/>
    </row>
    <row r="1017" spans="1:15" ht="14.1" customHeight="1" x14ac:dyDescent="0.3">
      <c r="A1017" s="184"/>
      <c r="B1017" s="106"/>
      <c r="C1017" s="105" t="s">
        <v>312</v>
      </c>
      <c r="D1017" s="1"/>
      <c r="E1017" s="1"/>
      <c r="F1017" s="1"/>
      <c r="G1017" s="1"/>
      <c r="H1017" s="7"/>
      <c r="I1017" s="141" t="s">
        <v>28</v>
      </c>
      <c r="J1017" s="99">
        <f>J1016</f>
        <v>0.92</v>
      </c>
      <c r="K1017" s="142">
        <f>$M$804</f>
        <v>12350.000000000002</v>
      </c>
      <c r="L1017" s="171" t="s">
        <v>233</v>
      </c>
      <c r="M1017" s="99">
        <f>J1017*K1017</f>
        <v>11362.000000000002</v>
      </c>
      <c r="N1017" s="101">
        <f t="shared" si="187"/>
        <v>11362.000000000002</v>
      </c>
      <c r="O1017" s="538"/>
    </row>
    <row r="1018" spans="1:15" ht="14.1" customHeight="1" x14ac:dyDescent="0.3">
      <c r="A1018" s="184"/>
      <c r="B1018" s="106" t="s">
        <v>251</v>
      </c>
      <c r="C1018" s="1" t="s">
        <v>370</v>
      </c>
      <c r="D1018" s="1"/>
      <c r="E1018" s="1"/>
      <c r="F1018" s="1"/>
      <c r="G1018" s="1"/>
      <c r="H1018" s="7"/>
      <c r="I1018" s="141" t="s">
        <v>86</v>
      </c>
      <c r="J1018" s="99">
        <v>2</v>
      </c>
      <c r="K1018" s="142">
        <f>K996</f>
        <v>130000</v>
      </c>
      <c r="L1018" s="171" t="s">
        <v>233</v>
      </c>
      <c r="M1018" s="99">
        <f>J1018*K1018</f>
        <v>260000</v>
      </c>
      <c r="N1018" s="101">
        <f t="shared" si="187"/>
        <v>260000</v>
      </c>
      <c r="O1018" s="538"/>
    </row>
    <row r="1019" spans="1:15" ht="14.1" customHeight="1" x14ac:dyDescent="0.3">
      <c r="A1019" s="184"/>
      <c r="B1019" s="106" t="s">
        <v>253</v>
      </c>
      <c r="C1019" s="1" t="s">
        <v>371</v>
      </c>
      <c r="D1019" s="1"/>
      <c r="E1019" s="1"/>
      <c r="F1019" s="1"/>
      <c r="G1019" s="1"/>
      <c r="H1019" s="7"/>
      <c r="I1019" s="141" t="s">
        <v>190</v>
      </c>
      <c r="J1019" s="99">
        <v>1</v>
      </c>
      <c r="K1019" s="142">
        <v>30000</v>
      </c>
      <c r="L1019" s="171" t="s">
        <v>233</v>
      </c>
      <c r="M1019" s="99">
        <f>J1019*K1019</f>
        <v>30000</v>
      </c>
      <c r="N1019" s="101">
        <f t="shared" si="187"/>
        <v>30000</v>
      </c>
      <c r="O1019" s="538"/>
    </row>
    <row r="1020" spans="1:15" ht="14.1" customHeight="1" x14ac:dyDescent="0.3">
      <c r="A1020" s="184"/>
      <c r="B1020" s="106" t="s">
        <v>340</v>
      </c>
      <c r="C1020" s="1" t="s">
        <v>368</v>
      </c>
      <c r="D1020" s="1"/>
      <c r="E1020" s="1"/>
      <c r="F1020" s="1"/>
      <c r="G1020" s="1"/>
      <c r="H1020" s="7"/>
      <c r="I1020" s="141" t="s">
        <v>250</v>
      </c>
      <c r="J1020" s="99">
        <v>1</v>
      </c>
      <c r="K1020" s="142">
        <f>+K1008+15000</f>
        <v>85000</v>
      </c>
      <c r="L1020" s="100">
        <f>J1020*K1020</f>
        <v>85000</v>
      </c>
      <c r="M1020" s="148" t="s">
        <v>233</v>
      </c>
      <c r="N1020" s="101">
        <f t="shared" si="187"/>
        <v>85000</v>
      </c>
      <c r="O1020" s="538"/>
    </row>
    <row r="1021" spans="1:15" ht="14.1" customHeight="1" x14ac:dyDescent="0.3">
      <c r="A1021" s="184"/>
      <c r="B1021" s="106" t="s">
        <v>342</v>
      </c>
      <c r="C1021" s="1" t="s">
        <v>330</v>
      </c>
      <c r="D1021" s="1"/>
      <c r="E1021" s="1"/>
      <c r="F1021" s="1"/>
      <c r="G1021" s="1"/>
      <c r="H1021" s="7"/>
      <c r="I1021" s="141" t="s">
        <v>250</v>
      </c>
      <c r="J1021" s="99">
        <v>1</v>
      </c>
      <c r="K1021" s="142">
        <f>+K1009</f>
        <v>5000</v>
      </c>
      <c r="L1021" s="100">
        <f>J1021*K1021</f>
        <v>5000</v>
      </c>
      <c r="M1021" s="148" t="s">
        <v>233</v>
      </c>
      <c r="N1021" s="101">
        <f t="shared" si="187"/>
        <v>5000</v>
      </c>
      <c r="O1021" s="538"/>
    </row>
    <row r="1022" spans="1:15" ht="14.1" customHeight="1" x14ac:dyDescent="0.3">
      <c r="A1022" s="184"/>
      <c r="B1022" s="1"/>
      <c r="C1022" s="1"/>
      <c r="D1022" s="1"/>
      <c r="E1022" s="1"/>
      <c r="F1022" s="1"/>
      <c r="G1022" s="1"/>
      <c r="H1022" s="7"/>
      <c r="I1022" s="107"/>
      <c r="J1022" s="107"/>
      <c r="K1022" s="150" t="s">
        <v>245</v>
      </c>
      <c r="L1022" s="107">
        <f>SUM(L1014:L1021)</f>
        <v>95961.600000000006</v>
      </c>
      <c r="M1022" s="108">
        <f>SUM(M1014:M1021)</f>
        <v>393112</v>
      </c>
      <c r="N1022" s="109">
        <f>SUM(N1014:N1021)</f>
        <v>489073.6</v>
      </c>
      <c r="O1022" s="538"/>
    </row>
    <row r="1023" spans="1:15" ht="14.1" customHeight="1" x14ac:dyDescent="0.3">
      <c r="A1023" s="184"/>
      <c r="B1023" s="1"/>
      <c r="C1023" s="1"/>
      <c r="D1023" s="1"/>
      <c r="E1023" s="1"/>
      <c r="F1023" s="1"/>
      <c r="G1023" s="1"/>
      <c r="H1023" s="7"/>
      <c r="I1023" s="100"/>
      <c r="J1023" s="100"/>
      <c r="K1023" s="289" t="s">
        <v>512</v>
      </c>
      <c r="L1023" s="100"/>
      <c r="M1023" s="99"/>
      <c r="N1023" s="101">
        <f>N1022*15%</f>
        <v>73361.039999999994</v>
      </c>
      <c r="O1023" s="538"/>
    </row>
    <row r="1024" spans="1:15" ht="14.1" customHeight="1" x14ac:dyDescent="0.3">
      <c r="A1024" s="184"/>
      <c r="B1024" s="1"/>
      <c r="C1024" s="1"/>
      <c r="D1024" s="1"/>
      <c r="E1024" s="1"/>
      <c r="F1024" s="1"/>
      <c r="G1024" s="1"/>
      <c r="H1024" s="7"/>
      <c r="I1024" s="100"/>
      <c r="J1024" s="100"/>
      <c r="K1024" s="154" t="s">
        <v>247</v>
      </c>
      <c r="L1024" s="100"/>
      <c r="M1024" s="148"/>
      <c r="N1024" s="101">
        <f>N1022+N1023</f>
        <v>562434.64</v>
      </c>
      <c r="O1024" s="538"/>
    </row>
    <row r="1025" spans="1:15" ht="14.1" customHeight="1" x14ac:dyDescent="0.3">
      <c r="A1025" s="183">
        <f>A1013+1</f>
        <v>9</v>
      </c>
      <c r="B1025" s="95" t="s">
        <v>378</v>
      </c>
      <c r="C1025" s="95"/>
      <c r="D1025" s="95"/>
      <c r="E1025" s="95"/>
      <c r="F1025" s="95"/>
      <c r="G1025" s="95"/>
      <c r="H1025" s="95"/>
      <c r="I1025" s="95"/>
      <c r="J1025" s="95"/>
      <c r="K1025" s="95"/>
      <c r="L1025" s="95"/>
      <c r="M1025" s="95"/>
      <c r="N1025" s="197"/>
      <c r="O1025" s="538"/>
    </row>
    <row r="1026" spans="1:15" ht="14.1" customHeight="1" x14ac:dyDescent="0.3">
      <c r="A1026" s="184"/>
      <c r="B1026" s="106" t="s">
        <v>231</v>
      </c>
      <c r="C1026" s="1" t="s">
        <v>379</v>
      </c>
      <c r="D1026" s="1"/>
      <c r="E1026" s="1"/>
      <c r="F1026" s="1"/>
      <c r="G1026" s="1"/>
      <c r="H1026" s="7"/>
      <c r="I1026" s="141" t="s">
        <v>15</v>
      </c>
      <c r="J1026" s="99">
        <v>0.5</v>
      </c>
      <c r="K1026" s="142">
        <f>+K1004</f>
        <v>183500</v>
      </c>
      <c r="L1026" s="171" t="s">
        <v>233</v>
      </c>
      <c r="M1026" s="99">
        <f>J1026*K1026</f>
        <v>91750</v>
      </c>
      <c r="N1026" s="101">
        <f>L1026+M1026</f>
        <v>91750</v>
      </c>
      <c r="O1026" s="538"/>
    </row>
    <row r="1027" spans="1:15" ht="14.1" customHeight="1" x14ac:dyDescent="0.3">
      <c r="A1027" s="184"/>
      <c r="B1027" s="106" t="s">
        <v>234</v>
      </c>
      <c r="C1027" s="1" t="s">
        <v>337</v>
      </c>
      <c r="D1027" s="1"/>
      <c r="E1027" s="1"/>
      <c r="F1027" s="1"/>
      <c r="G1027" s="1"/>
      <c r="H1027" s="7"/>
      <c r="I1027" s="141"/>
      <c r="J1027" s="99"/>
      <c r="K1027" s="142"/>
      <c r="L1027" s="171"/>
      <c r="M1027" s="99"/>
      <c r="N1027" s="101"/>
      <c r="O1027" s="538"/>
    </row>
    <row r="1028" spans="1:15" ht="14.1" customHeight="1" x14ac:dyDescent="0.3">
      <c r="A1028" s="184"/>
      <c r="B1028" s="106"/>
      <c r="C1028" s="105" t="s">
        <v>311</v>
      </c>
      <c r="D1028" s="1"/>
      <c r="E1028" s="1"/>
      <c r="F1028" s="1"/>
      <c r="G1028" s="1"/>
      <c r="H1028" s="7"/>
      <c r="I1028" s="141" t="s">
        <v>28</v>
      </c>
      <c r="J1028" s="99">
        <v>0.92</v>
      </c>
      <c r="K1028" s="142">
        <f>$L$804</f>
        <v>6480.0000000000009</v>
      </c>
      <c r="L1028" s="100">
        <f>J1028*K1028</f>
        <v>5961.6000000000013</v>
      </c>
      <c r="M1028" s="148" t="s">
        <v>233</v>
      </c>
      <c r="N1028" s="101">
        <f t="shared" ref="N1028:N1033" si="188">L1028+M1028</f>
        <v>5961.6000000000013</v>
      </c>
      <c r="O1028" s="538"/>
    </row>
    <row r="1029" spans="1:15" ht="14.1" customHeight="1" x14ac:dyDescent="0.3">
      <c r="A1029" s="184"/>
      <c r="B1029" s="106"/>
      <c r="C1029" s="105" t="s">
        <v>312</v>
      </c>
      <c r="D1029" s="1"/>
      <c r="E1029" s="1"/>
      <c r="F1029" s="1"/>
      <c r="G1029" s="1"/>
      <c r="H1029" s="7"/>
      <c r="I1029" s="141" t="s">
        <v>28</v>
      </c>
      <c r="J1029" s="99">
        <f>J1028</f>
        <v>0.92</v>
      </c>
      <c r="K1029" s="142">
        <f>$M$804</f>
        <v>12350.000000000002</v>
      </c>
      <c r="L1029" s="171" t="s">
        <v>233</v>
      </c>
      <c r="M1029" s="99">
        <f>J1029*K1029</f>
        <v>11362.000000000002</v>
      </c>
      <c r="N1029" s="101">
        <f t="shared" si="188"/>
        <v>11362.000000000002</v>
      </c>
      <c r="O1029" s="538"/>
    </row>
    <row r="1030" spans="1:15" ht="14.1" customHeight="1" x14ac:dyDescent="0.3">
      <c r="A1030" s="184"/>
      <c r="B1030" s="106" t="s">
        <v>251</v>
      </c>
      <c r="C1030" s="1" t="s">
        <v>370</v>
      </c>
      <c r="D1030" s="1"/>
      <c r="E1030" s="1"/>
      <c r="F1030" s="1"/>
      <c r="G1030" s="1"/>
      <c r="H1030" s="7"/>
      <c r="I1030" s="141" t="s">
        <v>86</v>
      </c>
      <c r="J1030" s="99">
        <v>1</v>
      </c>
      <c r="K1030" s="142">
        <f>+K1018</f>
        <v>130000</v>
      </c>
      <c r="L1030" s="171" t="s">
        <v>233</v>
      </c>
      <c r="M1030" s="99">
        <f>J1030*K1030</f>
        <v>130000</v>
      </c>
      <c r="N1030" s="101">
        <f t="shared" si="188"/>
        <v>130000</v>
      </c>
      <c r="O1030" s="538"/>
    </row>
    <row r="1031" spans="1:15" ht="14.1" customHeight="1" x14ac:dyDescent="0.3">
      <c r="A1031" s="184"/>
      <c r="B1031" s="106" t="s">
        <v>253</v>
      </c>
      <c r="C1031" s="1" t="s">
        <v>371</v>
      </c>
      <c r="D1031" s="1"/>
      <c r="E1031" s="1"/>
      <c r="F1031" s="1"/>
      <c r="G1031" s="1"/>
      <c r="H1031" s="7"/>
      <c r="I1031" s="141" t="s">
        <v>190</v>
      </c>
      <c r="J1031" s="99">
        <v>1</v>
      </c>
      <c r="K1031" s="142">
        <f>+K1019-10000</f>
        <v>20000</v>
      </c>
      <c r="L1031" s="171" t="s">
        <v>233</v>
      </c>
      <c r="M1031" s="99">
        <f>J1031*K1031</f>
        <v>20000</v>
      </c>
      <c r="N1031" s="101">
        <f t="shared" si="188"/>
        <v>20000</v>
      </c>
      <c r="O1031" s="538"/>
    </row>
    <row r="1032" spans="1:15" ht="14.1" customHeight="1" x14ac:dyDescent="0.3">
      <c r="A1032" s="184"/>
      <c r="B1032" s="106" t="s">
        <v>340</v>
      </c>
      <c r="C1032" s="1" t="s">
        <v>368</v>
      </c>
      <c r="D1032" s="1"/>
      <c r="E1032" s="1"/>
      <c r="F1032" s="1"/>
      <c r="G1032" s="1"/>
      <c r="H1032" s="7"/>
      <c r="I1032" s="141" t="s">
        <v>250</v>
      </c>
      <c r="J1032" s="99">
        <v>1</v>
      </c>
      <c r="K1032" s="142">
        <f>+K1020/2</f>
        <v>42500</v>
      </c>
      <c r="L1032" s="100">
        <f>J1032*K1032</f>
        <v>42500</v>
      </c>
      <c r="M1032" s="148" t="s">
        <v>233</v>
      </c>
      <c r="N1032" s="101">
        <f t="shared" si="188"/>
        <v>42500</v>
      </c>
      <c r="O1032" s="538"/>
    </row>
    <row r="1033" spans="1:15" ht="14.1" customHeight="1" x14ac:dyDescent="0.3">
      <c r="A1033" s="184"/>
      <c r="B1033" s="106" t="s">
        <v>342</v>
      </c>
      <c r="C1033" s="1" t="s">
        <v>330</v>
      </c>
      <c r="D1033" s="1"/>
      <c r="E1033" s="1"/>
      <c r="F1033" s="1"/>
      <c r="G1033" s="1"/>
      <c r="H1033" s="7"/>
      <c r="I1033" s="141" t="s">
        <v>250</v>
      </c>
      <c r="J1033" s="99">
        <v>1</v>
      </c>
      <c r="K1033" s="142">
        <f>K1009</f>
        <v>5000</v>
      </c>
      <c r="L1033" s="100">
        <f>J1033*K1033</f>
        <v>5000</v>
      </c>
      <c r="M1033" s="148" t="s">
        <v>233</v>
      </c>
      <c r="N1033" s="101">
        <f t="shared" si="188"/>
        <v>5000</v>
      </c>
      <c r="O1033" s="538"/>
    </row>
    <row r="1034" spans="1:15" ht="14.1" customHeight="1" x14ac:dyDescent="0.3">
      <c r="A1034" s="184"/>
      <c r="B1034" s="1"/>
      <c r="C1034" s="1"/>
      <c r="D1034" s="1"/>
      <c r="E1034" s="1"/>
      <c r="F1034" s="1"/>
      <c r="G1034" s="1"/>
      <c r="H1034" s="7"/>
      <c r="I1034" s="107"/>
      <c r="J1034" s="107"/>
      <c r="K1034" s="150" t="s">
        <v>245</v>
      </c>
      <c r="L1034" s="107">
        <f>SUM(L1026:L1033)</f>
        <v>53461.599999999999</v>
      </c>
      <c r="M1034" s="108">
        <f>SUM(M1026:M1033)</f>
        <v>253112</v>
      </c>
      <c r="N1034" s="109">
        <f>SUM(N1026:N1033)</f>
        <v>306573.59999999998</v>
      </c>
      <c r="O1034" s="538"/>
    </row>
    <row r="1035" spans="1:15" ht="14.1" customHeight="1" x14ac:dyDescent="0.3">
      <c r="A1035" s="184"/>
      <c r="B1035" s="1"/>
      <c r="C1035" s="1"/>
      <c r="D1035" s="1"/>
      <c r="E1035" s="1"/>
      <c r="F1035" s="1"/>
      <c r="G1035" s="1"/>
      <c r="H1035" s="7"/>
      <c r="I1035" s="100"/>
      <c r="J1035" s="100"/>
      <c r="K1035" s="289" t="s">
        <v>512</v>
      </c>
      <c r="L1035" s="100"/>
      <c r="M1035" s="99"/>
      <c r="N1035" s="101">
        <f>N1034*15%</f>
        <v>45986.039999999994</v>
      </c>
      <c r="O1035" s="538"/>
    </row>
    <row r="1036" spans="1:15" ht="14.1" customHeight="1" x14ac:dyDescent="0.3">
      <c r="A1036" s="184"/>
      <c r="B1036" s="1"/>
      <c r="C1036" s="1"/>
      <c r="D1036" s="1"/>
      <c r="E1036" s="1"/>
      <c r="F1036" s="1"/>
      <c r="G1036" s="1"/>
      <c r="H1036" s="7"/>
      <c r="I1036" s="100"/>
      <c r="J1036" s="100"/>
      <c r="K1036" s="154" t="s">
        <v>247</v>
      </c>
      <c r="L1036" s="100"/>
      <c r="M1036" s="148"/>
      <c r="N1036" s="101">
        <f>N1034+N1035</f>
        <v>352559.63999999996</v>
      </c>
      <c r="O1036" s="538"/>
    </row>
    <row r="1037" spans="1:15" ht="14.1" customHeight="1" thickBot="1" x14ac:dyDescent="0.35">
      <c r="A1037" s="178"/>
      <c r="B1037" s="179"/>
      <c r="C1037" s="179"/>
      <c r="D1037" s="179"/>
      <c r="E1037" s="179"/>
      <c r="F1037" s="179"/>
      <c r="G1037" s="179"/>
      <c r="H1037" s="180"/>
      <c r="I1037" s="194"/>
      <c r="J1037" s="181"/>
      <c r="K1037" s="180"/>
      <c r="L1037" s="180"/>
      <c r="M1037" s="180"/>
      <c r="N1037" s="182"/>
      <c r="O1037" s="538"/>
    </row>
    <row r="1038" spans="1:15" ht="14.1" customHeight="1" x14ac:dyDescent="0.3">
      <c r="A1038" s="106"/>
      <c r="B1038" s="1"/>
      <c r="C1038" s="1"/>
      <c r="D1038" s="1"/>
      <c r="E1038" s="1"/>
      <c r="F1038" s="1"/>
      <c r="G1038" s="1"/>
      <c r="H1038" s="1"/>
      <c r="I1038" s="1"/>
      <c r="J1038" s="100"/>
      <c r="K1038" s="100"/>
      <c r="L1038" s="100"/>
      <c r="M1038" s="100"/>
      <c r="N1038" s="100"/>
      <c r="O1038" s="538"/>
    </row>
    <row r="1039" spans="1:15" ht="14.1" customHeight="1" thickBot="1" x14ac:dyDescent="0.35">
      <c r="A1039" s="122"/>
      <c r="B1039" s="122"/>
      <c r="C1039" s="122"/>
      <c r="D1039" s="122"/>
      <c r="E1039" s="122"/>
      <c r="F1039" s="122"/>
      <c r="G1039" s="122"/>
      <c r="H1039" s="122"/>
      <c r="I1039" s="122"/>
      <c r="J1039" s="122"/>
      <c r="K1039" s="122"/>
      <c r="L1039" s="122"/>
      <c r="M1039" s="122"/>
      <c r="N1039" s="123" t="s">
        <v>382</v>
      </c>
      <c r="O1039" s="538"/>
    </row>
    <row r="1040" spans="1:15" ht="14.1" customHeight="1" x14ac:dyDescent="0.3">
      <c r="A1040" s="1589" t="s">
        <v>9</v>
      </c>
      <c r="B1040" s="1592" t="s">
        <v>10</v>
      </c>
      <c r="C1040" s="1592"/>
      <c r="D1040" s="1592"/>
      <c r="E1040" s="1592"/>
      <c r="F1040" s="1592"/>
      <c r="G1040" s="1592"/>
      <c r="H1040" s="1593"/>
      <c r="I1040" s="1543" t="s">
        <v>210</v>
      </c>
      <c r="J1040" s="1543" t="s">
        <v>211</v>
      </c>
      <c r="K1040" s="73" t="s">
        <v>212</v>
      </c>
      <c r="L1040" s="1598" t="s">
        <v>12</v>
      </c>
      <c r="M1040" s="1599"/>
      <c r="N1040" s="1600"/>
      <c r="O1040" s="538"/>
    </row>
    <row r="1041" spans="1:15" ht="14.1" customHeight="1" x14ac:dyDescent="0.3">
      <c r="A1041" s="1590"/>
      <c r="B1041" s="1594"/>
      <c r="C1041" s="1594"/>
      <c r="D1041" s="1594"/>
      <c r="E1041" s="1594"/>
      <c r="F1041" s="1594"/>
      <c r="G1041" s="1594"/>
      <c r="H1041" s="1595"/>
      <c r="I1041" s="1544"/>
      <c r="J1041" s="1544"/>
      <c r="K1041" s="75" t="s">
        <v>11</v>
      </c>
      <c r="L1041" s="75" t="s">
        <v>217</v>
      </c>
      <c r="M1041" s="75" t="s">
        <v>218</v>
      </c>
      <c r="N1041" s="76" t="s">
        <v>219</v>
      </c>
      <c r="O1041" s="538"/>
    </row>
    <row r="1042" spans="1:15" ht="14.1" customHeight="1" x14ac:dyDescent="0.3">
      <c r="A1042" s="1591"/>
      <c r="B1042" s="1596"/>
      <c r="C1042" s="1596"/>
      <c r="D1042" s="1596"/>
      <c r="E1042" s="1596"/>
      <c r="F1042" s="1596"/>
      <c r="G1042" s="1596"/>
      <c r="H1042" s="1597"/>
      <c r="I1042" s="1545"/>
      <c r="J1042" s="1545"/>
      <c r="K1042" s="81" t="s">
        <v>228</v>
      </c>
      <c r="L1042" s="81" t="s">
        <v>228</v>
      </c>
      <c r="M1042" s="81" t="s">
        <v>228</v>
      </c>
      <c r="N1042" s="82" t="s">
        <v>228</v>
      </c>
      <c r="O1042" s="538"/>
    </row>
    <row r="1043" spans="1:15" ht="14.1" customHeight="1" x14ac:dyDescent="0.3">
      <c r="A1043" s="86"/>
      <c r="B1043" s="12"/>
      <c r="C1043" s="12"/>
      <c r="D1043" s="12"/>
      <c r="E1043" s="12"/>
      <c r="F1043" s="12"/>
      <c r="G1043" s="12"/>
      <c r="H1043" s="75"/>
      <c r="I1043" s="12"/>
      <c r="J1043" s="87"/>
      <c r="K1043" s="75"/>
      <c r="L1043" s="75"/>
      <c r="M1043" s="75"/>
      <c r="N1043" s="88"/>
      <c r="O1043" s="538"/>
    </row>
    <row r="1044" spans="1:15" ht="14.1" customHeight="1" x14ac:dyDescent="0.3">
      <c r="A1044" s="183">
        <f>A1025+1</f>
        <v>10</v>
      </c>
      <c r="B1044" s="95" t="s">
        <v>383</v>
      </c>
      <c r="C1044" s="95"/>
      <c r="D1044" s="95"/>
      <c r="E1044" s="95"/>
      <c r="F1044" s="95"/>
      <c r="G1044" s="95"/>
      <c r="H1044" s="95"/>
      <c r="I1044" s="95"/>
      <c r="J1044" s="95"/>
      <c r="K1044" s="95"/>
      <c r="L1044" s="95"/>
      <c r="M1044" s="95"/>
      <c r="N1044" s="197"/>
      <c r="O1044" s="538"/>
    </row>
    <row r="1045" spans="1:15" ht="14.1" customHeight="1" x14ac:dyDescent="0.3">
      <c r="A1045" s="184"/>
      <c r="B1045" s="106" t="s">
        <v>231</v>
      </c>
      <c r="C1045" s="1" t="s">
        <v>384</v>
      </c>
      <c r="D1045" s="1"/>
      <c r="E1045" s="1"/>
      <c r="F1045" s="1"/>
      <c r="G1045" s="1"/>
      <c r="H1045" s="7"/>
      <c r="I1045" s="141" t="s">
        <v>15</v>
      </c>
      <c r="J1045" s="99">
        <v>0.5</v>
      </c>
      <c r="K1045" s="142">
        <f>'UPAH BAHAN'!H205</f>
        <v>101700</v>
      </c>
      <c r="L1045" s="171" t="s">
        <v>233</v>
      </c>
      <c r="M1045" s="99">
        <f>J1045*K1045</f>
        <v>50850</v>
      </c>
      <c r="N1045" s="101">
        <f>L1045+M1045</f>
        <v>50850</v>
      </c>
      <c r="O1045" s="538"/>
    </row>
    <row r="1046" spans="1:15" ht="14.1" customHeight="1" x14ac:dyDescent="0.3">
      <c r="A1046" s="184"/>
      <c r="B1046" s="106" t="s">
        <v>234</v>
      </c>
      <c r="C1046" s="1" t="s">
        <v>337</v>
      </c>
      <c r="D1046" s="1"/>
      <c r="E1046" s="1"/>
      <c r="F1046" s="1"/>
      <c r="G1046" s="1"/>
      <c r="H1046" s="7"/>
      <c r="I1046" s="141"/>
      <c r="J1046" s="99"/>
      <c r="K1046" s="142"/>
      <c r="L1046" s="171"/>
      <c r="M1046" s="99"/>
      <c r="N1046" s="101"/>
      <c r="O1046" s="538"/>
    </row>
    <row r="1047" spans="1:15" ht="14.1" customHeight="1" x14ac:dyDescent="0.3">
      <c r="A1047" s="184"/>
      <c r="B1047" s="106"/>
      <c r="C1047" s="105" t="s">
        <v>311</v>
      </c>
      <c r="D1047" s="1"/>
      <c r="E1047" s="1"/>
      <c r="F1047" s="1"/>
      <c r="G1047" s="1"/>
      <c r="H1047" s="7"/>
      <c r="I1047" s="141" t="s">
        <v>28</v>
      </c>
      <c r="J1047" s="99">
        <v>0.92</v>
      </c>
      <c r="K1047" s="142">
        <f>$L$804</f>
        <v>6480.0000000000009</v>
      </c>
      <c r="L1047" s="100">
        <f>J1047*K1047</f>
        <v>5961.6000000000013</v>
      </c>
      <c r="M1047" s="148" t="s">
        <v>233</v>
      </c>
      <c r="N1047" s="101">
        <f t="shared" ref="N1047:N1052" si="189">L1047+M1047</f>
        <v>5961.6000000000013</v>
      </c>
      <c r="O1047" s="538"/>
    </row>
    <row r="1048" spans="1:15" ht="14.1" customHeight="1" x14ac:dyDescent="0.3">
      <c r="A1048" s="184"/>
      <c r="B1048" s="106"/>
      <c r="C1048" s="105" t="s">
        <v>312</v>
      </c>
      <c r="D1048" s="1"/>
      <c r="E1048" s="1"/>
      <c r="F1048" s="1"/>
      <c r="G1048" s="1"/>
      <c r="H1048" s="7"/>
      <c r="I1048" s="141" t="s">
        <v>28</v>
      </c>
      <c r="J1048" s="99">
        <f>J1047</f>
        <v>0.92</v>
      </c>
      <c r="K1048" s="142">
        <f>$M$804</f>
        <v>12350.000000000002</v>
      </c>
      <c r="L1048" s="171" t="s">
        <v>233</v>
      </c>
      <c r="M1048" s="99">
        <f>J1048*K1048</f>
        <v>11362.000000000002</v>
      </c>
      <c r="N1048" s="101">
        <f t="shared" si="189"/>
        <v>11362.000000000002</v>
      </c>
      <c r="O1048" s="538"/>
    </row>
    <row r="1049" spans="1:15" ht="14.1" customHeight="1" x14ac:dyDescent="0.3">
      <c r="A1049" s="184"/>
      <c r="B1049" s="106" t="s">
        <v>251</v>
      </c>
      <c r="C1049" s="1" t="s">
        <v>385</v>
      </c>
      <c r="D1049" s="1"/>
      <c r="E1049" s="1"/>
      <c r="F1049" s="1"/>
      <c r="G1049" s="1"/>
      <c r="H1049" s="7"/>
      <c r="I1049" s="141" t="s">
        <v>86</v>
      </c>
      <c r="J1049" s="99">
        <v>1</v>
      </c>
      <c r="K1049" s="142">
        <v>75000</v>
      </c>
      <c r="L1049" s="171" t="s">
        <v>233</v>
      </c>
      <c r="M1049" s="99">
        <f>J1049*K1049</f>
        <v>75000</v>
      </c>
      <c r="N1049" s="101">
        <f t="shared" si="189"/>
        <v>75000</v>
      </c>
      <c r="O1049" s="538"/>
    </row>
    <row r="1050" spans="1:15" ht="14.1" customHeight="1" x14ac:dyDescent="0.3">
      <c r="A1050" s="184"/>
      <c r="B1050" s="106" t="s">
        <v>253</v>
      </c>
      <c r="C1050" s="1" t="s">
        <v>371</v>
      </c>
      <c r="D1050" s="1"/>
      <c r="E1050" s="1"/>
      <c r="F1050" s="1"/>
      <c r="G1050" s="1"/>
      <c r="H1050" s="7"/>
      <c r="I1050" s="141" t="s">
        <v>190</v>
      </c>
      <c r="J1050" s="99">
        <v>1</v>
      </c>
      <c r="K1050" s="142">
        <f>+K1031</f>
        <v>20000</v>
      </c>
      <c r="L1050" s="171" t="s">
        <v>233</v>
      </c>
      <c r="M1050" s="99">
        <f>J1050*K1050</f>
        <v>20000</v>
      </c>
      <c r="N1050" s="101">
        <f t="shared" si="189"/>
        <v>20000</v>
      </c>
      <c r="O1050" s="538"/>
    </row>
    <row r="1051" spans="1:15" ht="14.1" customHeight="1" x14ac:dyDescent="0.3">
      <c r="A1051" s="184"/>
      <c r="B1051" s="106" t="s">
        <v>340</v>
      </c>
      <c r="C1051" s="1" t="s">
        <v>368</v>
      </c>
      <c r="D1051" s="1"/>
      <c r="E1051" s="1"/>
      <c r="F1051" s="1"/>
      <c r="G1051" s="1"/>
      <c r="H1051" s="7"/>
      <c r="I1051" s="141" t="s">
        <v>250</v>
      </c>
      <c r="J1051" s="99">
        <v>1</v>
      </c>
      <c r="K1051" s="142">
        <f>+K1008</f>
        <v>70000</v>
      </c>
      <c r="L1051" s="100">
        <f>J1051*K1051</f>
        <v>70000</v>
      </c>
      <c r="M1051" s="148" t="s">
        <v>233</v>
      </c>
      <c r="N1051" s="101">
        <f t="shared" si="189"/>
        <v>70000</v>
      </c>
      <c r="O1051" s="538"/>
    </row>
    <row r="1052" spans="1:15" ht="14.1" customHeight="1" x14ac:dyDescent="0.3">
      <c r="A1052" s="184"/>
      <c r="B1052" s="106" t="s">
        <v>342</v>
      </c>
      <c r="C1052" s="1" t="s">
        <v>330</v>
      </c>
      <c r="D1052" s="1"/>
      <c r="E1052" s="1"/>
      <c r="F1052" s="1"/>
      <c r="G1052" s="1"/>
      <c r="H1052" s="7"/>
      <c r="I1052" s="141" t="s">
        <v>250</v>
      </c>
      <c r="J1052" s="99">
        <v>1</v>
      </c>
      <c r="K1052" s="208">
        <f>+K1033</f>
        <v>5000</v>
      </c>
      <c r="L1052" s="100">
        <f>J1052*K1052</f>
        <v>5000</v>
      </c>
      <c r="M1052" s="148" t="s">
        <v>233</v>
      </c>
      <c r="N1052" s="101">
        <f t="shared" si="189"/>
        <v>5000</v>
      </c>
    </row>
    <row r="1053" spans="1:15" ht="14.1" customHeight="1" x14ac:dyDescent="0.3">
      <c r="A1053" s="184"/>
      <c r="B1053" s="1"/>
      <c r="C1053" s="1"/>
      <c r="D1053" s="1"/>
      <c r="E1053" s="1"/>
      <c r="F1053" s="1"/>
      <c r="G1053" s="1"/>
      <c r="H1053" s="7"/>
      <c r="I1053" s="107"/>
      <c r="J1053" s="107"/>
      <c r="K1053" s="150" t="s">
        <v>245</v>
      </c>
      <c r="L1053" s="107">
        <f>SUM(L1045:L1052)</f>
        <v>80961.600000000006</v>
      </c>
      <c r="M1053" s="108">
        <f>SUM(M1045:M1052)</f>
        <v>157212</v>
      </c>
      <c r="N1053" s="109">
        <f>SUM(N1045:N1052)</f>
        <v>238173.6</v>
      </c>
    </row>
    <row r="1054" spans="1:15" ht="14.1" customHeight="1" x14ac:dyDescent="0.3">
      <c r="A1054" s="184"/>
      <c r="B1054" s="1"/>
      <c r="C1054" s="1"/>
      <c r="D1054" s="1"/>
      <c r="E1054" s="1"/>
      <c r="F1054" s="1"/>
      <c r="G1054" s="1"/>
      <c r="H1054" s="7"/>
      <c r="I1054" s="100"/>
      <c r="J1054" s="100"/>
      <c r="K1054" s="289" t="s">
        <v>512</v>
      </c>
      <c r="L1054" s="100"/>
      <c r="M1054" s="99"/>
      <c r="N1054" s="101">
        <f>N1053*15%</f>
        <v>35726.04</v>
      </c>
    </row>
    <row r="1055" spans="1:15" ht="14.1" customHeight="1" x14ac:dyDescent="0.3">
      <c r="A1055" s="184"/>
      <c r="B1055" s="1"/>
      <c r="C1055" s="1"/>
      <c r="D1055" s="1"/>
      <c r="E1055" s="1"/>
      <c r="F1055" s="1"/>
      <c r="G1055" s="1"/>
      <c r="H1055" s="7"/>
      <c r="I1055" s="100"/>
      <c r="J1055" s="100"/>
      <c r="K1055" s="154" t="s">
        <v>247</v>
      </c>
      <c r="L1055" s="100"/>
      <c r="M1055" s="148"/>
      <c r="N1055" s="101">
        <f>N1053+N1054</f>
        <v>273899.64</v>
      </c>
    </row>
    <row r="1056" spans="1:15" ht="14.1" customHeight="1" x14ac:dyDescent="0.3">
      <c r="A1056" s="128">
        <f>A1044+1</f>
        <v>11</v>
      </c>
      <c r="B1056" s="233" t="s">
        <v>671</v>
      </c>
      <c r="C1056" s="95"/>
      <c r="D1056" s="95"/>
      <c r="E1056" s="95"/>
      <c r="F1056" s="95"/>
      <c r="G1056" s="95"/>
      <c r="H1056" s="95"/>
      <c r="I1056" s="95"/>
      <c r="J1056" s="95"/>
      <c r="K1056" s="95"/>
      <c r="L1056" s="95"/>
      <c r="M1056" s="95"/>
      <c r="N1056" s="197"/>
    </row>
    <row r="1057" spans="1:14" ht="14.1" customHeight="1" x14ac:dyDescent="0.3">
      <c r="A1057" s="211"/>
      <c r="B1057" s="106" t="s">
        <v>233</v>
      </c>
      <c r="C1057" s="1" t="s">
        <v>133</v>
      </c>
      <c r="D1057" s="1"/>
      <c r="E1057" s="1"/>
      <c r="F1057" s="1"/>
      <c r="G1057" s="1"/>
      <c r="H1057" s="7"/>
      <c r="I1057" s="234" t="s">
        <v>467</v>
      </c>
      <c r="J1057" s="161">
        <v>0.06</v>
      </c>
      <c r="K1057" s="142">
        <f>'UPAH BAHAN'!$H$23</f>
        <v>135000</v>
      </c>
      <c r="L1057" s="100">
        <f>J1057*K1057</f>
        <v>8100</v>
      </c>
      <c r="M1057" s="148" t="s">
        <v>233</v>
      </c>
      <c r="N1057" s="101">
        <f>L1057+M1057</f>
        <v>8100</v>
      </c>
    </row>
    <row r="1058" spans="1:14" ht="14.1" customHeight="1" x14ac:dyDescent="0.3">
      <c r="A1058" s="211"/>
      <c r="B1058" s="106" t="s">
        <v>233</v>
      </c>
      <c r="C1058" s="1" t="s">
        <v>128</v>
      </c>
      <c r="D1058" s="1"/>
      <c r="E1058" s="1"/>
      <c r="F1058" s="1"/>
      <c r="G1058" s="1"/>
      <c r="H1058" s="7"/>
      <c r="I1058" s="234" t="s">
        <v>467</v>
      </c>
      <c r="J1058" s="161">
        <v>3.5999999999999997E-2</v>
      </c>
      <c r="K1058" s="142">
        <f>'UPAH BAHAN'!$H$19</f>
        <v>105000</v>
      </c>
      <c r="L1058" s="100">
        <f>J1058*K1058</f>
        <v>3779.9999999999995</v>
      </c>
      <c r="M1058" s="148" t="s">
        <v>233</v>
      </c>
      <c r="N1058" s="101">
        <f>L1058+M1058</f>
        <v>3779.9999999999995</v>
      </c>
    </row>
    <row r="1059" spans="1:14" ht="14.1" customHeight="1" x14ac:dyDescent="0.3">
      <c r="A1059" s="211"/>
      <c r="B1059" s="106" t="s">
        <v>233</v>
      </c>
      <c r="C1059" s="249" t="s">
        <v>135</v>
      </c>
      <c r="D1059" s="1"/>
      <c r="E1059" s="1"/>
      <c r="F1059" s="1"/>
      <c r="G1059" s="1"/>
      <c r="H1059" s="7"/>
      <c r="I1059" s="234" t="s">
        <v>467</v>
      </c>
      <c r="J1059" s="161">
        <v>6.0000000000000001E-3</v>
      </c>
      <c r="K1059" s="142">
        <f>'UPAH BAHAN'!$H$25</f>
        <v>150000</v>
      </c>
      <c r="L1059" s="100">
        <f>J1059*K1059</f>
        <v>900</v>
      </c>
      <c r="M1059" s="148" t="s">
        <v>233</v>
      </c>
      <c r="N1059" s="101">
        <f>L1059+M1059</f>
        <v>900</v>
      </c>
    </row>
    <row r="1060" spans="1:14" ht="14.1" customHeight="1" x14ac:dyDescent="0.3">
      <c r="A1060" s="211"/>
      <c r="B1060" s="106" t="s">
        <v>233</v>
      </c>
      <c r="C1060" s="1" t="s">
        <v>134</v>
      </c>
      <c r="D1060" s="1"/>
      <c r="E1060" s="1"/>
      <c r="F1060" s="1"/>
      <c r="G1060" s="1"/>
      <c r="H1060" s="7"/>
      <c r="I1060" s="234" t="s">
        <v>467</v>
      </c>
      <c r="J1060" s="161">
        <v>2E-3</v>
      </c>
      <c r="K1060" s="142">
        <f>'UPAH BAHAN'!$H$24</f>
        <v>165000</v>
      </c>
      <c r="L1060" s="100">
        <f>J1060*K1060</f>
        <v>330</v>
      </c>
      <c r="M1060" s="148" t="s">
        <v>233</v>
      </c>
      <c r="N1060" s="101">
        <f>L1060+M1060</f>
        <v>330</v>
      </c>
    </row>
    <row r="1061" spans="1:14" ht="14.1" hidden="1" customHeight="1" x14ac:dyDescent="0.3">
      <c r="A1061" s="211"/>
      <c r="B1061" s="106" t="s">
        <v>233</v>
      </c>
      <c r="C1061" s="249" t="s">
        <v>501</v>
      </c>
      <c r="D1061" s="1"/>
      <c r="E1061" s="1"/>
      <c r="F1061" s="1"/>
      <c r="G1061" s="1"/>
      <c r="H1061" s="7"/>
      <c r="I1061" s="270" t="s">
        <v>500</v>
      </c>
      <c r="J1061" s="161">
        <v>1.2</v>
      </c>
      <c r="K1061" s="275"/>
      <c r="L1061" s="100"/>
      <c r="M1061" s="99">
        <f t="shared" ref="M1061:M1062" si="190">J1061*K1061</f>
        <v>0</v>
      </c>
      <c r="N1061" s="101">
        <f t="shared" ref="N1061:N1062" si="191">L1061+M1061</f>
        <v>0</v>
      </c>
    </row>
    <row r="1062" spans="1:14" ht="14.1" hidden="1" customHeight="1" x14ac:dyDescent="0.3">
      <c r="A1062" s="211"/>
      <c r="B1062" s="106" t="s">
        <v>233</v>
      </c>
      <c r="C1062" s="249" t="s">
        <v>502</v>
      </c>
      <c r="D1062" s="1"/>
      <c r="E1062" s="1"/>
      <c r="F1062" s="1"/>
      <c r="G1062" s="1"/>
      <c r="H1062" s="7"/>
      <c r="I1062" s="271" t="s">
        <v>250</v>
      </c>
      <c r="J1062" s="193">
        <f>J1061*35%</f>
        <v>0.42</v>
      </c>
      <c r="K1062" s="276"/>
      <c r="L1062" s="100"/>
      <c r="M1062" s="99">
        <f t="shared" si="190"/>
        <v>0</v>
      </c>
      <c r="N1062" s="101">
        <f t="shared" si="191"/>
        <v>0</v>
      </c>
    </row>
    <row r="1063" spans="1:14" ht="14.1" customHeight="1" x14ac:dyDescent="0.3">
      <c r="A1063" s="211"/>
      <c r="B1063" s="1"/>
      <c r="C1063" s="1"/>
      <c r="D1063" s="1"/>
      <c r="E1063" s="1"/>
      <c r="F1063" s="1"/>
      <c r="G1063" s="1"/>
      <c r="H1063" s="7"/>
      <c r="I1063" s="209"/>
      <c r="J1063" s="209"/>
      <c r="K1063" s="150" t="s">
        <v>386</v>
      </c>
      <c r="L1063" s="107">
        <f>SUM(L1057:L1060)</f>
        <v>13110</v>
      </c>
      <c r="M1063" s="170" t="s">
        <v>233</v>
      </c>
      <c r="N1063" s="109">
        <f>SUM(N1057:N1060)</f>
        <v>13110</v>
      </c>
    </row>
    <row r="1064" spans="1:14" ht="13.95" customHeight="1" x14ac:dyDescent="0.3">
      <c r="A1064" s="211"/>
      <c r="B1064" s="1"/>
      <c r="C1064" s="1"/>
      <c r="D1064" s="1"/>
      <c r="E1064" s="1"/>
      <c r="F1064" s="1"/>
      <c r="G1064" s="1"/>
      <c r="H1064" s="7"/>
      <c r="I1064" s="100"/>
      <c r="J1064" s="100"/>
      <c r="K1064" s="289" t="s">
        <v>512</v>
      </c>
      <c r="L1064" s="100"/>
      <c r="M1064" s="99"/>
      <c r="N1064" s="101">
        <f>N1063*15%</f>
        <v>1966.5</v>
      </c>
    </row>
    <row r="1065" spans="1:14" ht="13.95" customHeight="1" x14ac:dyDescent="0.3">
      <c r="A1065" s="211"/>
      <c r="B1065" s="1"/>
      <c r="C1065" s="1"/>
      <c r="D1065" s="1"/>
      <c r="E1065" s="1"/>
      <c r="F1065" s="1"/>
      <c r="G1065" s="1"/>
      <c r="H1065" s="7"/>
      <c r="I1065" s="100"/>
      <c r="J1065" s="100"/>
      <c r="K1065" s="154" t="s">
        <v>247</v>
      </c>
      <c r="L1065" s="100"/>
      <c r="M1065" s="148"/>
      <c r="N1065" s="101">
        <f>N1063+N1064</f>
        <v>15076.5</v>
      </c>
    </row>
    <row r="1066" spans="1:14" ht="13.95" customHeight="1" x14ac:dyDescent="0.3">
      <c r="A1066" s="128">
        <f>A1056+1</f>
        <v>12</v>
      </c>
      <c r="B1066" s="233" t="s">
        <v>672</v>
      </c>
      <c r="C1066" s="95"/>
      <c r="D1066" s="95"/>
      <c r="E1066" s="95"/>
      <c r="F1066" s="95"/>
      <c r="G1066" s="95"/>
      <c r="H1066" s="95"/>
      <c r="I1066" s="95"/>
      <c r="J1066" s="95"/>
      <c r="K1066" s="95"/>
      <c r="L1066" s="95"/>
      <c r="M1066" s="95"/>
      <c r="N1066" s="197"/>
    </row>
    <row r="1067" spans="1:14" ht="13.95" customHeight="1" x14ac:dyDescent="0.3">
      <c r="A1067" s="211"/>
      <c r="B1067" s="106" t="s">
        <v>233</v>
      </c>
      <c r="C1067" s="1" t="s">
        <v>133</v>
      </c>
      <c r="D1067" s="1"/>
      <c r="E1067" s="1"/>
      <c r="F1067" s="1"/>
      <c r="G1067" s="1"/>
      <c r="H1067" s="7"/>
      <c r="I1067" s="234" t="s">
        <v>467</v>
      </c>
      <c r="J1067" s="161">
        <v>0.06</v>
      </c>
      <c r="K1067" s="142">
        <f>'UPAH BAHAN'!$H$23</f>
        <v>135000</v>
      </c>
      <c r="L1067" s="100">
        <f>J1067*K1067</f>
        <v>8100</v>
      </c>
      <c r="M1067" s="148" t="s">
        <v>233</v>
      </c>
      <c r="N1067" s="101">
        <f>L1067+M1067</f>
        <v>8100</v>
      </c>
    </row>
    <row r="1068" spans="1:14" ht="13.95" customHeight="1" x14ac:dyDescent="0.3">
      <c r="A1068" s="211"/>
      <c r="B1068" s="106" t="s">
        <v>233</v>
      </c>
      <c r="C1068" s="1" t="s">
        <v>128</v>
      </c>
      <c r="D1068" s="1"/>
      <c r="E1068" s="1"/>
      <c r="F1068" s="1"/>
      <c r="G1068" s="1"/>
      <c r="H1068" s="7"/>
      <c r="I1068" s="234" t="s">
        <v>467</v>
      </c>
      <c r="J1068" s="161">
        <v>3.5999999999999997E-2</v>
      </c>
      <c r="K1068" s="142">
        <f>'UPAH BAHAN'!$H$19</f>
        <v>105000</v>
      </c>
      <c r="L1068" s="100">
        <f>J1068*K1068</f>
        <v>3779.9999999999995</v>
      </c>
      <c r="M1068" s="148" t="s">
        <v>233</v>
      </c>
      <c r="N1068" s="101">
        <f>L1068+M1068</f>
        <v>3779.9999999999995</v>
      </c>
    </row>
    <row r="1069" spans="1:14" ht="13.95" customHeight="1" x14ac:dyDescent="0.3">
      <c r="A1069" s="211"/>
      <c r="B1069" s="106" t="s">
        <v>233</v>
      </c>
      <c r="C1069" s="249" t="s">
        <v>135</v>
      </c>
      <c r="D1069" s="1"/>
      <c r="E1069" s="1"/>
      <c r="F1069" s="1"/>
      <c r="G1069" s="1"/>
      <c r="H1069" s="7"/>
      <c r="I1069" s="234" t="s">
        <v>467</v>
      </c>
      <c r="J1069" s="161">
        <v>6.0000000000000001E-3</v>
      </c>
      <c r="K1069" s="142">
        <f>'UPAH BAHAN'!$H$25</f>
        <v>150000</v>
      </c>
      <c r="L1069" s="100">
        <f>J1069*K1069</f>
        <v>900</v>
      </c>
      <c r="M1069" s="148" t="s">
        <v>233</v>
      </c>
      <c r="N1069" s="101">
        <f>L1069+M1069</f>
        <v>900</v>
      </c>
    </row>
    <row r="1070" spans="1:14" ht="13.95" customHeight="1" x14ac:dyDescent="0.3">
      <c r="A1070" s="211"/>
      <c r="B1070" s="106" t="s">
        <v>233</v>
      </c>
      <c r="C1070" s="1" t="s">
        <v>134</v>
      </c>
      <c r="D1070" s="1"/>
      <c r="E1070" s="1"/>
      <c r="F1070" s="1"/>
      <c r="G1070" s="1"/>
      <c r="H1070" s="7"/>
      <c r="I1070" s="234" t="s">
        <v>467</v>
      </c>
      <c r="J1070" s="161">
        <v>2E-3</v>
      </c>
      <c r="K1070" s="142">
        <f>'UPAH BAHAN'!$H$24</f>
        <v>165000</v>
      </c>
      <c r="L1070" s="100">
        <f>J1070*K1070</f>
        <v>330</v>
      </c>
      <c r="M1070" s="148" t="s">
        <v>233</v>
      </c>
      <c r="N1070" s="101">
        <f>L1070+M1070</f>
        <v>330</v>
      </c>
    </row>
    <row r="1071" spans="1:14" ht="13.95" hidden="1" customHeight="1" x14ac:dyDescent="0.3">
      <c r="A1071" s="211"/>
      <c r="B1071" s="106" t="s">
        <v>233</v>
      </c>
      <c r="C1071" s="249" t="s">
        <v>501</v>
      </c>
      <c r="D1071" s="1"/>
      <c r="E1071" s="1"/>
      <c r="F1071" s="1"/>
      <c r="G1071" s="1"/>
      <c r="H1071" s="7"/>
      <c r="I1071" s="270" t="s">
        <v>500</v>
      </c>
      <c r="J1071" s="161">
        <v>1.2</v>
      </c>
      <c r="K1071" s="275"/>
      <c r="L1071" s="100"/>
      <c r="M1071" s="148"/>
      <c r="N1071" s="101"/>
    </row>
    <row r="1072" spans="1:14" ht="13.95" hidden="1" customHeight="1" x14ac:dyDescent="0.3">
      <c r="A1072" s="211"/>
      <c r="B1072" s="106" t="s">
        <v>233</v>
      </c>
      <c r="C1072" s="249" t="s">
        <v>502</v>
      </c>
      <c r="D1072" s="1"/>
      <c r="E1072" s="1"/>
      <c r="F1072" s="1"/>
      <c r="G1072" s="1"/>
      <c r="H1072" s="7"/>
      <c r="I1072" s="271" t="s">
        <v>250</v>
      </c>
      <c r="J1072" s="193">
        <f>J1071*35%</f>
        <v>0.42</v>
      </c>
      <c r="K1072" s="276"/>
      <c r="L1072" s="100"/>
      <c r="M1072" s="148"/>
      <c r="N1072" s="101"/>
    </row>
    <row r="1073" spans="1:14" ht="13.95" customHeight="1" x14ac:dyDescent="0.3">
      <c r="A1073" s="211"/>
      <c r="B1073" s="1"/>
      <c r="C1073" s="1"/>
      <c r="D1073" s="1"/>
      <c r="E1073" s="1"/>
      <c r="F1073" s="1"/>
      <c r="G1073" s="1"/>
      <c r="H1073" s="7"/>
      <c r="I1073" s="209"/>
      <c r="J1073" s="209"/>
      <c r="K1073" s="150" t="s">
        <v>386</v>
      </c>
      <c r="L1073" s="107">
        <f>SUM(L1067:L1070)</f>
        <v>13110</v>
      </c>
      <c r="M1073" s="170" t="s">
        <v>233</v>
      </c>
      <c r="N1073" s="109">
        <f>SUM(N1067:N1070)</f>
        <v>13110</v>
      </c>
    </row>
    <row r="1074" spans="1:14" ht="13.95" customHeight="1" x14ac:dyDescent="0.3">
      <c r="A1074" s="211"/>
      <c r="B1074" s="1"/>
      <c r="C1074" s="1"/>
      <c r="D1074" s="1"/>
      <c r="E1074" s="1"/>
      <c r="F1074" s="1"/>
      <c r="G1074" s="1"/>
      <c r="H1074" s="7"/>
      <c r="I1074" s="100"/>
      <c r="J1074" s="100"/>
      <c r="K1074" s="289" t="s">
        <v>512</v>
      </c>
      <c r="L1074" s="100"/>
      <c r="M1074" s="99"/>
      <c r="N1074" s="101">
        <f>N1073*15%</f>
        <v>1966.5</v>
      </c>
    </row>
    <row r="1075" spans="1:14" ht="13.95" customHeight="1" x14ac:dyDescent="0.3">
      <c r="A1075" s="211"/>
      <c r="B1075" s="1"/>
      <c r="C1075" s="1"/>
      <c r="D1075" s="1"/>
      <c r="E1075" s="1"/>
      <c r="F1075" s="1"/>
      <c r="G1075" s="1"/>
      <c r="H1075" s="7"/>
      <c r="I1075" s="100"/>
      <c r="J1075" s="100"/>
      <c r="K1075" s="154" t="s">
        <v>247</v>
      </c>
      <c r="L1075" s="100"/>
      <c r="M1075" s="148"/>
      <c r="N1075" s="101">
        <f>N1073+N1074</f>
        <v>15076.5</v>
      </c>
    </row>
    <row r="1076" spans="1:14" ht="13.95" customHeight="1" x14ac:dyDescent="0.3">
      <c r="A1076" s="128">
        <f>A1066+1</f>
        <v>13</v>
      </c>
      <c r="B1076" s="233" t="s">
        <v>673</v>
      </c>
      <c r="C1076" s="95"/>
      <c r="D1076" s="95"/>
      <c r="E1076" s="95"/>
      <c r="F1076" s="95"/>
      <c r="G1076" s="95"/>
      <c r="H1076" s="95"/>
      <c r="I1076" s="95"/>
      <c r="J1076" s="95"/>
      <c r="K1076" s="95"/>
      <c r="L1076" s="95"/>
      <c r="M1076" s="95"/>
      <c r="N1076" s="197"/>
    </row>
    <row r="1077" spans="1:14" ht="13.95" customHeight="1" x14ac:dyDescent="0.3">
      <c r="A1077" s="211"/>
      <c r="B1077" s="106" t="s">
        <v>233</v>
      </c>
      <c r="C1077" s="1" t="s">
        <v>133</v>
      </c>
      <c r="D1077" s="1"/>
      <c r="E1077" s="1"/>
      <c r="F1077" s="1"/>
      <c r="G1077" s="1"/>
      <c r="H1077" s="7"/>
      <c r="I1077" s="234" t="s">
        <v>467</v>
      </c>
      <c r="J1077" s="161">
        <v>0.06</v>
      </c>
      <c r="K1077" s="142">
        <f>'UPAH BAHAN'!$H$23</f>
        <v>135000</v>
      </c>
      <c r="L1077" s="100">
        <f>J1077*K1077</f>
        <v>8100</v>
      </c>
      <c r="M1077" s="148" t="s">
        <v>233</v>
      </c>
      <c r="N1077" s="101">
        <f>L1077+M1077</f>
        <v>8100</v>
      </c>
    </row>
    <row r="1078" spans="1:14" ht="13.95" customHeight="1" x14ac:dyDescent="0.3">
      <c r="A1078" s="211"/>
      <c r="B1078" s="106" t="s">
        <v>233</v>
      </c>
      <c r="C1078" s="1" t="s">
        <v>128</v>
      </c>
      <c r="D1078" s="1"/>
      <c r="E1078" s="1"/>
      <c r="F1078" s="1"/>
      <c r="G1078" s="1"/>
      <c r="H1078" s="7"/>
      <c r="I1078" s="234" t="s">
        <v>467</v>
      </c>
      <c r="J1078" s="161">
        <v>3.5999999999999997E-2</v>
      </c>
      <c r="K1078" s="142">
        <f>'UPAH BAHAN'!$H$19</f>
        <v>105000</v>
      </c>
      <c r="L1078" s="100">
        <f>J1078*K1078</f>
        <v>3779.9999999999995</v>
      </c>
      <c r="M1078" s="148" t="s">
        <v>233</v>
      </c>
      <c r="N1078" s="101">
        <f>L1078+M1078</f>
        <v>3779.9999999999995</v>
      </c>
    </row>
    <row r="1079" spans="1:14" ht="13.95" customHeight="1" x14ac:dyDescent="0.3">
      <c r="A1079" s="211"/>
      <c r="B1079" s="106" t="s">
        <v>233</v>
      </c>
      <c r="C1079" s="249" t="s">
        <v>135</v>
      </c>
      <c r="D1079" s="1"/>
      <c r="E1079" s="1"/>
      <c r="F1079" s="1"/>
      <c r="G1079" s="1"/>
      <c r="H1079" s="7"/>
      <c r="I1079" s="234" t="s">
        <v>467</v>
      </c>
      <c r="J1079" s="161">
        <v>6.0000000000000001E-3</v>
      </c>
      <c r="K1079" s="142">
        <f>'UPAH BAHAN'!$H$25</f>
        <v>150000</v>
      </c>
      <c r="L1079" s="100">
        <f>J1079*K1079</f>
        <v>900</v>
      </c>
      <c r="M1079" s="148" t="s">
        <v>233</v>
      </c>
      <c r="N1079" s="101">
        <f>L1079+M1079</f>
        <v>900</v>
      </c>
    </row>
    <row r="1080" spans="1:14" ht="13.95" customHeight="1" x14ac:dyDescent="0.3">
      <c r="A1080" s="211"/>
      <c r="B1080" s="106" t="s">
        <v>233</v>
      </c>
      <c r="C1080" s="1" t="s">
        <v>134</v>
      </c>
      <c r="D1080" s="1"/>
      <c r="E1080" s="1"/>
      <c r="F1080" s="1"/>
      <c r="G1080" s="1"/>
      <c r="H1080" s="7"/>
      <c r="I1080" s="234" t="s">
        <v>467</v>
      </c>
      <c r="J1080" s="161">
        <v>2E-3</v>
      </c>
      <c r="K1080" s="142">
        <f>'UPAH BAHAN'!$H$24</f>
        <v>165000</v>
      </c>
      <c r="L1080" s="100">
        <f>J1080*K1080</f>
        <v>330</v>
      </c>
      <c r="M1080" s="148" t="s">
        <v>233</v>
      </c>
      <c r="N1080" s="101">
        <f>L1080+M1080</f>
        <v>330</v>
      </c>
    </row>
    <row r="1081" spans="1:14" ht="13.95" hidden="1" customHeight="1" x14ac:dyDescent="0.3">
      <c r="A1081" s="211"/>
      <c r="B1081" s="106" t="s">
        <v>233</v>
      </c>
      <c r="C1081" s="249" t="s">
        <v>501</v>
      </c>
      <c r="D1081" s="1"/>
      <c r="E1081" s="1"/>
      <c r="F1081" s="1"/>
      <c r="G1081" s="1"/>
      <c r="H1081" s="7"/>
      <c r="I1081" s="270" t="s">
        <v>500</v>
      </c>
      <c r="J1081" s="161">
        <v>1.2</v>
      </c>
      <c r="K1081" s="275"/>
      <c r="L1081" s="100"/>
      <c r="M1081" s="148"/>
      <c r="N1081" s="101"/>
    </row>
    <row r="1082" spans="1:14" ht="13.95" hidden="1" customHeight="1" x14ac:dyDescent="0.3">
      <c r="A1082" s="211"/>
      <c r="B1082" s="106" t="s">
        <v>233</v>
      </c>
      <c r="C1082" s="249" t="s">
        <v>502</v>
      </c>
      <c r="D1082" s="1"/>
      <c r="E1082" s="1"/>
      <c r="F1082" s="1"/>
      <c r="G1082" s="1"/>
      <c r="H1082" s="7"/>
      <c r="I1082" s="271" t="s">
        <v>250</v>
      </c>
      <c r="J1082" s="193">
        <f>J1081*35%</f>
        <v>0.42</v>
      </c>
      <c r="K1082" s="276"/>
      <c r="L1082" s="100"/>
      <c r="M1082" s="148"/>
      <c r="N1082" s="101"/>
    </row>
    <row r="1083" spans="1:14" ht="13.95" customHeight="1" x14ac:dyDescent="0.3">
      <c r="A1083" s="211"/>
      <c r="B1083" s="1"/>
      <c r="C1083" s="1"/>
      <c r="D1083" s="1"/>
      <c r="E1083" s="1"/>
      <c r="F1083" s="1"/>
      <c r="G1083" s="1"/>
      <c r="H1083" s="7"/>
      <c r="I1083" s="209"/>
      <c r="J1083" s="209"/>
      <c r="K1083" s="150" t="s">
        <v>386</v>
      </c>
      <c r="L1083" s="107">
        <f>SUM(L1077:L1080)</f>
        <v>13110</v>
      </c>
      <c r="M1083" s="170" t="s">
        <v>233</v>
      </c>
      <c r="N1083" s="109">
        <f>SUM(N1077:N1080)</f>
        <v>13110</v>
      </c>
    </row>
    <row r="1084" spans="1:14" ht="13.95" customHeight="1" x14ac:dyDescent="0.3">
      <c r="A1084" s="211"/>
      <c r="B1084" s="1"/>
      <c r="C1084" s="1"/>
      <c r="D1084" s="1"/>
      <c r="E1084" s="1"/>
      <c r="F1084" s="1"/>
      <c r="G1084" s="1"/>
      <c r="H1084" s="7"/>
      <c r="I1084" s="100"/>
      <c r="J1084" s="100"/>
      <c r="K1084" s="289" t="s">
        <v>512</v>
      </c>
      <c r="L1084" s="100"/>
      <c r="M1084" s="99"/>
      <c r="N1084" s="101">
        <f>N1083*15%</f>
        <v>1966.5</v>
      </c>
    </row>
    <row r="1085" spans="1:14" ht="13.95" customHeight="1" x14ac:dyDescent="0.3">
      <c r="A1085" s="211"/>
      <c r="B1085" s="1"/>
      <c r="C1085" s="1"/>
      <c r="D1085" s="1"/>
      <c r="E1085" s="1"/>
      <c r="F1085" s="1"/>
      <c r="G1085" s="1"/>
      <c r="H1085" s="7"/>
      <c r="I1085" s="100"/>
      <c r="J1085" s="100"/>
      <c r="K1085" s="154" t="s">
        <v>247</v>
      </c>
      <c r="L1085" s="100"/>
      <c r="M1085" s="148"/>
      <c r="N1085" s="101">
        <f>N1083+N1084</f>
        <v>15076.5</v>
      </c>
    </row>
    <row r="1086" spans="1:14" ht="13.95" customHeight="1" x14ac:dyDescent="0.3">
      <c r="A1086" s="128">
        <f>A1076+1</f>
        <v>14</v>
      </c>
      <c r="B1086" s="233" t="s">
        <v>674</v>
      </c>
      <c r="C1086" s="95"/>
      <c r="D1086" s="95"/>
      <c r="E1086" s="95"/>
      <c r="F1086" s="95"/>
      <c r="G1086" s="95"/>
      <c r="H1086" s="95"/>
      <c r="I1086" s="95"/>
      <c r="J1086" s="95"/>
      <c r="K1086" s="95"/>
      <c r="L1086" s="95"/>
      <c r="M1086" s="95"/>
      <c r="N1086" s="197"/>
    </row>
    <row r="1087" spans="1:14" ht="13.95" customHeight="1" x14ac:dyDescent="0.3">
      <c r="A1087" s="211"/>
      <c r="B1087" s="106" t="s">
        <v>233</v>
      </c>
      <c r="C1087" s="1" t="s">
        <v>133</v>
      </c>
      <c r="D1087" s="1"/>
      <c r="E1087" s="1"/>
      <c r="F1087" s="1"/>
      <c r="G1087" s="1"/>
      <c r="H1087" s="7"/>
      <c r="I1087" s="234" t="s">
        <v>467</v>
      </c>
      <c r="J1087" s="161">
        <v>0.09</v>
      </c>
      <c r="K1087" s="142">
        <f>'UPAH BAHAN'!$H$23</f>
        <v>135000</v>
      </c>
      <c r="L1087" s="100">
        <f>J1087*K1087</f>
        <v>12150</v>
      </c>
      <c r="M1087" s="148" t="s">
        <v>233</v>
      </c>
      <c r="N1087" s="101">
        <f>L1087+M1087</f>
        <v>12150</v>
      </c>
    </row>
    <row r="1088" spans="1:14" ht="13.95" customHeight="1" x14ac:dyDescent="0.3">
      <c r="A1088" s="211"/>
      <c r="B1088" s="106" t="s">
        <v>233</v>
      </c>
      <c r="C1088" s="1" t="s">
        <v>128</v>
      </c>
      <c r="D1088" s="1"/>
      <c r="E1088" s="1"/>
      <c r="F1088" s="1"/>
      <c r="G1088" s="1"/>
      <c r="H1088" s="7"/>
      <c r="I1088" s="234" t="s">
        <v>467</v>
      </c>
      <c r="J1088" s="161">
        <v>5.3999999999999999E-2</v>
      </c>
      <c r="K1088" s="142">
        <f>'UPAH BAHAN'!$H$19</f>
        <v>105000</v>
      </c>
      <c r="L1088" s="100">
        <f>J1088*K1088</f>
        <v>5670</v>
      </c>
      <c r="M1088" s="148" t="s">
        <v>233</v>
      </c>
      <c r="N1088" s="101">
        <f>L1088+M1088</f>
        <v>5670</v>
      </c>
    </row>
    <row r="1089" spans="1:14" ht="13.95" customHeight="1" x14ac:dyDescent="0.3">
      <c r="A1089" s="211"/>
      <c r="B1089" s="106" t="s">
        <v>233</v>
      </c>
      <c r="C1089" s="249" t="s">
        <v>135</v>
      </c>
      <c r="D1089" s="1"/>
      <c r="E1089" s="1"/>
      <c r="F1089" s="1"/>
      <c r="G1089" s="1"/>
      <c r="H1089" s="7"/>
      <c r="I1089" s="234" t="s">
        <v>467</v>
      </c>
      <c r="J1089" s="161">
        <v>8.9999999999999993E-3</v>
      </c>
      <c r="K1089" s="142">
        <f>'UPAH BAHAN'!$H$25</f>
        <v>150000</v>
      </c>
      <c r="L1089" s="100">
        <f>J1089*K1089</f>
        <v>1350</v>
      </c>
      <c r="M1089" s="148" t="s">
        <v>233</v>
      </c>
      <c r="N1089" s="101">
        <f>L1089+M1089</f>
        <v>1350</v>
      </c>
    </row>
    <row r="1090" spans="1:14" ht="13.95" customHeight="1" x14ac:dyDescent="0.3">
      <c r="A1090" s="211"/>
      <c r="B1090" s="106" t="s">
        <v>233</v>
      </c>
      <c r="C1090" s="1" t="s">
        <v>134</v>
      </c>
      <c r="D1090" s="1"/>
      <c r="E1090" s="1"/>
      <c r="F1090" s="1"/>
      <c r="G1090" s="1"/>
      <c r="H1090" s="7"/>
      <c r="I1090" s="234" t="s">
        <v>467</v>
      </c>
      <c r="J1090" s="161">
        <v>3.0000000000000001E-3</v>
      </c>
      <c r="K1090" s="142">
        <f>'UPAH BAHAN'!$H$24</f>
        <v>165000</v>
      </c>
      <c r="L1090" s="100">
        <f>J1090*K1090</f>
        <v>495</v>
      </c>
      <c r="M1090" s="148" t="s">
        <v>233</v>
      </c>
      <c r="N1090" s="101">
        <f>L1090+M1090</f>
        <v>495</v>
      </c>
    </row>
    <row r="1091" spans="1:14" ht="13.95" hidden="1" customHeight="1" x14ac:dyDescent="0.3">
      <c r="A1091" s="211"/>
      <c r="B1091" s="106" t="s">
        <v>233</v>
      </c>
      <c r="C1091" s="249" t="s">
        <v>501</v>
      </c>
      <c r="D1091" s="1"/>
      <c r="E1091" s="1"/>
      <c r="F1091" s="1"/>
      <c r="G1091" s="1"/>
      <c r="H1091" s="7"/>
      <c r="I1091" s="270" t="s">
        <v>500</v>
      </c>
      <c r="J1091" s="161">
        <v>1.2</v>
      </c>
      <c r="K1091" s="275"/>
      <c r="L1091" s="100"/>
      <c r="M1091" s="148"/>
      <c r="N1091" s="101"/>
    </row>
    <row r="1092" spans="1:14" ht="13.95" hidden="1" customHeight="1" x14ac:dyDescent="0.3">
      <c r="A1092" s="211"/>
      <c r="B1092" s="106" t="s">
        <v>233</v>
      </c>
      <c r="C1092" s="249" t="s">
        <v>502</v>
      </c>
      <c r="D1092" s="1"/>
      <c r="E1092" s="1"/>
      <c r="F1092" s="1"/>
      <c r="G1092" s="1"/>
      <c r="H1092" s="7"/>
      <c r="I1092" s="271" t="s">
        <v>250</v>
      </c>
      <c r="J1092" s="193">
        <f>J1091*35%</f>
        <v>0.42</v>
      </c>
      <c r="K1092" s="276"/>
      <c r="L1092" s="100"/>
      <c r="M1092" s="148"/>
      <c r="N1092" s="101"/>
    </row>
    <row r="1093" spans="1:14" ht="13.95" customHeight="1" x14ac:dyDescent="0.3">
      <c r="A1093" s="211"/>
      <c r="B1093" s="1"/>
      <c r="C1093" s="1"/>
      <c r="D1093" s="1"/>
      <c r="E1093" s="1"/>
      <c r="F1093" s="1"/>
      <c r="G1093" s="1"/>
      <c r="H1093" s="7"/>
      <c r="I1093" s="209"/>
      <c r="J1093" s="209"/>
      <c r="K1093" s="150" t="s">
        <v>386</v>
      </c>
      <c r="L1093" s="107">
        <f>SUM(L1087:L1090)</f>
        <v>19665</v>
      </c>
      <c r="M1093" s="170" t="s">
        <v>233</v>
      </c>
      <c r="N1093" s="109">
        <f>SUM(N1087:N1090)</f>
        <v>19665</v>
      </c>
    </row>
    <row r="1094" spans="1:14" ht="13.95" customHeight="1" x14ac:dyDescent="0.3">
      <c r="A1094" s="211"/>
      <c r="B1094" s="1"/>
      <c r="C1094" s="1"/>
      <c r="D1094" s="1"/>
      <c r="E1094" s="1"/>
      <c r="F1094" s="1"/>
      <c r="G1094" s="1"/>
      <c r="H1094" s="7"/>
      <c r="I1094" s="100"/>
      <c r="J1094" s="100"/>
      <c r="K1094" s="289" t="s">
        <v>512</v>
      </c>
      <c r="L1094" s="100"/>
      <c r="M1094" s="99"/>
      <c r="N1094" s="101">
        <f>N1093*15%</f>
        <v>2949.75</v>
      </c>
    </row>
    <row r="1095" spans="1:14" ht="13.95" customHeight="1" x14ac:dyDescent="0.3">
      <c r="A1095" s="211"/>
      <c r="B1095" s="1"/>
      <c r="C1095" s="1"/>
      <c r="D1095" s="1"/>
      <c r="E1095" s="1"/>
      <c r="F1095" s="1"/>
      <c r="G1095" s="1"/>
      <c r="H1095" s="7"/>
      <c r="I1095" s="100"/>
      <c r="J1095" s="100"/>
      <c r="K1095" s="154" t="s">
        <v>247</v>
      </c>
      <c r="L1095" s="100"/>
      <c r="M1095" s="148"/>
      <c r="N1095" s="101">
        <f>N1093+N1094</f>
        <v>22614.75</v>
      </c>
    </row>
    <row r="1096" spans="1:14" ht="13.95" customHeight="1" x14ac:dyDescent="0.3">
      <c r="A1096" s="128">
        <f>A1086+1</f>
        <v>15</v>
      </c>
      <c r="B1096" s="233" t="s">
        <v>675</v>
      </c>
      <c r="C1096" s="95"/>
      <c r="D1096" s="95"/>
      <c r="E1096" s="95"/>
      <c r="F1096" s="95"/>
      <c r="G1096" s="95"/>
      <c r="H1096" s="95"/>
      <c r="I1096" s="95"/>
      <c r="J1096" s="95"/>
      <c r="K1096" s="95"/>
      <c r="L1096" s="95"/>
      <c r="M1096" s="95"/>
      <c r="N1096" s="197"/>
    </row>
    <row r="1097" spans="1:14" ht="13.95" customHeight="1" x14ac:dyDescent="0.3">
      <c r="A1097" s="211"/>
      <c r="B1097" s="106" t="s">
        <v>233</v>
      </c>
      <c r="C1097" s="1" t="s">
        <v>133</v>
      </c>
      <c r="D1097" s="1"/>
      <c r="E1097" s="1"/>
      <c r="F1097" s="1"/>
      <c r="G1097" s="1"/>
      <c r="H1097" s="7"/>
      <c r="I1097" s="234" t="s">
        <v>467</v>
      </c>
      <c r="J1097" s="161">
        <v>0.09</v>
      </c>
      <c r="K1097" s="142">
        <f>'UPAH BAHAN'!$H$23</f>
        <v>135000</v>
      </c>
      <c r="L1097" s="100">
        <f>J1097*K1097</f>
        <v>12150</v>
      </c>
      <c r="M1097" s="148" t="s">
        <v>233</v>
      </c>
      <c r="N1097" s="101">
        <f>L1097+M1097</f>
        <v>12150</v>
      </c>
    </row>
    <row r="1098" spans="1:14" ht="13.95" customHeight="1" x14ac:dyDescent="0.3">
      <c r="A1098" s="211"/>
      <c r="B1098" s="106" t="s">
        <v>233</v>
      </c>
      <c r="C1098" s="1" t="s">
        <v>128</v>
      </c>
      <c r="D1098" s="1"/>
      <c r="E1098" s="1"/>
      <c r="F1098" s="1"/>
      <c r="G1098" s="1"/>
      <c r="H1098" s="7"/>
      <c r="I1098" s="234" t="s">
        <v>467</v>
      </c>
      <c r="J1098" s="161">
        <v>5.3999999999999999E-2</v>
      </c>
      <c r="K1098" s="142">
        <f>'UPAH BAHAN'!$H$19</f>
        <v>105000</v>
      </c>
      <c r="L1098" s="100">
        <f>J1098*K1098</f>
        <v>5670</v>
      </c>
      <c r="M1098" s="148" t="s">
        <v>233</v>
      </c>
      <c r="N1098" s="101">
        <f>L1098+M1098</f>
        <v>5670</v>
      </c>
    </row>
    <row r="1099" spans="1:14" ht="13.95" customHeight="1" x14ac:dyDescent="0.3">
      <c r="A1099" s="211"/>
      <c r="B1099" s="106" t="s">
        <v>233</v>
      </c>
      <c r="C1099" s="249" t="s">
        <v>135</v>
      </c>
      <c r="D1099" s="1"/>
      <c r="E1099" s="1"/>
      <c r="F1099" s="1"/>
      <c r="G1099" s="1"/>
      <c r="H1099" s="7"/>
      <c r="I1099" s="234" t="s">
        <v>467</v>
      </c>
      <c r="J1099" s="161">
        <v>8.9999999999999993E-3</v>
      </c>
      <c r="K1099" s="142">
        <f>'UPAH BAHAN'!$H$25</f>
        <v>150000</v>
      </c>
      <c r="L1099" s="100">
        <f>J1099*K1099</f>
        <v>1350</v>
      </c>
      <c r="M1099" s="148" t="s">
        <v>233</v>
      </c>
      <c r="N1099" s="101">
        <f>L1099+M1099</f>
        <v>1350</v>
      </c>
    </row>
    <row r="1100" spans="1:14" ht="13.95" customHeight="1" x14ac:dyDescent="0.3">
      <c r="A1100" s="211"/>
      <c r="B1100" s="106" t="s">
        <v>233</v>
      </c>
      <c r="C1100" s="1" t="s">
        <v>134</v>
      </c>
      <c r="D1100" s="1"/>
      <c r="E1100" s="1"/>
      <c r="F1100" s="1"/>
      <c r="G1100" s="1"/>
      <c r="H1100" s="7"/>
      <c r="I1100" s="234" t="s">
        <v>467</v>
      </c>
      <c r="J1100" s="161">
        <v>3.0000000000000001E-3</v>
      </c>
      <c r="K1100" s="142">
        <f>'UPAH BAHAN'!$H$24</f>
        <v>165000</v>
      </c>
      <c r="L1100" s="100">
        <f>J1100*K1100</f>
        <v>495</v>
      </c>
      <c r="M1100" s="148" t="s">
        <v>233</v>
      </c>
      <c r="N1100" s="101">
        <f>L1100+M1100</f>
        <v>495</v>
      </c>
    </row>
    <row r="1101" spans="1:14" ht="13.95" hidden="1" customHeight="1" x14ac:dyDescent="0.3">
      <c r="A1101" s="211"/>
      <c r="B1101" s="106" t="s">
        <v>233</v>
      </c>
      <c r="C1101" s="249" t="s">
        <v>501</v>
      </c>
      <c r="D1101" s="1"/>
      <c r="E1101" s="1"/>
      <c r="F1101" s="1"/>
      <c r="G1101" s="1"/>
      <c r="H1101" s="7"/>
      <c r="I1101" s="270" t="s">
        <v>500</v>
      </c>
      <c r="J1101" s="161">
        <v>1.2</v>
      </c>
      <c r="K1101" s="275"/>
      <c r="L1101" s="100"/>
      <c r="M1101" s="148"/>
      <c r="N1101" s="101"/>
    </row>
    <row r="1102" spans="1:14" ht="13.95" hidden="1" customHeight="1" x14ac:dyDescent="0.3">
      <c r="A1102" s="211"/>
      <c r="B1102" s="106" t="s">
        <v>233</v>
      </c>
      <c r="C1102" s="249" t="s">
        <v>502</v>
      </c>
      <c r="D1102" s="1"/>
      <c r="E1102" s="1"/>
      <c r="F1102" s="1"/>
      <c r="G1102" s="1"/>
      <c r="H1102" s="7"/>
      <c r="I1102" s="271" t="s">
        <v>250</v>
      </c>
      <c r="J1102" s="193">
        <f>J1101*35%</f>
        <v>0.42</v>
      </c>
      <c r="K1102" s="276"/>
      <c r="L1102" s="100"/>
      <c r="M1102" s="148"/>
      <c r="N1102" s="101"/>
    </row>
    <row r="1103" spans="1:14" ht="13.95" customHeight="1" x14ac:dyDescent="0.3">
      <c r="A1103" s="211"/>
      <c r="B1103" s="1"/>
      <c r="C1103" s="1"/>
      <c r="D1103" s="1"/>
      <c r="E1103" s="1"/>
      <c r="F1103" s="1"/>
      <c r="G1103" s="1"/>
      <c r="H1103" s="7"/>
      <c r="I1103" s="209"/>
      <c r="J1103" s="209"/>
      <c r="K1103" s="150" t="s">
        <v>386</v>
      </c>
      <c r="L1103" s="107">
        <f>SUM(L1097:L1100)</f>
        <v>19665</v>
      </c>
      <c r="M1103" s="170" t="s">
        <v>233</v>
      </c>
      <c r="N1103" s="109">
        <f>SUM(N1097:N1100)</f>
        <v>19665</v>
      </c>
    </row>
    <row r="1104" spans="1:14" ht="13.95" customHeight="1" x14ac:dyDescent="0.3">
      <c r="A1104" s="211"/>
      <c r="B1104" s="1"/>
      <c r="C1104" s="1"/>
      <c r="D1104" s="1"/>
      <c r="E1104" s="1"/>
      <c r="F1104" s="1"/>
      <c r="G1104" s="1"/>
      <c r="H1104" s="7"/>
      <c r="I1104" s="100"/>
      <c r="J1104" s="100"/>
      <c r="K1104" s="289" t="s">
        <v>512</v>
      </c>
      <c r="L1104" s="100"/>
      <c r="M1104" s="99"/>
      <c r="N1104" s="101">
        <f>N1103*15%</f>
        <v>2949.75</v>
      </c>
    </row>
    <row r="1105" spans="1:14" ht="13.95" customHeight="1" x14ac:dyDescent="0.3">
      <c r="A1105" s="211"/>
      <c r="B1105" s="1"/>
      <c r="C1105" s="1"/>
      <c r="D1105" s="1"/>
      <c r="E1105" s="1"/>
      <c r="F1105" s="1"/>
      <c r="G1105" s="1"/>
      <c r="H1105" s="7"/>
      <c r="I1105" s="100"/>
      <c r="J1105" s="100"/>
      <c r="K1105" s="154" t="s">
        <v>247</v>
      </c>
      <c r="L1105" s="100"/>
      <c r="M1105" s="148"/>
      <c r="N1105" s="101">
        <f>N1103+N1104</f>
        <v>22614.75</v>
      </c>
    </row>
    <row r="1106" spans="1:14" ht="13.95" customHeight="1" x14ac:dyDescent="0.3">
      <c r="A1106" s="128">
        <f>A1096+1</f>
        <v>16</v>
      </c>
      <c r="B1106" s="233" t="s">
        <v>676</v>
      </c>
      <c r="C1106" s="95"/>
      <c r="D1106" s="95"/>
      <c r="E1106" s="95"/>
      <c r="F1106" s="95"/>
      <c r="G1106" s="95"/>
      <c r="H1106" s="95"/>
      <c r="I1106" s="95"/>
      <c r="J1106" s="95"/>
      <c r="K1106" s="95"/>
      <c r="L1106" s="95"/>
      <c r="M1106" s="95"/>
      <c r="N1106" s="197"/>
    </row>
    <row r="1107" spans="1:14" ht="13.95" customHeight="1" x14ac:dyDescent="0.3">
      <c r="A1107" s="211"/>
      <c r="B1107" s="106" t="s">
        <v>233</v>
      </c>
      <c r="C1107" s="1" t="s">
        <v>133</v>
      </c>
      <c r="D1107" s="1"/>
      <c r="E1107" s="1"/>
      <c r="F1107" s="1"/>
      <c r="G1107" s="1"/>
      <c r="H1107" s="7"/>
      <c r="I1107" s="234" t="s">
        <v>467</v>
      </c>
      <c r="J1107" s="161">
        <v>0.13500000000000001</v>
      </c>
      <c r="K1107" s="142">
        <f>'UPAH BAHAN'!$H$23</f>
        <v>135000</v>
      </c>
      <c r="L1107" s="100">
        <f>J1107*K1107</f>
        <v>18225</v>
      </c>
      <c r="M1107" s="148" t="s">
        <v>233</v>
      </c>
      <c r="N1107" s="101">
        <f>L1107+M1107</f>
        <v>18225</v>
      </c>
    </row>
    <row r="1108" spans="1:14" ht="13.95" customHeight="1" x14ac:dyDescent="0.3">
      <c r="A1108" s="211"/>
      <c r="B1108" s="106" t="s">
        <v>233</v>
      </c>
      <c r="C1108" s="1" t="s">
        <v>128</v>
      </c>
      <c r="D1108" s="1"/>
      <c r="E1108" s="1"/>
      <c r="F1108" s="1"/>
      <c r="G1108" s="1"/>
      <c r="H1108" s="7"/>
      <c r="I1108" s="234" t="s">
        <v>467</v>
      </c>
      <c r="J1108" s="161">
        <v>8.1000000000000003E-2</v>
      </c>
      <c r="K1108" s="142">
        <f>'UPAH BAHAN'!$H$19</f>
        <v>105000</v>
      </c>
      <c r="L1108" s="100">
        <f>J1108*K1108</f>
        <v>8505</v>
      </c>
      <c r="M1108" s="148" t="s">
        <v>233</v>
      </c>
      <c r="N1108" s="101">
        <f>L1108+M1108</f>
        <v>8505</v>
      </c>
    </row>
    <row r="1109" spans="1:14" ht="13.95" customHeight="1" x14ac:dyDescent="0.3">
      <c r="A1109" s="211"/>
      <c r="B1109" s="106" t="s">
        <v>233</v>
      </c>
      <c r="C1109" s="249" t="s">
        <v>135</v>
      </c>
      <c r="D1109" s="1"/>
      <c r="E1109" s="1"/>
      <c r="F1109" s="1"/>
      <c r="G1109" s="1"/>
      <c r="H1109" s="7"/>
      <c r="I1109" s="234" t="s">
        <v>467</v>
      </c>
      <c r="J1109" s="161">
        <v>1.35E-2</v>
      </c>
      <c r="K1109" s="142">
        <f>'UPAH BAHAN'!$H$25</f>
        <v>150000</v>
      </c>
      <c r="L1109" s="100">
        <f>J1109*K1109</f>
        <v>2025</v>
      </c>
      <c r="M1109" s="148" t="s">
        <v>233</v>
      </c>
      <c r="N1109" s="101">
        <f>L1109+M1109</f>
        <v>2025</v>
      </c>
    </row>
    <row r="1110" spans="1:14" ht="13.95" customHeight="1" x14ac:dyDescent="0.3">
      <c r="A1110" s="211"/>
      <c r="B1110" s="106" t="s">
        <v>233</v>
      </c>
      <c r="C1110" s="1" t="s">
        <v>134</v>
      </c>
      <c r="D1110" s="1"/>
      <c r="E1110" s="1"/>
      <c r="F1110" s="1"/>
      <c r="G1110" s="1"/>
      <c r="H1110" s="7"/>
      <c r="I1110" s="234" t="s">
        <v>467</v>
      </c>
      <c r="J1110" s="161">
        <v>4.0000000000000001E-3</v>
      </c>
      <c r="K1110" s="142">
        <f>'UPAH BAHAN'!$H$24</f>
        <v>165000</v>
      </c>
      <c r="L1110" s="100">
        <f>J1110*K1110</f>
        <v>660</v>
      </c>
      <c r="M1110" s="148" t="s">
        <v>233</v>
      </c>
      <c r="N1110" s="101">
        <f>L1110+M1110</f>
        <v>660</v>
      </c>
    </row>
    <row r="1111" spans="1:14" ht="13.95" hidden="1" customHeight="1" x14ac:dyDescent="0.3">
      <c r="A1111" s="211"/>
      <c r="B1111" s="106" t="s">
        <v>233</v>
      </c>
      <c r="C1111" s="249" t="s">
        <v>501</v>
      </c>
      <c r="D1111" s="1"/>
      <c r="E1111" s="1"/>
      <c r="F1111" s="1"/>
      <c r="G1111" s="1"/>
      <c r="H1111" s="7"/>
      <c r="I1111" s="270" t="s">
        <v>500</v>
      </c>
      <c r="J1111" s="161">
        <v>1.2</v>
      </c>
      <c r="K1111" s="275"/>
      <c r="L1111" s="100"/>
      <c r="M1111" s="148"/>
      <c r="N1111" s="101"/>
    </row>
    <row r="1112" spans="1:14" ht="13.95" hidden="1" customHeight="1" x14ac:dyDescent="0.3">
      <c r="A1112" s="211"/>
      <c r="B1112" s="106" t="s">
        <v>233</v>
      </c>
      <c r="C1112" s="249" t="s">
        <v>502</v>
      </c>
      <c r="D1112" s="1"/>
      <c r="E1112" s="1"/>
      <c r="F1112" s="1"/>
      <c r="G1112" s="1"/>
      <c r="H1112" s="7"/>
      <c r="I1112" s="271" t="s">
        <v>250</v>
      </c>
      <c r="J1112" s="193">
        <f>J1111*35%</f>
        <v>0.42</v>
      </c>
      <c r="K1112" s="276"/>
      <c r="L1112" s="100"/>
      <c r="M1112" s="148"/>
      <c r="N1112" s="101"/>
    </row>
    <row r="1113" spans="1:14" ht="13.95" customHeight="1" x14ac:dyDescent="0.3">
      <c r="A1113" s="211"/>
      <c r="B1113" s="1"/>
      <c r="C1113" s="1"/>
      <c r="D1113" s="1"/>
      <c r="E1113" s="1"/>
      <c r="F1113" s="1"/>
      <c r="G1113" s="1"/>
      <c r="H1113" s="7"/>
      <c r="I1113" s="209"/>
      <c r="J1113" s="209"/>
      <c r="K1113" s="150" t="s">
        <v>386</v>
      </c>
      <c r="L1113" s="107">
        <f>SUM(L1107:L1110)</f>
        <v>29415</v>
      </c>
      <c r="M1113" s="170" t="s">
        <v>233</v>
      </c>
      <c r="N1113" s="109">
        <f>SUM(N1107:N1110)</f>
        <v>29415</v>
      </c>
    </row>
    <row r="1114" spans="1:14" ht="13.95" customHeight="1" x14ac:dyDescent="0.3">
      <c r="A1114" s="211"/>
      <c r="B1114" s="1"/>
      <c r="C1114" s="1"/>
      <c r="D1114" s="1"/>
      <c r="E1114" s="1"/>
      <c r="F1114" s="1"/>
      <c r="G1114" s="1"/>
      <c r="H1114" s="7"/>
      <c r="I1114" s="100"/>
      <c r="J1114" s="100"/>
      <c r="K1114" s="289" t="s">
        <v>512</v>
      </c>
      <c r="L1114" s="100"/>
      <c r="M1114" s="99"/>
      <c r="N1114" s="101">
        <f>N1113*15%</f>
        <v>4412.25</v>
      </c>
    </row>
    <row r="1115" spans="1:14" ht="13.95" customHeight="1" x14ac:dyDescent="0.3">
      <c r="A1115" s="211"/>
      <c r="B1115" s="1"/>
      <c r="C1115" s="1"/>
      <c r="D1115" s="1"/>
      <c r="E1115" s="1"/>
      <c r="F1115" s="1"/>
      <c r="G1115" s="1"/>
      <c r="H1115" s="7"/>
      <c r="I1115" s="100"/>
      <c r="J1115" s="100"/>
      <c r="K1115" s="154" t="s">
        <v>247</v>
      </c>
      <c r="L1115" s="100"/>
      <c r="M1115" s="148"/>
      <c r="N1115" s="101">
        <f>N1113+N1114</f>
        <v>33827.25</v>
      </c>
    </row>
    <row r="1116" spans="1:14" ht="13.95" customHeight="1" x14ac:dyDescent="0.3">
      <c r="A1116" s="128">
        <f>A1106+1</f>
        <v>17</v>
      </c>
      <c r="B1116" s="233" t="s">
        <v>508</v>
      </c>
      <c r="C1116" s="95"/>
      <c r="D1116" s="95"/>
      <c r="E1116" s="95"/>
      <c r="F1116" s="95"/>
      <c r="G1116" s="95"/>
      <c r="H1116" s="95"/>
      <c r="I1116" s="95"/>
      <c r="J1116" s="95"/>
      <c r="K1116" s="95"/>
      <c r="L1116" s="95"/>
      <c r="M1116" s="95"/>
      <c r="N1116" s="197"/>
    </row>
    <row r="1117" spans="1:14" ht="13.95" customHeight="1" x14ac:dyDescent="0.3">
      <c r="A1117" s="211"/>
      <c r="B1117" s="106" t="s">
        <v>233</v>
      </c>
      <c r="C1117" s="1" t="s">
        <v>133</v>
      </c>
      <c r="D1117" s="1"/>
      <c r="E1117" s="1"/>
      <c r="F1117" s="1"/>
      <c r="G1117" s="1"/>
      <c r="H1117" s="7"/>
      <c r="I1117" s="234" t="s">
        <v>467</v>
      </c>
      <c r="J1117" s="161">
        <v>0.13500000000000001</v>
      </c>
      <c r="K1117" s="142">
        <f>'UPAH BAHAN'!$H$23</f>
        <v>135000</v>
      </c>
      <c r="L1117" s="100">
        <f>J1117*K1117</f>
        <v>18225</v>
      </c>
      <c r="M1117" s="148" t="s">
        <v>233</v>
      </c>
      <c r="N1117" s="101">
        <f>L1117+M1117</f>
        <v>18225</v>
      </c>
    </row>
    <row r="1118" spans="1:14" ht="13.95" customHeight="1" x14ac:dyDescent="0.3">
      <c r="A1118" s="211"/>
      <c r="B1118" s="106" t="s">
        <v>233</v>
      </c>
      <c r="C1118" s="1" t="s">
        <v>128</v>
      </c>
      <c r="D1118" s="1"/>
      <c r="E1118" s="1"/>
      <c r="F1118" s="1"/>
      <c r="G1118" s="1"/>
      <c r="H1118" s="7"/>
      <c r="I1118" s="234" t="s">
        <v>467</v>
      </c>
      <c r="J1118" s="161">
        <v>8.1000000000000003E-2</v>
      </c>
      <c r="K1118" s="142">
        <f>'UPAH BAHAN'!$H$19</f>
        <v>105000</v>
      </c>
      <c r="L1118" s="100">
        <f>J1118*K1118</f>
        <v>8505</v>
      </c>
      <c r="M1118" s="148" t="s">
        <v>233</v>
      </c>
      <c r="N1118" s="101">
        <f>L1118+M1118</f>
        <v>8505</v>
      </c>
    </row>
    <row r="1119" spans="1:14" ht="13.95" customHeight="1" x14ac:dyDescent="0.3">
      <c r="A1119" s="211"/>
      <c r="B1119" s="106" t="s">
        <v>233</v>
      </c>
      <c r="C1119" s="249" t="s">
        <v>135</v>
      </c>
      <c r="D1119" s="1"/>
      <c r="E1119" s="1"/>
      <c r="F1119" s="1"/>
      <c r="G1119" s="1"/>
      <c r="H1119" s="7"/>
      <c r="I1119" s="234" t="s">
        <v>467</v>
      </c>
      <c r="J1119" s="161">
        <v>1.35E-2</v>
      </c>
      <c r="K1119" s="142">
        <f>'UPAH BAHAN'!$H$25</f>
        <v>150000</v>
      </c>
      <c r="L1119" s="100">
        <f>J1119*K1119</f>
        <v>2025</v>
      </c>
      <c r="M1119" s="148" t="s">
        <v>233</v>
      </c>
      <c r="N1119" s="101">
        <f>L1119+M1119</f>
        <v>2025</v>
      </c>
    </row>
    <row r="1120" spans="1:14" ht="13.95" customHeight="1" x14ac:dyDescent="0.3">
      <c r="A1120" s="211"/>
      <c r="B1120" s="106" t="s">
        <v>233</v>
      </c>
      <c r="C1120" s="1" t="s">
        <v>134</v>
      </c>
      <c r="D1120" s="1"/>
      <c r="E1120" s="1"/>
      <c r="F1120" s="1"/>
      <c r="G1120" s="1"/>
      <c r="H1120" s="7"/>
      <c r="I1120" s="234" t="s">
        <v>467</v>
      </c>
      <c r="J1120" s="161">
        <v>4.0000000000000001E-3</v>
      </c>
      <c r="K1120" s="142">
        <f>'UPAH BAHAN'!$H$24</f>
        <v>165000</v>
      </c>
      <c r="L1120" s="100">
        <f>J1120*K1120</f>
        <v>660</v>
      </c>
      <c r="M1120" s="148" t="s">
        <v>233</v>
      </c>
      <c r="N1120" s="101">
        <f>L1120+M1120</f>
        <v>660</v>
      </c>
    </row>
    <row r="1121" spans="1:15" ht="13.95" hidden="1" customHeight="1" x14ac:dyDescent="0.3">
      <c r="A1121" s="211"/>
      <c r="B1121" s="106" t="s">
        <v>233</v>
      </c>
      <c r="C1121" s="249" t="s">
        <v>501</v>
      </c>
      <c r="D1121" s="1"/>
      <c r="E1121" s="1"/>
      <c r="F1121" s="1"/>
      <c r="G1121" s="1"/>
      <c r="H1121" s="7"/>
      <c r="I1121" s="270" t="s">
        <v>500</v>
      </c>
      <c r="J1121" s="161">
        <v>1.2</v>
      </c>
      <c r="K1121" s="275"/>
      <c r="L1121" s="100"/>
      <c r="M1121" s="148"/>
      <c r="N1121" s="101"/>
    </row>
    <row r="1122" spans="1:15" ht="13.95" hidden="1" customHeight="1" x14ac:dyDescent="0.3">
      <c r="A1122" s="211"/>
      <c r="B1122" s="106" t="s">
        <v>233</v>
      </c>
      <c r="C1122" s="249" t="s">
        <v>502</v>
      </c>
      <c r="D1122" s="1"/>
      <c r="E1122" s="1"/>
      <c r="F1122" s="1"/>
      <c r="G1122" s="1"/>
      <c r="H1122" s="7"/>
      <c r="I1122" s="271" t="s">
        <v>250</v>
      </c>
      <c r="J1122" s="193">
        <f>J1121*35%</f>
        <v>0.42</v>
      </c>
      <c r="K1122" s="276"/>
      <c r="L1122" s="100"/>
      <c r="M1122" s="148"/>
      <c r="N1122" s="101"/>
    </row>
    <row r="1123" spans="1:15" ht="13.95" customHeight="1" x14ac:dyDescent="0.3">
      <c r="A1123" s="211"/>
      <c r="B1123" s="1"/>
      <c r="C1123" s="1"/>
      <c r="D1123" s="1"/>
      <c r="E1123" s="1"/>
      <c r="F1123" s="1"/>
      <c r="G1123" s="1"/>
      <c r="H1123" s="7"/>
      <c r="I1123" s="209"/>
      <c r="J1123" s="209"/>
      <c r="K1123" s="150" t="s">
        <v>386</v>
      </c>
      <c r="L1123" s="107">
        <f>SUM(L1117:L1120)</f>
        <v>29415</v>
      </c>
      <c r="M1123" s="170" t="s">
        <v>233</v>
      </c>
      <c r="N1123" s="109">
        <f>SUM(N1117:N1120)</f>
        <v>29415</v>
      </c>
    </row>
    <row r="1124" spans="1:15" ht="13.95" customHeight="1" x14ac:dyDescent="0.3">
      <c r="A1124" s="211"/>
      <c r="B1124" s="1"/>
      <c r="C1124" s="1"/>
      <c r="D1124" s="1"/>
      <c r="E1124" s="1"/>
      <c r="F1124" s="1"/>
      <c r="G1124" s="1"/>
      <c r="H1124" s="7"/>
      <c r="I1124" s="100"/>
      <c r="J1124" s="100"/>
      <c r="K1124" s="289" t="s">
        <v>512</v>
      </c>
      <c r="L1124" s="100"/>
      <c r="M1124" s="99"/>
      <c r="N1124" s="101">
        <f>N1123*15%</f>
        <v>4412.25</v>
      </c>
    </row>
    <row r="1125" spans="1:15" ht="13.95" customHeight="1" x14ac:dyDescent="0.3">
      <c r="A1125" s="211"/>
      <c r="B1125" s="1"/>
      <c r="C1125" s="1"/>
      <c r="D1125" s="1"/>
      <c r="E1125" s="1"/>
      <c r="F1125" s="1"/>
      <c r="G1125" s="1"/>
      <c r="H1125" s="7"/>
      <c r="I1125" s="100"/>
      <c r="J1125" s="100"/>
      <c r="K1125" s="154" t="s">
        <v>247</v>
      </c>
      <c r="L1125" s="100"/>
      <c r="M1125" s="148"/>
      <c r="N1125" s="101">
        <f>N1123+N1124</f>
        <v>33827.25</v>
      </c>
    </row>
    <row r="1126" spans="1:15" ht="13.95" customHeight="1" x14ac:dyDescent="0.3">
      <c r="A1126" s="128">
        <f>A1116+1</f>
        <v>18</v>
      </c>
      <c r="B1126" s="233" t="s">
        <v>677</v>
      </c>
      <c r="C1126" s="95"/>
      <c r="D1126" s="95"/>
      <c r="E1126" s="95"/>
      <c r="F1126" s="95"/>
      <c r="G1126" s="95"/>
      <c r="H1126" s="95"/>
      <c r="I1126" s="95"/>
      <c r="J1126" s="95"/>
      <c r="K1126" s="95"/>
      <c r="L1126" s="95"/>
      <c r="M1126" s="95"/>
      <c r="N1126" s="197"/>
    </row>
    <row r="1127" spans="1:15" ht="13.95" customHeight="1" x14ac:dyDescent="0.3">
      <c r="A1127" s="211"/>
      <c r="B1127" s="106" t="s">
        <v>233</v>
      </c>
      <c r="C1127" s="1" t="s">
        <v>133</v>
      </c>
      <c r="D1127" s="1"/>
      <c r="E1127" s="1"/>
      <c r="F1127" s="1"/>
      <c r="G1127" s="1"/>
      <c r="H1127" s="7"/>
      <c r="I1127" s="234" t="s">
        <v>467</v>
      </c>
      <c r="J1127" s="161">
        <v>0.13500000000000001</v>
      </c>
      <c r="K1127" s="142">
        <f>'UPAH BAHAN'!$H$23</f>
        <v>135000</v>
      </c>
      <c r="L1127" s="100">
        <f>J1127*K1127</f>
        <v>18225</v>
      </c>
      <c r="M1127" s="148" t="s">
        <v>233</v>
      </c>
      <c r="N1127" s="101">
        <f>L1127+M1127</f>
        <v>18225</v>
      </c>
    </row>
    <row r="1128" spans="1:15" ht="13.95" customHeight="1" x14ac:dyDescent="0.3">
      <c r="A1128" s="211"/>
      <c r="B1128" s="106" t="s">
        <v>233</v>
      </c>
      <c r="C1128" s="1" t="s">
        <v>128</v>
      </c>
      <c r="D1128" s="1"/>
      <c r="E1128" s="1"/>
      <c r="F1128" s="1"/>
      <c r="G1128" s="1"/>
      <c r="H1128" s="7"/>
      <c r="I1128" s="234" t="s">
        <v>467</v>
      </c>
      <c r="J1128" s="161">
        <v>8.1000000000000003E-2</v>
      </c>
      <c r="K1128" s="142">
        <f>'UPAH BAHAN'!$H$19</f>
        <v>105000</v>
      </c>
      <c r="L1128" s="100">
        <f>J1128*K1128</f>
        <v>8505</v>
      </c>
      <c r="M1128" s="148" t="s">
        <v>233</v>
      </c>
      <c r="N1128" s="101">
        <f>L1128+M1128</f>
        <v>8505</v>
      </c>
    </row>
    <row r="1129" spans="1:15" ht="13.95" customHeight="1" x14ac:dyDescent="0.3">
      <c r="A1129" s="211"/>
      <c r="B1129" s="106" t="s">
        <v>233</v>
      </c>
      <c r="C1129" s="249" t="s">
        <v>135</v>
      </c>
      <c r="D1129" s="1"/>
      <c r="E1129" s="1"/>
      <c r="F1129" s="1"/>
      <c r="G1129" s="1"/>
      <c r="H1129" s="7"/>
      <c r="I1129" s="234" t="s">
        <v>467</v>
      </c>
      <c r="J1129" s="161">
        <v>1.35E-2</v>
      </c>
      <c r="K1129" s="142">
        <f>'UPAH BAHAN'!$H$25</f>
        <v>150000</v>
      </c>
      <c r="L1129" s="100">
        <f>J1129*K1129</f>
        <v>2025</v>
      </c>
      <c r="M1129" s="148" t="s">
        <v>233</v>
      </c>
      <c r="N1129" s="101">
        <f>L1129+M1129</f>
        <v>2025</v>
      </c>
    </row>
    <row r="1130" spans="1:15" ht="13.95" customHeight="1" x14ac:dyDescent="0.3">
      <c r="A1130" s="211"/>
      <c r="B1130" s="106" t="s">
        <v>233</v>
      </c>
      <c r="C1130" s="1" t="s">
        <v>134</v>
      </c>
      <c r="D1130" s="1"/>
      <c r="E1130" s="1"/>
      <c r="F1130" s="1"/>
      <c r="G1130" s="1"/>
      <c r="H1130" s="7"/>
      <c r="I1130" s="234" t="s">
        <v>467</v>
      </c>
      <c r="J1130" s="161">
        <v>4.0000000000000001E-3</v>
      </c>
      <c r="K1130" s="142">
        <f>'UPAH BAHAN'!$H$24</f>
        <v>165000</v>
      </c>
      <c r="L1130" s="100">
        <f>J1130*K1130</f>
        <v>660</v>
      </c>
      <c r="M1130" s="148" t="s">
        <v>233</v>
      </c>
      <c r="N1130" s="101">
        <f>L1130+M1130</f>
        <v>660</v>
      </c>
    </row>
    <row r="1131" spans="1:15" ht="13.95" hidden="1" customHeight="1" x14ac:dyDescent="0.3">
      <c r="A1131" s="211"/>
      <c r="B1131" s="106" t="s">
        <v>233</v>
      </c>
      <c r="C1131" s="249" t="s">
        <v>501</v>
      </c>
      <c r="D1131" s="1"/>
      <c r="E1131" s="1"/>
      <c r="F1131" s="1"/>
      <c r="G1131" s="1"/>
      <c r="H1131" s="7"/>
      <c r="I1131" s="270" t="s">
        <v>500</v>
      </c>
      <c r="J1131" s="161">
        <v>1.2</v>
      </c>
      <c r="K1131" s="275"/>
      <c r="L1131" s="100"/>
      <c r="M1131" s="148"/>
      <c r="N1131" s="101"/>
    </row>
    <row r="1132" spans="1:15" ht="13.95" hidden="1" customHeight="1" x14ac:dyDescent="0.3">
      <c r="A1132" s="211"/>
      <c r="B1132" s="106" t="s">
        <v>233</v>
      </c>
      <c r="C1132" s="249" t="s">
        <v>502</v>
      </c>
      <c r="D1132" s="1"/>
      <c r="E1132" s="1"/>
      <c r="F1132" s="1"/>
      <c r="G1132" s="1"/>
      <c r="H1132" s="7"/>
      <c r="I1132" s="271" t="s">
        <v>250</v>
      </c>
      <c r="J1132" s="193">
        <f>J1131*35%</f>
        <v>0.42</v>
      </c>
      <c r="K1132" s="276"/>
      <c r="L1132" s="100"/>
      <c r="M1132" s="148"/>
      <c r="N1132" s="101"/>
    </row>
    <row r="1133" spans="1:15" ht="13.95" customHeight="1" x14ac:dyDescent="0.3">
      <c r="A1133" s="211"/>
      <c r="B1133" s="1"/>
      <c r="C1133" s="1"/>
      <c r="D1133" s="1"/>
      <c r="E1133" s="1"/>
      <c r="F1133" s="1"/>
      <c r="G1133" s="1"/>
      <c r="H1133" s="7"/>
      <c r="I1133" s="209"/>
      <c r="J1133" s="209"/>
      <c r="K1133" s="150" t="s">
        <v>386</v>
      </c>
      <c r="L1133" s="107">
        <f>SUM(L1127:L1130)</f>
        <v>29415</v>
      </c>
      <c r="M1133" s="170" t="s">
        <v>233</v>
      </c>
      <c r="N1133" s="109">
        <f>SUM(N1127:N1130)</f>
        <v>29415</v>
      </c>
    </row>
    <row r="1134" spans="1:15" ht="13.2" customHeight="1" x14ac:dyDescent="0.3">
      <c r="A1134" s="211"/>
      <c r="B1134" s="1"/>
      <c r="C1134" s="1"/>
      <c r="D1134" s="1"/>
      <c r="E1134" s="1"/>
      <c r="F1134" s="1"/>
      <c r="G1134" s="1"/>
      <c r="H1134" s="7"/>
      <c r="I1134" s="100"/>
      <c r="J1134" s="100"/>
      <c r="K1134" s="289" t="s">
        <v>512</v>
      </c>
      <c r="L1134" s="100"/>
      <c r="M1134" s="99"/>
      <c r="N1134" s="101">
        <f>N1133*15%</f>
        <v>4412.25</v>
      </c>
    </row>
    <row r="1135" spans="1:15" ht="13.95" customHeight="1" x14ac:dyDescent="0.3">
      <c r="A1135" s="211"/>
      <c r="B1135" s="1"/>
      <c r="C1135" s="1"/>
      <c r="D1135" s="1"/>
      <c r="E1135" s="1"/>
      <c r="F1135" s="1"/>
      <c r="G1135" s="1"/>
      <c r="H1135" s="7"/>
      <c r="I1135" s="100"/>
      <c r="J1135" s="100"/>
      <c r="K1135" s="154" t="s">
        <v>247</v>
      </c>
      <c r="L1135" s="100"/>
      <c r="M1135" s="148"/>
      <c r="N1135" s="101">
        <f>N1133+N1134</f>
        <v>33827.25</v>
      </c>
    </row>
    <row r="1136" spans="1:15" s="238" customFormat="1" ht="13.95" customHeight="1" x14ac:dyDescent="0.3">
      <c r="A1136" s="272">
        <f>A1116+1</f>
        <v>18</v>
      </c>
      <c r="B1136" s="251" t="s">
        <v>672</v>
      </c>
      <c r="C1136" s="236"/>
      <c r="D1136" s="236"/>
      <c r="E1136" s="236"/>
      <c r="F1136" s="236"/>
      <c r="G1136" s="236"/>
      <c r="H1136" s="236"/>
      <c r="I1136" s="236"/>
      <c r="J1136" s="236"/>
      <c r="K1136" s="236"/>
      <c r="L1136" s="236"/>
      <c r="M1136" s="236"/>
      <c r="N1136" s="250"/>
      <c r="O1136" s="539"/>
    </row>
    <row r="1137" spans="1:15" ht="13.95" customHeight="1" x14ac:dyDescent="0.3">
      <c r="A1137" s="211"/>
      <c r="B1137" s="106" t="s">
        <v>233</v>
      </c>
      <c r="C1137" s="1" t="s">
        <v>133</v>
      </c>
      <c r="D1137" s="1"/>
      <c r="E1137" s="1"/>
      <c r="F1137" s="1"/>
      <c r="G1137" s="1"/>
      <c r="H1137" s="7"/>
      <c r="I1137" s="106" t="s">
        <v>237</v>
      </c>
      <c r="J1137" s="161">
        <v>0.496</v>
      </c>
      <c r="K1137" s="142">
        <f>'UPAH BAHAN'!$H$23</f>
        <v>135000</v>
      </c>
      <c r="L1137" s="100">
        <f>J1137*K1137</f>
        <v>66960</v>
      </c>
      <c r="M1137" s="148" t="s">
        <v>233</v>
      </c>
      <c r="N1137" s="101">
        <f>L1137+M1137</f>
        <v>66960</v>
      </c>
    </row>
    <row r="1138" spans="1:15" ht="13.95" customHeight="1" x14ac:dyDescent="0.3">
      <c r="A1138" s="211"/>
      <c r="B1138" s="106" t="s">
        <v>233</v>
      </c>
      <c r="C1138" s="1" t="s">
        <v>128</v>
      </c>
      <c r="D1138" s="1"/>
      <c r="E1138" s="1"/>
      <c r="F1138" s="1"/>
      <c r="G1138" s="1"/>
      <c r="H1138" s="7"/>
      <c r="I1138" s="106" t="s">
        <v>237</v>
      </c>
      <c r="J1138" s="161">
        <v>0.72</v>
      </c>
      <c r="K1138" s="142">
        <f>'UPAH BAHAN'!$H$19</f>
        <v>105000</v>
      </c>
      <c r="L1138" s="100">
        <f>J1138*K1138</f>
        <v>75600</v>
      </c>
      <c r="M1138" s="148" t="s">
        <v>233</v>
      </c>
      <c r="N1138" s="101">
        <f>L1138+M1138</f>
        <v>75600</v>
      </c>
    </row>
    <row r="1139" spans="1:15" ht="13.95" customHeight="1" x14ac:dyDescent="0.3">
      <c r="A1139" s="211"/>
      <c r="B1139" s="106" t="s">
        <v>233</v>
      </c>
      <c r="C1139" s="1" t="s">
        <v>134</v>
      </c>
      <c r="D1139" s="1"/>
      <c r="E1139" s="1"/>
      <c r="F1139" s="1"/>
      <c r="G1139" s="1"/>
      <c r="H1139" s="7"/>
      <c r="I1139" s="106" t="s">
        <v>237</v>
      </c>
      <c r="J1139" s="161">
        <v>0.112</v>
      </c>
      <c r="K1139" s="142">
        <f>'UPAH BAHAN'!$H$24</f>
        <v>165000</v>
      </c>
      <c r="L1139" s="100">
        <f>J1139*K1139</f>
        <v>18480</v>
      </c>
      <c r="M1139" s="148" t="s">
        <v>233</v>
      </c>
      <c r="N1139" s="101">
        <f>L1139+M1139</f>
        <v>18480</v>
      </c>
    </row>
    <row r="1140" spans="1:15" ht="13.95" customHeight="1" x14ac:dyDescent="0.3">
      <c r="A1140" s="211"/>
      <c r="B1140" s="1"/>
      <c r="C1140" s="1"/>
      <c r="D1140" s="1"/>
      <c r="E1140" s="1"/>
      <c r="F1140" s="1"/>
      <c r="G1140" s="1"/>
      <c r="H1140" s="7"/>
      <c r="I1140" s="209"/>
      <c r="J1140" s="209"/>
      <c r="K1140" s="150" t="s">
        <v>386</v>
      </c>
      <c r="L1140" s="107">
        <f>SUM(L1137:L1139)</f>
        <v>161040</v>
      </c>
      <c r="M1140" s="170" t="s">
        <v>233</v>
      </c>
      <c r="N1140" s="109">
        <f>SUM(N1137:N1139)</f>
        <v>161040</v>
      </c>
    </row>
    <row r="1141" spans="1:15" ht="13.95" customHeight="1" x14ac:dyDescent="0.3">
      <c r="A1141" s="211"/>
      <c r="B1141" s="1"/>
      <c r="C1141" s="1"/>
      <c r="D1141" s="1"/>
      <c r="E1141" s="1"/>
      <c r="F1141" s="1"/>
      <c r="G1141" s="1"/>
      <c r="H1141" s="7"/>
      <c r="I1141" s="1"/>
      <c r="J1141" s="1"/>
      <c r="K1141" s="185" t="s">
        <v>387</v>
      </c>
      <c r="L1141" s="100">
        <f>L1140/6</f>
        <v>26840</v>
      </c>
      <c r="M1141" s="148" t="s">
        <v>233</v>
      </c>
      <c r="N1141" s="101">
        <f>N1140/6</f>
        <v>26840</v>
      </c>
    </row>
    <row r="1142" spans="1:15" ht="13.95" customHeight="1" x14ac:dyDescent="0.3">
      <c r="A1142" s="211"/>
      <c r="B1142" s="1"/>
      <c r="C1142" s="1"/>
      <c r="D1142" s="1"/>
      <c r="E1142" s="1"/>
      <c r="F1142" s="1"/>
      <c r="G1142" s="1"/>
      <c r="H1142" s="7"/>
      <c r="I1142" s="72"/>
      <c r="J1142" s="72"/>
      <c r="K1142" s="154" t="str">
        <f>K1134</f>
        <v>Over head &amp; Profit 15 %</v>
      </c>
      <c r="L1142" s="100"/>
      <c r="M1142" s="99"/>
      <c r="N1142" s="101">
        <f>N1141*10%</f>
        <v>2684</v>
      </c>
    </row>
    <row r="1143" spans="1:15" ht="13.95" customHeight="1" x14ac:dyDescent="0.3">
      <c r="A1143" s="211"/>
      <c r="B1143" s="1"/>
      <c r="C1143" s="1"/>
      <c r="D1143" s="1"/>
      <c r="E1143" s="1"/>
      <c r="F1143" s="1"/>
      <c r="G1143" s="1"/>
      <c r="H1143" s="7"/>
      <c r="I1143" s="212"/>
      <c r="J1143" s="212"/>
      <c r="K1143" s="185" t="s">
        <v>247</v>
      </c>
      <c r="L1143" s="100"/>
      <c r="M1143" s="148"/>
      <c r="N1143" s="101">
        <f>N1141+N1142</f>
        <v>29524</v>
      </c>
    </row>
    <row r="1144" spans="1:15" s="238" customFormat="1" ht="13.95" customHeight="1" x14ac:dyDescent="0.3">
      <c r="A1144" s="272">
        <f>A1136+1</f>
        <v>19</v>
      </c>
      <c r="B1144" s="236" t="s">
        <v>388</v>
      </c>
      <c r="C1144" s="236"/>
      <c r="D1144" s="236"/>
      <c r="E1144" s="236"/>
      <c r="F1144" s="236"/>
      <c r="G1144" s="236"/>
      <c r="H1144" s="236"/>
      <c r="I1144" s="236"/>
      <c r="J1144" s="236"/>
      <c r="K1144" s="236"/>
      <c r="L1144" s="236"/>
      <c r="M1144" s="236"/>
      <c r="N1144" s="250"/>
      <c r="O1144" s="539"/>
    </row>
    <row r="1145" spans="1:15" ht="13.95" customHeight="1" x14ac:dyDescent="0.3">
      <c r="A1145" s="211"/>
      <c r="B1145" s="106" t="s">
        <v>233</v>
      </c>
      <c r="C1145" s="1" t="s">
        <v>133</v>
      </c>
      <c r="D1145" s="1"/>
      <c r="E1145" s="1"/>
      <c r="F1145" s="1"/>
      <c r="G1145" s="1"/>
      <c r="H1145" s="7"/>
      <c r="I1145" s="106" t="s">
        <v>237</v>
      </c>
      <c r="J1145" s="161">
        <v>0.372</v>
      </c>
      <c r="K1145" s="142">
        <f>'UPAH BAHAN'!$H$23</f>
        <v>135000</v>
      </c>
      <c r="L1145" s="100">
        <f>J1145*K1145</f>
        <v>50220</v>
      </c>
      <c r="M1145" s="148" t="s">
        <v>233</v>
      </c>
      <c r="N1145" s="101">
        <f>L1145+M1145</f>
        <v>50220</v>
      </c>
    </row>
    <row r="1146" spans="1:15" ht="13.95" customHeight="1" x14ac:dyDescent="0.3">
      <c r="A1146" s="211"/>
      <c r="B1146" s="106" t="s">
        <v>233</v>
      </c>
      <c r="C1146" s="1" t="s">
        <v>128</v>
      </c>
      <c r="D1146" s="1"/>
      <c r="E1146" s="1"/>
      <c r="F1146" s="1"/>
      <c r="G1146" s="1"/>
      <c r="H1146" s="7"/>
      <c r="I1146" s="106" t="s">
        <v>237</v>
      </c>
      <c r="J1146" s="161">
        <v>0.54</v>
      </c>
      <c r="K1146" s="142">
        <f>'UPAH BAHAN'!$H$19</f>
        <v>105000</v>
      </c>
      <c r="L1146" s="100">
        <f>J1146*K1146</f>
        <v>56700.000000000007</v>
      </c>
      <c r="M1146" s="148" t="s">
        <v>233</v>
      </c>
      <c r="N1146" s="101">
        <f>L1146+M1146</f>
        <v>56700.000000000007</v>
      </c>
    </row>
    <row r="1147" spans="1:15" ht="13.95" customHeight="1" x14ac:dyDescent="0.3">
      <c r="A1147" s="211"/>
      <c r="B1147" s="106" t="s">
        <v>233</v>
      </c>
      <c r="C1147" s="1" t="s">
        <v>134</v>
      </c>
      <c r="D1147" s="1"/>
      <c r="E1147" s="1"/>
      <c r="F1147" s="1"/>
      <c r="G1147" s="1"/>
      <c r="H1147" s="7"/>
      <c r="I1147" s="106" t="s">
        <v>237</v>
      </c>
      <c r="J1147" s="161">
        <v>0.09</v>
      </c>
      <c r="K1147" s="142">
        <f>'UPAH BAHAN'!$H$24</f>
        <v>165000</v>
      </c>
      <c r="L1147" s="100">
        <f>J1147*K1147</f>
        <v>14850</v>
      </c>
      <c r="M1147" s="148" t="s">
        <v>233</v>
      </c>
      <c r="N1147" s="101">
        <f>L1147+M1147</f>
        <v>14850</v>
      </c>
    </row>
    <row r="1148" spans="1:15" ht="13.95" customHeight="1" x14ac:dyDescent="0.3">
      <c r="A1148" s="211"/>
      <c r="B1148" s="1"/>
      <c r="C1148" s="1"/>
      <c r="D1148" s="1"/>
      <c r="E1148" s="1"/>
      <c r="F1148" s="1"/>
      <c r="G1148" s="1"/>
      <c r="H1148" s="7"/>
      <c r="I1148" s="209"/>
      <c r="J1148" s="209"/>
      <c r="K1148" s="150" t="s">
        <v>386</v>
      </c>
      <c r="L1148" s="107">
        <f>SUM(L1145:L1147)</f>
        <v>121770</v>
      </c>
      <c r="M1148" s="170" t="s">
        <v>233</v>
      </c>
      <c r="N1148" s="109">
        <f>SUM(N1145:N1147)</f>
        <v>121770</v>
      </c>
    </row>
    <row r="1149" spans="1:15" ht="13.95" customHeight="1" x14ac:dyDescent="0.3">
      <c r="A1149" s="211"/>
      <c r="B1149" s="1"/>
      <c r="C1149" s="1"/>
      <c r="D1149" s="1"/>
      <c r="E1149" s="1"/>
      <c r="F1149" s="1"/>
      <c r="G1149" s="1"/>
      <c r="H1149" s="7"/>
      <c r="I1149" s="1"/>
      <c r="J1149" s="1"/>
      <c r="K1149" s="185" t="s">
        <v>387</v>
      </c>
      <c r="L1149" s="100">
        <f>L1148/6</f>
        <v>20295</v>
      </c>
      <c r="M1149" s="148" t="s">
        <v>233</v>
      </c>
      <c r="N1149" s="101">
        <f>N1148/6</f>
        <v>20295</v>
      </c>
    </row>
    <row r="1150" spans="1:15" ht="13.95" customHeight="1" x14ac:dyDescent="0.3">
      <c r="A1150" s="211"/>
      <c r="B1150" s="1"/>
      <c r="C1150" s="1"/>
      <c r="D1150" s="1"/>
      <c r="E1150" s="1"/>
      <c r="F1150" s="1"/>
      <c r="G1150" s="1"/>
      <c r="H1150" s="7"/>
      <c r="I1150" s="72"/>
      <c r="J1150" s="72"/>
      <c r="K1150" s="154" t="str">
        <f>K1142</f>
        <v>Over head &amp; Profit 15 %</v>
      </c>
      <c r="L1150" s="100"/>
      <c r="M1150" s="99"/>
      <c r="N1150" s="101">
        <f>N1149*10%</f>
        <v>2029.5</v>
      </c>
    </row>
    <row r="1151" spans="1:15" ht="13.95" customHeight="1" x14ac:dyDescent="0.3">
      <c r="A1151" s="211"/>
      <c r="B1151" s="1"/>
      <c r="C1151" s="1"/>
      <c r="D1151" s="1"/>
      <c r="E1151" s="1"/>
      <c r="F1151" s="1"/>
      <c r="G1151" s="1"/>
      <c r="H1151" s="7"/>
      <c r="I1151" s="212"/>
      <c r="J1151" s="212"/>
      <c r="K1151" s="185" t="s">
        <v>247</v>
      </c>
      <c r="L1151" s="100"/>
      <c r="M1151" s="148"/>
      <c r="N1151" s="101">
        <f>N1149+N1150</f>
        <v>22324.5</v>
      </c>
    </row>
    <row r="1152" spans="1:15" s="238" customFormat="1" ht="13.95" customHeight="1" x14ac:dyDescent="0.3">
      <c r="A1152" s="247">
        <f>A1144+1</f>
        <v>20</v>
      </c>
      <c r="B1152" s="236" t="s">
        <v>389</v>
      </c>
      <c r="C1152" s="236"/>
      <c r="D1152" s="236"/>
      <c r="E1152" s="236"/>
      <c r="F1152" s="236"/>
      <c r="G1152" s="236"/>
      <c r="H1152" s="236"/>
      <c r="I1152" s="236"/>
      <c r="J1152" s="236"/>
      <c r="K1152" s="236"/>
      <c r="L1152" s="236"/>
      <c r="M1152" s="236"/>
      <c r="N1152" s="250"/>
      <c r="O1152" s="539"/>
    </row>
    <row r="1153" spans="1:15" ht="13.95" customHeight="1" x14ac:dyDescent="0.3">
      <c r="A1153" s="184"/>
      <c r="B1153" s="106" t="s">
        <v>233</v>
      </c>
      <c r="C1153" s="1" t="s">
        <v>133</v>
      </c>
      <c r="D1153" s="1"/>
      <c r="E1153" s="1"/>
      <c r="F1153" s="1"/>
      <c r="G1153" s="1"/>
      <c r="H1153" s="7"/>
      <c r="I1153" s="106" t="s">
        <v>237</v>
      </c>
      <c r="J1153" s="161">
        <v>0.248</v>
      </c>
      <c r="K1153" s="142">
        <f>'UPAH BAHAN'!$H$23</f>
        <v>135000</v>
      </c>
      <c r="L1153" s="100">
        <f>J1153*K1153</f>
        <v>33480</v>
      </c>
      <c r="M1153" s="148" t="s">
        <v>233</v>
      </c>
      <c r="N1153" s="101">
        <f>L1153+M1153</f>
        <v>33480</v>
      </c>
    </row>
    <row r="1154" spans="1:15" ht="13.95" customHeight="1" x14ac:dyDescent="0.3">
      <c r="A1154" s="184"/>
      <c r="B1154" s="106" t="s">
        <v>233</v>
      </c>
      <c r="C1154" s="1" t="s">
        <v>128</v>
      </c>
      <c r="D1154" s="1"/>
      <c r="E1154" s="1"/>
      <c r="F1154" s="1"/>
      <c r="G1154" s="1"/>
      <c r="H1154" s="7"/>
      <c r="I1154" s="106" t="s">
        <v>237</v>
      </c>
      <c r="J1154" s="161">
        <v>0.36</v>
      </c>
      <c r="K1154" s="142">
        <f>'UPAH BAHAN'!$H$19</f>
        <v>105000</v>
      </c>
      <c r="L1154" s="100">
        <f>J1154*K1154</f>
        <v>37800</v>
      </c>
      <c r="M1154" s="148" t="s">
        <v>233</v>
      </c>
      <c r="N1154" s="101">
        <f>L1154+M1154</f>
        <v>37800</v>
      </c>
    </row>
    <row r="1155" spans="1:15" ht="13.95" customHeight="1" x14ac:dyDescent="0.3">
      <c r="A1155" s="184"/>
      <c r="B1155" s="106" t="s">
        <v>233</v>
      </c>
      <c r="C1155" s="1" t="s">
        <v>134</v>
      </c>
      <c r="D1155" s="1"/>
      <c r="E1155" s="1"/>
      <c r="F1155" s="1"/>
      <c r="G1155" s="1"/>
      <c r="H1155" s="7"/>
      <c r="I1155" s="106" t="s">
        <v>237</v>
      </c>
      <c r="J1155" s="161">
        <v>6.8000000000000005E-2</v>
      </c>
      <c r="K1155" s="142">
        <f>'UPAH BAHAN'!$H$24</f>
        <v>165000</v>
      </c>
      <c r="L1155" s="100">
        <f>J1155*K1155</f>
        <v>11220</v>
      </c>
      <c r="M1155" s="148" t="s">
        <v>233</v>
      </c>
      <c r="N1155" s="101">
        <f>L1155+M1155</f>
        <v>11220</v>
      </c>
    </row>
    <row r="1156" spans="1:15" ht="13.95" customHeight="1" x14ac:dyDescent="0.3">
      <c r="A1156" s="184"/>
      <c r="B1156" s="1"/>
      <c r="C1156" s="1"/>
      <c r="D1156" s="1"/>
      <c r="E1156" s="1"/>
      <c r="F1156" s="1"/>
      <c r="G1156" s="1"/>
      <c r="H1156" s="7"/>
      <c r="I1156" s="209"/>
      <c r="J1156" s="209"/>
      <c r="K1156" s="150" t="s">
        <v>386</v>
      </c>
      <c r="L1156" s="107">
        <f>SUM(L1153:L1155)</f>
        <v>82500</v>
      </c>
      <c r="M1156" s="170" t="s">
        <v>233</v>
      </c>
      <c r="N1156" s="109">
        <f>SUM(N1153:N1155)</f>
        <v>82500</v>
      </c>
    </row>
    <row r="1157" spans="1:15" ht="13.95" customHeight="1" x14ac:dyDescent="0.3">
      <c r="A1157" s="184"/>
      <c r="B1157" s="1"/>
      <c r="C1157" s="1"/>
      <c r="D1157" s="1"/>
      <c r="E1157" s="1"/>
      <c r="F1157" s="1"/>
      <c r="G1157" s="1"/>
      <c r="H1157" s="7"/>
      <c r="I1157" s="1"/>
      <c r="J1157" s="1"/>
      <c r="K1157" s="185" t="s">
        <v>387</v>
      </c>
      <c r="L1157" s="100">
        <f>L1156/6</f>
        <v>13750</v>
      </c>
      <c r="M1157" s="148" t="s">
        <v>233</v>
      </c>
      <c r="N1157" s="101">
        <f>N1156/6</f>
        <v>13750</v>
      </c>
    </row>
    <row r="1158" spans="1:15" ht="13.95" customHeight="1" x14ac:dyDescent="0.3">
      <c r="A1158" s="184"/>
      <c r="B1158" s="1"/>
      <c r="C1158" s="1"/>
      <c r="D1158" s="1"/>
      <c r="E1158" s="1"/>
      <c r="F1158" s="1"/>
      <c r="G1158" s="1"/>
      <c r="H1158" s="7"/>
      <c r="I1158" s="72"/>
      <c r="J1158" s="72"/>
      <c r="K1158" s="154" t="str">
        <f>K1150</f>
        <v>Over head &amp; Profit 15 %</v>
      </c>
      <c r="L1158" s="100"/>
      <c r="M1158" s="99"/>
      <c r="N1158" s="101">
        <f>N1157*10%</f>
        <v>1375</v>
      </c>
    </row>
    <row r="1159" spans="1:15" ht="13.95" customHeight="1" x14ac:dyDescent="0.3">
      <c r="A1159" s="184"/>
      <c r="B1159" s="1"/>
      <c r="C1159" s="1"/>
      <c r="D1159" s="1"/>
      <c r="E1159" s="1"/>
      <c r="F1159" s="1"/>
      <c r="G1159" s="1"/>
      <c r="H1159" s="7"/>
      <c r="I1159" s="212"/>
      <c r="J1159" s="212"/>
      <c r="K1159" s="185" t="s">
        <v>247</v>
      </c>
      <c r="L1159" s="100"/>
      <c r="M1159" s="148"/>
      <c r="N1159" s="101">
        <f>N1157+N1158</f>
        <v>15125</v>
      </c>
    </row>
    <row r="1160" spans="1:15" s="238" customFormat="1" ht="13.95" customHeight="1" x14ac:dyDescent="0.3">
      <c r="A1160" s="247">
        <f>A1152+1</f>
        <v>21</v>
      </c>
      <c r="B1160" s="236" t="s">
        <v>390</v>
      </c>
      <c r="C1160" s="236"/>
      <c r="D1160" s="236"/>
      <c r="E1160" s="236"/>
      <c r="F1160" s="236"/>
      <c r="G1160" s="236"/>
      <c r="H1160" s="236"/>
      <c r="I1160" s="236"/>
      <c r="J1160" s="236"/>
      <c r="K1160" s="236"/>
      <c r="L1160" s="236"/>
      <c r="M1160" s="236"/>
      <c r="N1160" s="250"/>
      <c r="O1160" s="539"/>
    </row>
    <row r="1161" spans="1:15" ht="13.95" customHeight="1" x14ac:dyDescent="0.3">
      <c r="A1161" s="184"/>
      <c r="B1161" s="106" t="s">
        <v>233</v>
      </c>
      <c r="C1161" s="1" t="s">
        <v>133</v>
      </c>
      <c r="D1161" s="1"/>
      <c r="E1161" s="1"/>
      <c r="F1161" s="1"/>
      <c r="G1161" s="1"/>
      <c r="H1161" s="7"/>
      <c r="I1161" s="106" t="s">
        <v>237</v>
      </c>
      <c r="J1161" s="161">
        <v>0.23</v>
      </c>
      <c r="K1161" s="142">
        <f>'UPAH BAHAN'!$H$23</f>
        <v>135000</v>
      </c>
      <c r="L1161" s="100">
        <f>J1161*K1161</f>
        <v>31050</v>
      </c>
      <c r="M1161" s="148" t="s">
        <v>233</v>
      </c>
      <c r="N1161" s="101">
        <f>L1161+M1161</f>
        <v>31050</v>
      </c>
    </row>
    <row r="1162" spans="1:15" ht="13.95" customHeight="1" x14ac:dyDescent="0.3">
      <c r="A1162" s="184"/>
      <c r="B1162" s="106" t="s">
        <v>233</v>
      </c>
      <c r="C1162" s="1" t="s">
        <v>128</v>
      </c>
      <c r="D1162" s="1"/>
      <c r="E1162" s="1"/>
      <c r="F1162" s="1"/>
      <c r="G1162" s="1"/>
      <c r="H1162" s="7"/>
      <c r="I1162" s="106" t="s">
        <v>237</v>
      </c>
      <c r="J1162" s="161">
        <v>0.18</v>
      </c>
      <c r="K1162" s="142">
        <f>'UPAH BAHAN'!$H$19</f>
        <v>105000</v>
      </c>
      <c r="L1162" s="100">
        <f>J1162*K1162</f>
        <v>18900</v>
      </c>
      <c r="M1162" s="148" t="s">
        <v>233</v>
      </c>
      <c r="N1162" s="101">
        <f>L1162+M1162</f>
        <v>18900</v>
      </c>
    </row>
    <row r="1163" spans="1:15" ht="13.95" customHeight="1" x14ac:dyDescent="0.3">
      <c r="A1163" s="184"/>
      <c r="B1163" s="106" t="s">
        <v>233</v>
      </c>
      <c r="C1163" s="1" t="s">
        <v>134</v>
      </c>
      <c r="D1163" s="1"/>
      <c r="E1163" s="1"/>
      <c r="F1163" s="1"/>
      <c r="G1163" s="1"/>
      <c r="H1163" s="7"/>
      <c r="I1163" s="106" t="s">
        <v>237</v>
      </c>
      <c r="J1163" s="161">
        <v>4.4999999999999998E-2</v>
      </c>
      <c r="K1163" s="142">
        <f>'UPAH BAHAN'!$H$24</f>
        <v>165000</v>
      </c>
      <c r="L1163" s="100">
        <f>J1163*K1163</f>
        <v>7425</v>
      </c>
      <c r="M1163" s="148" t="s">
        <v>233</v>
      </c>
      <c r="N1163" s="101">
        <f>L1163+M1163</f>
        <v>7425</v>
      </c>
    </row>
    <row r="1164" spans="1:15" ht="13.95" customHeight="1" x14ac:dyDescent="0.3">
      <c r="A1164" s="184"/>
      <c r="B1164" s="1"/>
      <c r="C1164" s="1"/>
      <c r="D1164" s="1"/>
      <c r="E1164" s="1"/>
      <c r="F1164" s="1"/>
      <c r="G1164" s="1"/>
      <c r="H1164" s="7"/>
      <c r="I1164" s="209"/>
      <c r="J1164" s="209"/>
      <c r="K1164" s="150" t="s">
        <v>386</v>
      </c>
      <c r="L1164" s="107">
        <f>SUM(L1161:L1163)</f>
        <v>57375</v>
      </c>
      <c r="M1164" s="170" t="s">
        <v>233</v>
      </c>
      <c r="N1164" s="109">
        <f>SUM(N1161:N1163)</f>
        <v>57375</v>
      </c>
    </row>
    <row r="1165" spans="1:15" ht="13.95" customHeight="1" x14ac:dyDescent="0.3">
      <c r="A1165" s="184"/>
      <c r="B1165" s="1"/>
      <c r="C1165" s="1"/>
      <c r="D1165" s="1"/>
      <c r="E1165" s="1"/>
      <c r="F1165" s="1"/>
      <c r="G1165" s="1"/>
      <c r="H1165" s="7"/>
      <c r="I1165" s="1"/>
      <c r="J1165" s="1"/>
      <c r="K1165" s="185" t="s">
        <v>387</v>
      </c>
      <c r="L1165" s="100">
        <f>L1164/6</f>
        <v>9562.5</v>
      </c>
      <c r="M1165" s="148" t="s">
        <v>233</v>
      </c>
      <c r="N1165" s="101">
        <f>N1164/6</f>
        <v>9562.5</v>
      </c>
    </row>
    <row r="1166" spans="1:15" ht="13.95" customHeight="1" x14ac:dyDescent="0.3">
      <c r="A1166" s="184"/>
      <c r="B1166" s="1"/>
      <c r="C1166" s="1"/>
      <c r="D1166" s="1"/>
      <c r="E1166" s="1"/>
      <c r="F1166" s="1"/>
      <c r="G1166" s="1"/>
      <c r="H1166" s="7"/>
      <c r="I1166" s="72"/>
      <c r="J1166" s="72"/>
      <c r="K1166" s="154" t="str">
        <f>K1158</f>
        <v>Over head &amp; Profit 15 %</v>
      </c>
      <c r="L1166" s="100"/>
      <c r="M1166" s="99"/>
      <c r="N1166" s="101">
        <f>N1165*10%</f>
        <v>956.25</v>
      </c>
    </row>
    <row r="1167" spans="1:15" ht="13.95" customHeight="1" x14ac:dyDescent="0.3">
      <c r="A1167" s="184"/>
      <c r="B1167" s="1"/>
      <c r="C1167" s="1"/>
      <c r="D1167" s="1"/>
      <c r="E1167" s="1"/>
      <c r="F1167" s="1"/>
      <c r="G1167" s="1"/>
      <c r="H1167" s="7"/>
      <c r="I1167" s="212"/>
      <c r="J1167" s="212"/>
      <c r="K1167" s="185" t="s">
        <v>247</v>
      </c>
      <c r="L1167" s="100"/>
      <c r="M1167" s="148"/>
      <c r="N1167" s="101">
        <f>N1165+N1166</f>
        <v>10518.75</v>
      </c>
    </row>
    <row r="1168" spans="1:15" s="238" customFormat="1" ht="13.95" customHeight="1" x14ac:dyDescent="0.3">
      <c r="A1168" s="247">
        <f>A1160+1</f>
        <v>22</v>
      </c>
      <c r="B1168" s="236" t="s">
        <v>391</v>
      </c>
      <c r="C1168" s="236"/>
      <c r="D1168" s="236"/>
      <c r="E1168" s="236"/>
      <c r="F1168" s="236"/>
      <c r="G1168" s="236"/>
      <c r="H1168" s="236"/>
      <c r="I1168" s="236"/>
      <c r="J1168" s="236"/>
      <c r="K1168" s="236"/>
      <c r="L1168" s="236"/>
      <c r="M1168" s="236"/>
      <c r="N1168" s="250"/>
      <c r="O1168" s="539"/>
    </row>
    <row r="1169" spans="1:15" ht="13.95" customHeight="1" x14ac:dyDescent="0.3">
      <c r="A1169" s="184"/>
      <c r="B1169" s="106" t="s">
        <v>233</v>
      </c>
      <c r="C1169" s="1" t="s">
        <v>133</v>
      </c>
      <c r="D1169" s="1"/>
      <c r="E1169" s="1"/>
      <c r="F1169" s="1"/>
      <c r="G1169" s="1"/>
      <c r="H1169" s="7"/>
      <c r="I1169" s="106" t="s">
        <v>237</v>
      </c>
      <c r="J1169" s="161">
        <v>0.127</v>
      </c>
      <c r="K1169" s="142">
        <f>'UPAH BAHAN'!$H$23</f>
        <v>135000</v>
      </c>
      <c r="L1169" s="100">
        <f>J1169*K1169</f>
        <v>17145</v>
      </c>
      <c r="M1169" s="148" t="s">
        <v>233</v>
      </c>
      <c r="N1169" s="101">
        <f>L1169+M1169</f>
        <v>17145</v>
      </c>
    </row>
    <row r="1170" spans="1:15" ht="13.95" customHeight="1" x14ac:dyDescent="0.3">
      <c r="A1170" s="184"/>
      <c r="B1170" s="106" t="s">
        <v>233</v>
      </c>
      <c r="C1170" s="1" t="s">
        <v>128</v>
      </c>
      <c r="D1170" s="1"/>
      <c r="E1170" s="1"/>
      <c r="F1170" s="1"/>
      <c r="G1170" s="1"/>
      <c r="H1170" s="7"/>
      <c r="I1170" s="106" t="s">
        <v>237</v>
      </c>
      <c r="J1170" s="161">
        <v>0.18</v>
      </c>
      <c r="K1170" s="142">
        <f>'UPAH BAHAN'!$H$19</f>
        <v>105000</v>
      </c>
      <c r="L1170" s="100">
        <f>J1170*K1170</f>
        <v>18900</v>
      </c>
      <c r="M1170" s="148" t="s">
        <v>233</v>
      </c>
      <c r="N1170" s="101">
        <f>L1170+M1170</f>
        <v>18900</v>
      </c>
    </row>
    <row r="1171" spans="1:15" ht="13.95" customHeight="1" x14ac:dyDescent="0.3">
      <c r="A1171" s="184"/>
      <c r="B1171" s="106" t="s">
        <v>233</v>
      </c>
      <c r="C1171" s="1" t="s">
        <v>134</v>
      </c>
      <c r="D1171" s="1"/>
      <c r="E1171" s="1"/>
      <c r="F1171" s="1"/>
      <c r="G1171" s="1"/>
      <c r="H1171" s="7"/>
      <c r="I1171" s="106" t="s">
        <v>237</v>
      </c>
      <c r="J1171" s="161">
        <v>4.4999999999999998E-2</v>
      </c>
      <c r="K1171" s="142">
        <f>'UPAH BAHAN'!$H$24</f>
        <v>165000</v>
      </c>
      <c r="L1171" s="100">
        <f>J1171*K1171</f>
        <v>7425</v>
      </c>
      <c r="M1171" s="148" t="s">
        <v>233</v>
      </c>
      <c r="N1171" s="101">
        <f>L1171+M1171</f>
        <v>7425</v>
      </c>
    </row>
    <row r="1172" spans="1:15" ht="13.95" customHeight="1" x14ac:dyDescent="0.3">
      <c r="A1172" s="184"/>
      <c r="B1172" s="1"/>
      <c r="C1172" s="1"/>
      <c r="D1172" s="1"/>
      <c r="E1172" s="1"/>
      <c r="F1172" s="1"/>
      <c r="G1172" s="1"/>
      <c r="H1172" s="7"/>
      <c r="I1172" s="209"/>
      <c r="J1172" s="209"/>
      <c r="K1172" s="150" t="s">
        <v>386</v>
      </c>
      <c r="L1172" s="107">
        <f>SUM(L1169:L1171)</f>
        <v>43470</v>
      </c>
      <c r="M1172" s="170" t="s">
        <v>233</v>
      </c>
      <c r="N1172" s="109">
        <f>SUM(N1169:N1171)</f>
        <v>43470</v>
      </c>
    </row>
    <row r="1173" spans="1:15" ht="13.95" customHeight="1" x14ac:dyDescent="0.3">
      <c r="A1173" s="184"/>
      <c r="B1173" s="1"/>
      <c r="C1173" s="1"/>
      <c r="D1173" s="1"/>
      <c r="E1173" s="1"/>
      <c r="F1173" s="1"/>
      <c r="G1173" s="1"/>
      <c r="H1173" s="7"/>
      <c r="I1173" s="1"/>
      <c r="J1173" s="1"/>
      <c r="K1173" s="185" t="s">
        <v>387</v>
      </c>
      <c r="L1173" s="100">
        <f>L1172/6</f>
        <v>7245</v>
      </c>
      <c r="M1173" s="148" t="s">
        <v>233</v>
      </c>
      <c r="N1173" s="101">
        <f>N1172/6</f>
        <v>7245</v>
      </c>
    </row>
    <row r="1174" spans="1:15" ht="13.95" customHeight="1" x14ac:dyDescent="0.3">
      <c r="A1174" s="184"/>
      <c r="B1174" s="1"/>
      <c r="C1174" s="1"/>
      <c r="D1174" s="1"/>
      <c r="E1174" s="1"/>
      <c r="F1174" s="1"/>
      <c r="G1174" s="1"/>
      <c r="H1174" s="7"/>
      <c r="I1174" s="72"/>
      <c r="J1174" s="72"/>
      <c r="K1174" s="154" t="str">
        <f>K1166</f>
        <v>Over head &amp; Profit 15 %</v>
      </c>
      <c r="L1174" s="100"/>
      <c r="M1174" s="99"/>
      <c r="N1174" s="101">
        <f>N1173*10%</f>
        <v>724.5</v>
      </c>
    </row>
    <row r="1175" spans="1:15" ht="13.95" customHeight="1" x14ac:dyDescent="0.3">
      <c r="A1175" s="184"/>
      <c r="B1175" s="1"/>
      <c r="C1175" s="1"/>
      <c r="D1175" s="1"/>
      <c r="E1175" s="1"/>
      <c r="F1175" s="1"/>
      <c r="G1175" s="1"/>
      <c r="H1175" s="7"/>
      <c r="I1175" s="100"/>
      <c r="J1175" s="100"/>
      <c r="K1175" s="154" t="s">
        <v>247</v>
      </c>
      <c r="L1175" s="100"/>
      <c r="M1175" s="148"/>
      <c r="N1175" s="101">
        <f>N1173+N1174</f>
        <v>7969.5</v>
      </c>
    </row>
    <row r="1176" spans="1:15" ht="13.95" hidden="1" customHeight="1" x14ac:dyDescent="0.3">
      <c r="A1176" s="213"/>
      <c r="B1176" s="214"/>
      <c r="C1176" s="214"/>
      <c r="D1176" s="214"/>
      <c r="E1176" s="214"/>
      <c r="F1176" s="214"/>
      <c r="G1176" s="214"/>
      <c r="H1176" s="215"/>
      <c r="I1176" s="214"/>
      <c r="J1176" s="216"/>
      <c r="K1176" s="215"/>
      <c r="L1176" s="215"/>
      <c r="M1176" s="215"/>
      <c r="N1176" s="217"/>
    </row>
    <row r="1177" spans="1:15" s="238" customFormat="1" ht="13.95" hidden="1" customHeight="1" x14ac:dyDescent="0.3">
      <c r="A1177" s="247">
        <f>A1168+1</f>
        <v>23</v>
      </c>
      <c r="B1177" s="236" t="s">
        <v>392</v>
      </c>
      <c r="C1177" s="236"/>
      <c r="D1177" s="236"/>
      <c r="E1177" s="236"/>
      <c r="F1177" s="236"/>
      <c r="G1177" s="236"/>
      <c r="H1177" s="236"/>
      <c r="I1177" s="236"/>
      <c r="J1177" s="236"/>
      <c r="K1177" s="236"/>
      <c r="L1177" s="236"/>
      <c r="M1177" s="236"/>
      <c r="N1177" s="250"/>
      <c r="O1177" s="539"/>
    </row>
    <row r="1178" spans="1:15" ht="13.95" hidden="1" customHeight="1" x14ac:dyDescent="0.3">
      <c r="A1178" s="198"/>
      <c r="B1178" s="106" t="s">
        <v>233</v>
      </c>
      <c r="C1178" s="1" t="s">
        <v>16</v>
      </c>
      <c r="D1178" s="1"/>
      <c r="E1178" s="1"/>
      <c r="F1178" s="1"/>
      <c r="G1178" s="1"/>
      <c r="H1178" s="7"/>
      <c r="I1178" s="141" t="s">
        <v>148</v>
      </c>
      <c r="J1178" s="161">
        <v>1</v>
      </c>
      <c r="K1178" s="142">
        <f>$L$380</f>
        <v>16447.5</v>
      </c>
      <c r="L1178" s="100">
        <f>J1178*K1178</f>
        <v>16447.5</v>
      </c>
      <c r="M1178" s="148" t="s">
        <v>233</v>
      </c>
      <c r="N1178" s="101">
        <f>L1178+M1178</f>
        <v>16447.5</v>
      </c>
    </row>
    <row r="1179" spans="1:15" ht="13.95" hidden="1" customHeight="1" x14ac:dyDescent="0.3">
      <c r="A1179" s="198"/>
      <c r="B1179" s="106" t="s">
        <v>233</v>
      </c>
      <c r="C1179" s="1" t="s">
        <v>393</v>
      </c>
      <c r="D1179" s="1"/>
      <c r="E1179" s="1"/>
      <c r="F1179" s="1"/>
      <c r="G1179" s="1"/>
      <c r="H1179" s="7"/>
      <c r="I1179" s="141" t="s">
        <v>394</v>
      </c>
      <c r="J1179" s="161">
        <v>1</v>
      </c>
      <c r="K1179" s="142">
        <f>N1053</f>
        <v>238173.6</v>
      </c>
      <c r="L1179" s="100">
        <f>J1179*K1179</f>
        <v>238173.6</v>
      </c>
      <c r="M1179" s="148" t="s">
        <v>233</v>
      </c>
      <c r="N1179" s="101">
        <f>L1179+M1179</f>
        <v>238173.6</v>
      </c>
    </row>
    <row r="1180" spans="1:15" ht="13.95" hidden="1" customHeight="1" x14ac:dyDescent="0.3">
      <c r="A1180" s="198"/>
      <c r="B1180" s="106" t="s">
        <v>233</v>
      </c>
      <c r="C1180" s="1" t="s">
        <v>21</v>
      </c>
      <c r="D1180" s="1"/>
      <c r="E1180" s="1"/>
      <c r="F1180" s="1"/>
      <c r="G1180" s="1"/>
      <c r="H1180" s="7"/>
      <c r="I1180" s="141" t="s">
        <v>148</v>
      </c>
      <c r="J1180" s="161">
        <v>0.20300000000000001</v>
      </c>
      <c r="K1180" s="142">
        <f>$L$430</f>
        <v>24295</v>
      </c>
      <c r="L1180" s="100">
        <f>J1180*K1180</f>
        <v>4931.8850000000002</v>
      </c>
      <c r="M1180" s="148" t="s">
        <v>233</v>
      </c>
      <c r="N1180" s="101">
        <f>L1180+M1180</f>
        <v>4931.8850000000002</v>
      </c>
    </row>
    <row r="1181" spans="1:15" ht="13.95" hidden="1" customHeight="1" x14ac:dyDescent="0.3">
      <c r="A1181" s="198"/>
      <c r="B1181" s="106" t="s">
        <v>233</v>
      </c>
      <c r="C1181" s="1" t="s">
        <v>395</v>
      </c>
      <c r="D1181" s="1"/>
      <c r="E1181" s="1"/>
      <c r="F1181" s="1"/>
      <c r="G1181" s="1"/>
      <c r="H1181" s="7"/>
      <c r="I1181" s="141" t="s">
        <v>148</v>
      </c>
      <c r="J1181" s="161">
        <f>J1178-J1180</f>
        <v>0.79699999999999993</v>
      </c>
      <c r="K1181" s="142">
        <f>$L$437</f>
        <v>31375</v>
      </c>
      <c r="L1181" s="100">
        <f>J1181*K1181</f>
        <v>25005.874999999996</v>
      </c>
      <c r="M1181" s="148" t="s">
        <v>233</v>
      </c>
      <c r="N1181" s="101">
        <f>L1181+M1181</f>
        <v>25005.874999999996</v>
      </c>
    </row>
    <row r="1182" spans="1:15" ht="13.95" hidden="1" customHeight="1" x14ac:dyDescent="0.3">
      <c r="A1182" s="198"/>
      <c r="B1182" s="1"/>
      <c r="C1182" s="1"/>
      <c r="D1182" s="1"/>
      <c r="E1182" s="1"/>
      <c r="F1182" s="1"/>
      <c r="G1182" s="1"/>
      <c r="H1182" s="7"/>
      <c r="I1182" s="107" t="s">
        <v>245</v>
      </c>
      <c r="J1182" s="107"/>
      <c r="K1182" s="210"/>
      <c r="L1182" s="107">
        <f>SUM(L1178:L1181)</f>
        <v>284558.86</v>
      </c>
      <c r="M1182" s="170" t="s">
        <v>233</v>
      </c>
      <c r="N1182" s="109">
        <f>SUM(N1178:N1181)</f>
        <v>284558.86</v>
      </c>
    </row>
    <row r="1183" spans="1:15" ht="13.95" hidden="1" customHeight="1" x14ac:dyDescent="0.3">
      <c r="A1183" s="198"/>
      <c r="B1183" s="1"/>
      <c r="C1183" s="1"/>
      <c r="D1183" s="1"/>
      <c r="E1183" s="1"/>
      <c r="F1183" s="1"/>
      <c r="G1183" s="1"/>
      <c r="H1183" s="7"/>
      <c r="I1183" s="72"/>
      <c r="J1183" s="72"/>
      <c r="K1183" s="289" t="s">
        <v>512</v>
      </c>
      <c r="L1183" s="100"/>
      <c r="M1183" s="99"/>
      <c r="N1183" s="101">
        <f>N1182*15%</f>
        <v>42683.828999999998</v>
      </c>
    </row>
    <row r="1184" spans="1:15" ht="13.95" hidden="1" customHeight="1" x14ac:dyDescent="0.3">
      <c r="A1184" s="198"/>
      <c r="B1184" s="1"/>
      <c r="C1184" s="1"/>
      <c r="D1184" s="1"/>
      <c r="E1184" s="1"/>
      <c r="F1184" s="1"/>
      <c r="G1184" s="1"/>
      <c r="H1184" s="7"/>
      <c r="I1184" s="212"/>
      <c r="J1184" s="212"/>
      <c r="K1184" s="185" t="s">
        <v>247</v>
      </c>
      <c r="L1184" s="100"/>
      <c r="M1184" s="148"/>
      <c r="N1184" s="101">
        <f>N1182+N1183</f>
        <v>327242.68900000001</v>
      </c>
    </row>
    <row r="1185" spans="1:15" s="238" customFormat="1" ht="13.95" hidden="1" customHeight="1" x14ac:dyDescent="0.3">
      <c r="A1185" s="247">
        <f>A1177+1</f>
        <v>24</v>
      </c>
      <c r="B1185" s="236" t="s">
        <v>396</v>
      </c>
      <c r="C1185" s="236"/>
      <c r="D1185" s="236"/>
      <c r="E1185" s="236"/>
      <c r="F1185" s="236"/>
      <c r="G1185" s="236"/>
      <c r="H1185" s="236"/>
      <c r="I1185" s="236"/>
      <c r="J1185" s="236"/>
      <c r="K1185" s="236"/>
      <c r="L1185" s="236"/>
      <c r="M1185" s="236"/>
      <c r="N1185" s="250"/>
      <c r="O1185" s="539"/>
    </row>
    <row r="1186" spans="1:15" ht="13.95" hidden="1" customHeight="1" x14ac:dyDescent="0.3">
      <c r="A1186" s="198"/>
      <c r="B1186" s="106" t="s">
        <v>233</v>
      </c>
      <c r="C1186" s="1" t="s">
        <v>18</v>
      </c>
      <c r="D1186" s="1"/>
      <c r="E1186" s="1"/>
      <c r="F1186" s="1"/>
      <c r="G1186" s="1"/>
      <c r="H1186" s="7"/>
      <c r="I1186" s="141" t="s">
        <v>148</v>
      </c>
      <c r="J1186" s="161">
        <f>J1178</f>
        <v>1</v>
      </c>
      <c r="K1186" s="142">
        <f>$L$408</f>
        <v>65395</v>
      </c>
      <c r="L1186" s="100">
        <f>J1186*K1186</f>
        <v>65395</v>
      </c>
      <c r="M1186" s="148" t="s">
        <v>233</v>
      </c>
      <c r="N1186" s="101">
        <f>L1186+M1186</f>
        <v>65395</v>
      </c>
    </row>
    <row r="1187" spans="1:15" ht="13.95" hidden="1" customHeight="1" x14ac:dyDescent="0.3">
      <c r="A1187" s="198"/>
      <c r="B1187" s="106" t="s">
        <v>233</v>
      </c>
      <c r="C1187" s="1" t="s">
        <v>393</v>
      </c>
      <c r="D1187" s="1"/>
      <c r="E1187" s="1"/>
      <c r="F1187" s="1"/>
      <c r="G1187" s="1"/>
      <c r="H1187" s="7"/>
      <c r="I1187" s="141" t="s">
        <v>394</v>
      </c>
      <c r="J1187" s="161">
        <f>J1179</f>
        <v>1</v>
      </c>
      <c r="K1187" s="142">
        <f>K1179</f>
        <v>238173.6</v>
      </c>
      <c r="L1187" s="100">
        <f>J1187*K1187</f>
        <v>238173.6</v>
      </c>
      <c r="M1187" s="148" t="s">
        <v>233</v>
      </c>
      <c r="N1187" s="101">
        <f>L1187+M1187</f>
        <v>238173.6</v>
      </c>
    </row>
    <row r="1188" spans="1:15" ht="13.95" hidden="1" customHeight="1" x14ac:dyDescent="0.3">
      <c r="A1188" s="198"/>
      <c r="B1188" s="106" t="s">
        <v>233</v>
      </c>
      <c r="C1188" s="1" t="s">
        <v>21</v>
      </c>
      <c r="D1188" s="1"/>
      <c r="E1188" s="1"/>
      <c r="F1188" s="1"/>
      <c r="G1188" s="1"/>
      <c r="H1188" s="7"/>
      <c r="I1188" s="141" t="s">
        <v>148</v>
      </c>
      <c r="J1188" s="161">
        <f>J1180</f>
        <v>0.20300000000000001</v>
      </c>
      <c r="K1188" s="142">
        <f>$L$430</f>
        <v>24295</v>
      </c>
      <c r="L1188" s="100">
        <f>J1188*K1188</f>
        <v>4931.8850000000002</v>
      </c>
      <c r="M1188" s="148" t="s">
        <v>233</v>
      </c>
      <c r="N1188" s="101">
        <f>L1188+M1188</f>
        <v>4931.8850000000002</v>
      </c>
    </row>
    <row r="1189" spans="1:15" ht="13.95" hidden="1" customHeight="1" x14ac:dyDescent="0.3">
      <c r="A1189" s="198"/>
      <c r="B1189" s="106" t="s">
        <v>233</v>
      </c>
      <c r="C1189" s="1" t="s">
        <v>395</v>
      </c>
      <c r="D1189" s="1"/>
      <c r="E1189" s="1"/>
      <c r="F1189" s="1"/>
      <c r="G1189" s="1"/>
      <c r="H1189" s="7"/>
      <c r="I1189" s="141" t="s">
        <v>148</v>
      </c>
      <c r="J1189" s="161">
        <f>J1181</f>
        <v>0.79699999999999993</v>
      </c>
      <c r="K1189" s="142">
        <f>$L$437</f>
        <v>31375</v>
      </c>
      <c r="L1189" s="100">
        <f>J1189*K1189</f>
        <v>25005.874999999996</v>
      </c>
      <c r="M1189" s="148" t="s">
        <v>233</v>
      </c>
      <c r="N1189" s="101">
        <f>L1189+M1189</f>
        <v>25005.874999999996</v>
      </c>
    </row>
    <row r="1190" spans="1:15" ht="13.95" hidden="1" customHeight="1" x14ac:dyDescent="0.3">
      <c r="A1190" s="198"/>
      <c r="B1190" s="1"/>
      <c r="C1190" s="1"/>
      <c r="D1190" s="1"/>
      <c r="E1190" s="1"/>
      <c r="F1190" s="1"/>
      <c r="G1190" s="1"/>
      <c r="H1190" s="7"/>
      <c r="I1190" s="107" t="s">
        <v>245</v>
      </c>
      <c r="J1190" s="107"/>
      <c r="K1190" s="210"/>
      <c r="L1190" s="107">
        <f>SUM(L1186:L1189)</f>
        <v>333506.36</v>
      </c>
      <c r="M1190" s="170" t="s">
        <v>233</v>
      </c>
      <c r="N1190" s="109">
        <f>SUM(N1186:N1189)</f>
        <v>333506.36</v>
      </c>
    </row>
    <row r="1191" spans="1:15" ht="13.95" hidden="1" customHeight="1" x14ac:dyDescent="0.3">
      <c r="A1191" s="198"/>
      <c r="B1191" s="1"/>
      <c r="C1191" s="1"/>
      <c r="D1191" s="1"/>
      <c r="E1191" s="1"/>
      <c r="F1191" s="1"/>
      <c r="G1191" s="1"/>
      <c r="H1191" s="7"/>
      <c r="I1191" s="72"/>
      <c r="J1191" s="72"/>
      <c r="K1191" s="289" t="s">
        <v>512</v>
      </c>
      <c r="L1191" s="100"/>
      <c r="M1191" s="99"/>
      <c r="N1191" s="101">
        <f>N1190*15%</f>
        <v>50025.953999999998</v>
      </c>
    </row>
    <row r="1192" spans="1:15" ht="13.95" hidden="1" customHeight="1" x14ac:dyDescent="0.3">
      <c r="A1192" s="198"/>
      <c r="B1192" s="1"/>
      <c r="C1192" s="1"/>
      <c r="D1192" s="1"/>
      <c r="E1192" s="1"/>
      <c r="F1192" s="1"/>
      <c r="G1192" s="1"/>
      <c r="H1192" s="7"/>
      <c r="I1192" s="212"/>
      <c r="J1192" s="212"/>
      <c r="K1192" s="185" t="s">
        <v>247</v>
      </c>
      <c r="L1192" s="100"/>
      <c r="M1192" s="148"/>
      <c r="N1192" s="101">
        <f>N1190+N1191</f>
        <v>383532.31400000001</v>
      </c>
    </row>
    <row r="1193" spans="1:15" ht="13.95" hidden="1" customHeight="1" thickBot="1" x14ac:dyDescent="0.35">
      <c r="A1193" s="178"/>
      <c r="B1193" s="179"/>
      <c r="C1193" s="179"/>
      <c r="D1193" s="179"/>
      <c r="E1193" s="179"/>
      <c r="F1193" s="179"/>
      <c r="G1193" s="179"/>
      <c r="H1193" s="180"/>
      <c r="I1193" s="194"/>
      <c r="J1193" s="181"/>
      <c r="K1193" s="180"/>
      <c r="L1193" s="180"/>
      <c r="M1193" s="180"/>
      <c r="N1193" s="182"/>
    </row>
    <row r="1194" spans="1:15" ht="13.95" hidden="1" customHeight="1" x14ac:dyDescent="0.3">
      <c r="A1194" s="106"/>
      <c r="B1194" s="1"/>
      <c r="C1194" s="1"/>
      <c r="D1194" s="1"/>
      <c r="E1194" s="1"/>
      <c r="F1194" s="1"/>
      <c r="G1194" s="1"/>
      <c r="H1194" s="1"/>
      <c r="I1194" s="1"/>
      <c r="J1194" s="100"/>
      <c r="K1194" s="100"/>
      <c r="L1194" s="100"/>
      <c r="M1194" s="100"/>
      <c r="N1194" s="100"/>
    </row>
    <row r="1195" spans="1:15" ht="13.95" hidden="1" customHeight="1" thickBot="1" x14ac:dyDescent="0.35">
      <c r="A1195" s="122"/>
      <c r="B1195" s="122"/>
      <c r="C1195" s="122"/>
      <c r="D1195" s="122"/>
      <c r="E1195" s="122"/>
      <c r="F1195" s="122"/>
      <c r="G1195" s="122"/>
      <c r="H1195" s="122"/>
      <c r="I1195" s="122"/>
      <c r="J1195" s="122"/>
      <c r="K1195" s="122"/>
      <c r="L1195" s="122"/>
      <c r="M1195" s="122"/>
      <c r="N1195" s="123" t="s">
        <v>397</v>
      </c>
      <c r="O1195" s="538"/>
    </row>
    <row r="1196" spans="1:15" ht="13.95" hidden="1" customHeight="1" x14ac:dyDescent="0.3">
      <c r="A1196" s="1589" t="s">
        <v>9</v>
      </c>
      <c r="B1196" s="1592" t="s">
        <v>10</v>
      </c>
      <c r="C1196" s="1592"/>
      <c r="D1196" s="1592"/>
      <c r="E1196" s="1592"/>
      <c r="F1196" s="1592"/>
      <c r="G1196" s="1592"/>
      <c r="H1196" s="1593"/>
      <c r="I1196" s="1543" t="s">
        <v>210</v>
      </c>
      <c r="J1196" s="1543" t="s">
        <v>211</v>
      </c>
      <c r="K1196" s="73" t="s">
        <v>212</v>
      </c>
      <c r="L1196" s="1598" t="s">
        <v>12</v>
      </c>
      <c r="M1196" s="1599"/>
      <c r="N1196" s="1600"/>
      <c r="O1196" s="538"/>
    </row>
    <row r="1197" spans="1:15" ht="13.95" hidden="1" customHeight="1" x14ac:dyDescent="0.3">
      <c r="A1197" s="1590"/>
      <c r="B1197" s="1594"/>
      <c r="C1197" s="1594"/>
      <c r="D1197" s="1594"/>
      <c r="E1197" s="1594"/>
      <c r="F1197" s="1594"/>
      <c r="G1197" s="1594"/>
      <c r="H1197" s="1595"/>
      <c r="I1197" s="1544"/>
      <c r="J1197" s="1544"/>
      <c r="K1197" s="75" t="s">
        <v>11</v>
      </c>
      <c r="L1197" s="75" t="s">
        <v>217</v>
      </c>
      <c r="M1197" s="75" t="s">
        <v>218</v>
      </c>
      <c r="N1197" s="76" t="s">
        <v>219</v>
      </c>
      <c r="O1197" s="538"/>
    </row>
    <row r="1198" spans="1:15" ht="13.95" hidden="1" customHeight="1" x14ac:dyDescent="0.3">
      <c r="A1198" s="1591"/>
      <c r="B1198" s="1596"/>
      <c r="C1198" s="1596"/>
      <c r="D1198" s="1596"/>
      <c r="E1198" s="1596"/>
      <c r="F1198" s="1596"/>
      <c r="G1198" s="1596"/>
      <c r="H1198" s="1597"/>
      <c r="I1198" s="1545"/>
      <c r="J1198" s="1545"/>
      <c r="K1198" s="81" t="s">
        <v>228</v>
      </c>
      <c r="L1198" s="81" t="s">
        <v>228</v>
      </c>
      <c r="M1198" s="81" t="s">
        <v>228</v>
      </c>
      <c r="N1198" s="82" t="s">
        <v>228</v>
      </c>
      <c r="O1198" s="538"/>
    </row>
    <row r="1199" spans="1:15" ht="13.95" hidden="1" customHeight="1" x14ac:dyDescent="0.3">
      <c r="A1199" s="86"/>
      <c r="B1199" s="12"/>
      <c r="C1199" s="12"/>
      <c r="D1199" s="12"/>
      <c r="E1199" s="12"/>
      <c r="F1199" s="12"/>
      <c r="G1199" s="12"/>
      <c r="H1199" s="75"/>
      <c r="I1199" s="12"/>
      <c r="J1199" s="87"/>
      <c r="K1199" s="75"/>
      <c r="L1199" s="75"/>
      <c r="M1199" s="75"/>
      <c r="N1199" s="88"/>
      <c r="O1199" s="538"/>
    </row>
    <row r="1200" spans="1:15" ht="13.95" hidden="1" customHeight="1" x14ac:dyDescent="0.3">
      <c r="A1200" s="183">
        <f>A1185+1</f>
        <v>25</v>
      </c>
      <c r="B1200" s="95" t="s">
        <v>398</v>
      </c>
      <c r="C1200" s="95"/>
      <c r="D1200" s="95"/>
      <c r="E1200" s="95"/>
      <c r="F1200" s="95"/>
      <c r="G1200" s="95"/>
      <c r="H1200" s="95"/>
      <c r="I1200" s="95"/>
      <c r="J1200" s="95"/>
      <c r="K1200" s="95"/>
      <c r="L1200" s="95"/>
      <c r="M1200" s="95"/>
      <c r="N1200" s="197"/>
      <c r="O1200" s="538"/>
    </row>
    <row r="1201" spans="1:15" ht="13.95" hidden="1" customHeight="1" x14ac:dyDescent="0.3">
      <c r="A1201" s="198"/>
      <c r="B1201" s="106" t="s">
        <v>233</v>
      </c>
      <c r="C1201" s="1" t="s">
        <v>16</v>
      </c>
      <c r="D1201" s="1"/>
      <c r="E1201" s="1"/>
      <c r="F1201" s="1"/>
      <c r="G1201" s="1"/>
      <c r="H1201" s="7"/>
      <c r="I1201" s="141" t="s">
        <v>148</v>
      </c>
      <c r="J1201" s="161">
        <v>0.24</v>
      </c>
      <c r="K1201" s="142">
        <f>$L$380</f>
        <v>16447.5</v>
      </c>
      <c r="L1201" s="100">
        <f>J1201*K1201</f>
        <v>3947.3999999999996</v>
      </c>
      <c r="M1201" s="148" t="s">
        <v>233</v>
      </c>
      <c r="N1201" s="101">
        <f>L1201+M1201</f>
        <v>3947.3999999999996</v>
      </c>
      <c r="O1201" s="538">
        <f>0.4*0.6*1</f>
        <v>0.24</v>
      </c>
    </row>
    <row r="1202" spans="1:15" ht="13.95" hidden="1" customHeight="1" x14ac:dyDescent="0.3">
      <c r="A1202" s="198"/>
      <c r="B1202" s="106" t="s">
        <v>233</v>
      </c>
      <c r="C1202" s="1" t="s">
        <v>393</v>
      </c>
      <c r="D1202" s="1"/>
      <c r="E1202" s="1"/>
      <c r="F1202" s="1"/>
      <c r="G1202" s="1"/>
      <c r="H1202" s="7"/>
      <c r="I1202" s="141" t="s">
        <v>394</v>
      </c>
      <c r="J1202" s="161">
        <v>1</v>
      </c>
      <c r="K1202" s="142">
        <f>N1133</f>
        <v>29415</v>
      </c>
      <c r="L1202" s="100">
        <f>J1202*K1202</f>
        <v>29415</v>
      </c>
      <c r="M1202" s="148" t="s">
        <v>233</v>
      </c>
      <c r="N1202" s="101">
        <f>L1202+M1202</f>
        <v>29415</v>
      </c>
      <c r="O1202" s="538"/>
    </row>
    <row r="1203" spans="1:15" ht="13.95" hidden="1" customHeight="1" x14ac:dyDescent="0.3">
      <c r="A1203" s="198"/>
      <c r="B1203" s="106" t="s">
        <v>233</v>
      </c>
      <c r="C1203" s="1" t="s">
        <v>21</v>
      </c>
      <c r="D1203" s="1"/>
      <c r="E1203" s="1"/>
      <c r="F1203" s="1"/>
      <c r="G1203" s="1"/>
      <c r="H1203" s="7"/>
      <c r="I1203" s="141" t="s">
        <v>148</v>
      </c>
      <c r="J1203" s="161">
        <f>J1201*0.9</f>
        <v>0.216</v>
      </c>
      <c r="K1203" s="142">
        <f>$L$430</f>
        <v>24295</v>
      </c>
      <c r="L1203" s="100">
        <f>J1203*K1203</f>
        <v>5247.72</v>
      </c>
      <c r="M1203" s="148" t="s">
        <v>233</v>
      </c>
      <c r="N1203" s="101">
        <f>L1203+M1203</f>
        <v>5247.72</v>
      </c>
      <c r="O1203" s="538"/>
    </row>
    <row r="1204" spans="1:15" ht="13.95" hidden="1" customHeight="1" x14ac:dyDescent="0.3">
      <c r="A1204" s="198"/>
      <c r="B1204" s="106" t="s">
        <v>233</v>
      </c>
      <c r="C1204" s="1" t="s">
        <v>395</v>
      </c>
      <c r="D1204" s="1"/>
      <c r="E1204" s="1"/>
      <c r="F1204" s="1"/>
      <c r="G1204" s="1"/>
      <c r="H1204" s="7"/>
      <c r="I1204" s="141" t="s">
        <v>148</v>
      </c>
      <c r="J1204" s="161">
        <f>J1201-J1203</f>
        <v>2.3999999999999994E-2</v>
      </c>
      <c r="K1204" s="142">
        <f>$L$437</f>
        <v>31375</v>
      </c>
      <c r="L1204" s="100">
        <f>J1204*K1204</f>
        <v>752.99999999999977</v>
      </c>
      <c r="M1204" s="148" t="s">
        <v>233</v>
      </c>
      <c r="N1204" s="101">
        <f>L1204+M1204</f>
        <v>752.99999999999977</v>
      </c>
      <c r="O1204" s="538"/>
    </row>
    <row r="1205" spans="1:15" ht="13.95" hidden="1" customHeight="1" x14ac:dyDescent="0.3">
      <c r="A1205" s="198"/>
      <c r="B1205" s="1"/>
      <c r="C1205" s="1"/>
      <c r="D1205" s="1"/>
      <c r="E1205" s="1"/>
      <c r="F1205" s="1"/>
      <c r="G1205" s="1"/>
      <c r="H1205" s="7"/>
      <c r="I1205" s="107" t="s">
        <v>245</v>
      </c>
      <c r="J1205" s="107"/>
      <c r="K1205" s="210"/>
      <c r="L1205" s="107">
        <f>SUM(L1201:L1204)</f>
        <v>39363.120000000003</v>
      </c>
      <c r="M1205" s="170" t="s">
        <v>233</v>
      </c>
      <c r="N1205" s="109">
        <f>SUM(N1201:N1204)</f>
        <v>39363.120000000003</v>
      </c>
      <c r="O1205" s="538"/>
    </row>
    <row r="1206" spans="1:15" ht="13.95" hidden="1" customHeight="1" x14ac:dyDescent="0.3">
      <c r="A1206" s="198"/>
      <c r="B1206" s="1"/>
      <c r="C1206" s="1"/>
      <c r="D1206" s="1"/>
      <c r="E1206" s="1"/>
      <c r="F1206" s="1"/>
      <c r="G1206" s="1"/>
      <c r="H1206" s="7"/>
      <c r="I1206" s="72"/>
      <c r="J1206" s="72"/>
      <c r="K1206" s="289" t="s">
        <v>512</v>
      </c>
      <c r="L1206" s="100"/>
      <c r="M1206" s="99"/>
      <c r="N1206" s="101">
        <f>N1205*15%</f>
        <v>5904.4679999999998</v>
      </c>
      <c r="O1206" s="538"/>
    </row>
    <row r="1207" spans="1:15" ht="13.95" hidden="1" customHeight="1" x14ac:dyDescent="0.3">
      <c r="A1207" s="198"/>
      <c r="B1207" s="1"/>
      <c r="C1207" s="1"/>
      <c r="D1207" s="1"/>
      <c r="E1207" s="1"/>
      <c r="F1207" s="1"/>
      <c r="G1207" s="1"/>
      <c r="H1207" s="7"/>
      <c r="I1207" s="212"/>
      <c r="J1207" s="212"/>
      <c r="K1207" s="185" t="s">
        <v>247</v>
      </c>
      <c r="L1207" s="100"/>
      <c r="M1207" s="148"/>
      <c r="N1207" s="101">
        <f>N1205+N1206</f>
        <v>45267.588000000003</v>
      </c>
      <c r="O1207" s="538"/>
    </row>
    <row r="1208" spans="1:15" ht="13.95" hidden="1" customHeight="1" x14ac:dyDescent="0.3">
      <c r="A1208" s="183">
        <f>A1200+1</f>
        <v>26</v>
      </c>
      <c r="B1208" s="95" t="s">
        <v>399</v>
      </c>
      <c r="C1208" s="95"/>
      <c r="D1208" s="95"/>
      <c r="E1208" s="95"/>
      <c r="F1208" s="95"/>
      <c r="G1208" s="95"/>
      <c r="H1208" s="95"/>
      <c r="I1208" s="95"/>
      <c r="J1208" s="95"/>
      <c r="K1208" s="95"/>
      <c r="L1208" s="95"/>
      <c r="M1208" s="95"/>
      <c r="N1208" s="197"/>
      <c r="O1208" s="538"/>
    </row>
    <row r="1209" spans="1:15" ht="13.95" hidden="1" customHeight="1" x14ac:dyDescent="0.3">
      <c r="A1209" s="198"/>
      <c r="B1209" s="106" t="s">
        <v>233</v>
      </c>
      <c r="C1209" s="1" t="s">
        <v>18</v>
      </c>
      <c r="D1209" s="1"/>
      <c r="E1209" s="1"/>
      <c r="F1209" s="1"/>
      <c r="G1209" s="1"/>
      <c r="H1209" s="7"/>
      <c r="I1209" s="141" t="s">
        <v>148</v>
      </c>
      <c r="J1209" s="161">
        <f>J1201</f>
        <v>0.24</v>
      </c>
      <c r="K1209" s="142">
        <f>$L$408</f>
        <v>65395</v>
      </c>
      <c r="L1209" s="100">
        <f>J1209*K1209</f>
        <v>15694.8</v>
      </c>
      <c r="M1209" s="148" t="s">
        <v>233</v>
      </c>
      <c r="N1209" s="101">
        <f>L1209+M1209</f>
        <v>15694.8</v>
      </c>
      <c r="O1209" s="538"/>
    </row>
    <row r="1210" spans="1:15" ht="13.95" hidden="1" customHeight="1" x14ac:dyDescent="0.3">
      <c r="A1210" s="198"/>
      <c r="B1210" s="106" t="s">
        <v>233</v>
      </c>
      <c r="C1210" s="1" t="s">
        <v>393</v>
      </c>
      <c r="D1210" s="1"/>
      <c r="E1210" s="1"/>
      <c r="F1210" s="1"/>
      <c r="G1210" s="1"/>
      <c r="H1210" s="7"/>
      <c r="I1210" s="141" t="s">
        <v>394</v>
      </c>
      <c r="J1210" s="161">
        <f>J1202</f>
        <v>1</v>
      </c>
      <c r="K1210" s="142">
        <f>K1202</f>
        <v>29415</v>
      </c>
      <c r="L1210" s="100">
        <f>J1210*K1210</f>
        <v>29415</v>
      </c>
      <c r="M1210" s="148" t="s">
        <v>233</v>
      </c>
      <c r="N1210" s="101">
        <f>L1210+M1210</f>
        <v>29415</v>
      </c>
      <c r="O1210" s="538"/>
    </row>
    <row r="1211" spans="1:15" ht="13.95" hidden="1" customHeight="1" x14ac:dyDescent="0.3">
      <c r="A1211" s="198"/>
      <c r="B1211" s="106" t="s">
        <v>233</v>
      </c>
      <c r="C1211" s="1" t="s">
        <v>21</v>
      </c>
      <c r="D1211" s="1"/>
      <c r="E1211" s="1"/>
      <c r="F1211" s="1"/>
      <c r="G1211" s="1"/>
      <c r="H1211" s="7"/>
      <c r="I1211" s="141" t="s">
        <v>148</v>
      </c>
      <c r="J1211" s="161">
        <f>J1203</f>
        <v>0.216</v>
      </c>
      <c r="K1211" s="142">
        <f>$L$430</f>
        <v>24295</v>
      </c>
      <c r="L1211" s="100">
        <f>J1211*K1211</f>
        <v>5247.72</v>
      </c>
      <c r="M1211" s="148" t="s">
        <v>233</v>
      </c>
      <c r="N1211" s="101">
        <f>L1211+M1211</f>
        <v>5247.72</v>
      </c>
      <c r="O1211" s="538"/>
    </row>
    <row r="1212" spans="1:15" ht="13.95" hidden="1" customHeight="1" x14ac:dyDescent="0.3">
      <c r="A1212" s="198"/>
      <c r="B1212" s="106" t="s">
        <v>233</v>
      </c>
      <c r="C1212" s="1" t="s">
        <v>395</v>
      </c>
      <c r="D1212" s="1"/>
      <c r="E1212" s="1"/>
      <c r="F1212" s="1"/>
      <c r="G1212" s="1"/>
      <c r="H1212" s="7"/>
      <c r="I1212" s="141" t="s">
        <v>148</v>
      </c>
      <c r="J1212" s="161">
        <f>J1204</f>
        <v>2.3999999999999994E-2</v>
      </c>
      <c r="K1212" s="142">
        <f>$L$437</f>
        <v>31375</v>
      </c>
      <c r="L1212" s="100">
        <f>J1212*K1212</f>
        <v>752.99999999999977</v>
      </c>
      <c r="M1212" s="148" t="s">
        <v>233</v>
      </c>
      <c r="N1212" s="101">
        <f>L1212+M1212</f>
        <v>752.99999999999977</v>
      </c>
      <c r="O1212" s="538"/>
    </row>
    <row r="1213" spans="1:15" ht="13.95" hidden="1" customHeight="1" x14ac:dyDescent="0.3">
      <c r="A1213" s="198"/>
      <c r="B1213" s="1"/>
      <c r="C1213" s="1"/>
      <c r="D1213" s="1"/>
      <c r="E1213" s="1"/>
      <c r="F1213" s="1"/>
      <c r="G1213" s="1"/>
      <c r="H1213" s="7"/>
      <c r="I1213" s="107"/>
      <c r="J1213" s="107"/>
      <c r="K1213" s="150" t="s">
        <v>245</v>
      </c>
      <c r="L1213" s="107">
        <f>SUM(L1209:L1212)</f>
        <v>51110.520000000004</v>
      </c>
      <c r="M1213" s="170" t="s">
        <v>233</v>
      </c>
      <c r="N1213" s="109">
        <f>SUM(N1209:N1212)</f>
        <v>51110.520000000004</v>
      </c>
      <c r="O1213" s="538"/>
    </row>
    <row r="1214" spans="1:15" ht="13.95" hidden="1" customHeight="1" x14ac:dyDescent="0.3">
      <c r="A1214" s="198"/>
      <c r="B1214" s="1"/>
      <c r="C1214" s="1"/>
      <c r="D1214" s="1"/>
      <c r="E1214" s="1"/>
      <c r="F1214" s="1"/>
      <c r="G1214" s="1"/>
      <c r="H1214" s="7"/>
      <c r="I1214" s="72"/>
      <c r="J1214" s="72"/>
      <c r="K1214" s="289" t="s">
        <v>512</v>
      </c>
      <c r="L1214" s="100"/>
      <c r="M1214" s="99"/>
      <c r="N1214" s="101">
        <f>N1213*15%</f>
        <v>7666.5780000000004</v>
      </c>
      <c r="O1214" s="538"/>
    </row>
    <row r="1215" spans="1:15" ht="13.95" hidden="1" customHeight="1" x14ac:dyDescent="0.3">
      <c r="A1215" s="198"/>
      <c r="B1215" s="1"/>
      <c r="C1215" s="1"/>
      <c r="D1215" s="1"/>
      <c r="E1215" s="1"/>
      <c r="F1215" s="1"/>
      <c r="G1215" s="1"/>
      <c r="H1215" s="7"/>
      <c r="I1215" s="212"/>
      <c r="J1215" s="212"/>
      <c r="K1215" s="185" t="s">
        <v>247</v>
      </c>
      <c r="L1215" s="100"/>
      <c r="M1215" s="148"/>
      <c r="N1215" s="101">
        <f>N1213+N1214</f>
        <v>58777.098000000005</v>
      </c>
      <c r="O1215" s="538"/>
    </row>
    <row r="1216" spans="1:15" ht="13.95" customHeight="1" x14ac:dyDescent="0.3">
      <c r="A1216" s="183">
        <f>A1168+1</f>
        <v>23</v>
      </c>
      <c r="B1216" s="95" t="s">
        <v>400</v>
      </c>
      <c r="C1216" s="95"/>
      <c r="D1216" s="95"/>
      <c r="E1216" s="95"/>
      <c r="F1216" s="95"/>
      <c r="G1216" s="95"/>
      <c r="H1216" s="95"/>
      <c r="I1216" s="95"/>
      <c r="J1216" s="95"/>
      <c r="K1216" s="95"/>
      <c r="L1216" s="95"/>
      <c r="M1216" s="95"/>
      <c r="N1216" s="197"/>
      <c r="O1216" s="538"/>
    </row>
    <row r="1217" spans="1:15" ht="13.95" customHeight="1" x14ac:dyDescent="0.3">
      <c r="A1217" s="198"/>
      <c r="B1217" s="106" t="s">
        <v>233</v>
      </c>
      <c r="C1217" s="1" t="s">
        <v>16</v>
      </c>
      <c r="D1217" s="1"/>
      <c r="E1217" s="1"/>
      <c r="F1217" s="1"/>
      <c r="G1217" s="1"/>
      <c r="H1217" s="7"/>
      <c r="I1217" s="141" t="s">
        <v>148</v>
      </c>
      <c r="J1217" s="161">
        <v>0.216</v>
      </c>
      <c r="K1217" s="142">
        <f>$L$380</f>
        <v>16447.5</v>
      </c>
      <c r="L1217" s="100">
        <f>J1217*K1217</f>
        <v>3552.66</v>
      </c>
      <c r="M1217" s="148" t="s">
        <v>233</v>
      </c>
      <c r="N1217" s="101">
        <f>L1217+M1217</f>
        <v>3552.66</v>
      </c>
      <c r="O1217" s="538">
        <f>0.4*0.45*1</f>
        <v>0.18000000000000002</v>
      </c>
    </row>
    <row r="1218" spans="1:15" ht="13.95" customHeight="1" x14ac:dyDescent="0.3">
      <c r="A1218" s="198"/>
      <c r="B1218" s="106" t="s">
        <v>233</v>
      </c>
      <c r="C1218" s="1" t="s">
        <v>393</v>
      </c>
      <c r="D1218" s="1"/>
      <c r="E1218" s="1"/>
      <c r="F1218" s="1"/>
      <c r="G1218" s="1"/>
      <c r="H1218" s="7"/>
      <c r="I1218" s="141" t="s">
        <v>394</v>
      </c>
      <c r="J1218" s="161">
        <v>1</v>
      </c>
      <c r="K1218" s="142">
        <f>N1149</f>
        <v>20295</v>
      </c>
      <c r="L1218" s="100">
        <f>J1218*K1218</f>
        <v>20295</v>
      </c>
      <c r="M1218" s="148" t="s">
        <v>233</v>
      </c>
      <c r="N1218" s="101">
        <f>L1218+M1218</f>
        <v>20295</v>
      </c>
      <c r="O1218" s="538"/>
    </row>
    <row r="1219" spans="1:15" ht="13.95" customHeight="1" x14ac:dyDescent="0.3">
      <c r="A1219" s="198"/>
      <c r="B1219" s="106" t="s">
        <v>233</v>
      </c>
      <c r="C1219" s="1" t="s">
        <v>21</v>
      </c>
      <c r="D1219" s="1"/>
      <c r="E1219" s="1"/>
      <c r="F1219" s="1"/>
      <c r="G1219" s="1"/>
      <c r="H1219" s="7"/>
      <c r="I1219" s="141" t="s">
        <v>148</v>
      </c>
      <c r="J1219" s="161">
        <f>J1217*0.9</f>
        <v>0.19439999999999999</v>
      </c>
      <c r="K1219" s="142">
        <f>$L$430</f>
        <v>24295</v>
      </c>
      <c r="L1219" s="100">
        <f>J1219*K1219</f>
        <v>4722.9479999999994</v>
      </c>
      <c r="M1219" s="148" t="s">
        <v>233</v>
      </c>
      <c r="N1219" s="101">
        <f>L1219+M1219</f>
        <v>4722.9479999999994</v>
      </c>
      <c r="O1219" s="538"/>
    </row>
    <row r="1220" spans="1:15" ht="13.95" customHeight="1" x14ac:dyDescent="0.3">
      <c r="A1220" s="198"/>
      <c r="B1220" s="106" t="s">
        <v>233</v>
      </c>
      <c r="C1220" s="1" t="s">
        <v>395</v>
      </c>
      <c r="D1220" s="1"/>
      <c r="E1220" s="1"/>
      <c r="F1220" s="1"/>
      <c r="G1220" s="1"/>
      <c r="H1220" s="7"/>
      <c r="I1220" s="141" t="s">
        <v>148</v>
      </c>
      <c r="J1220" s="161">
        <f>J1217-J1219</f>
        <v>2.1600000000000008E-2</v>
      </c>
      <c r="K1220" s="142">
        <f>$L$437</f>
        <v>31375</v>
      </c>
      <c r="L1220" s="100">
        <f>J1220*K1220</f>
        <v>677.70000000000027</v>
      </c>
      <c r="M1220" s="148" t="s">
        <v>233</v>
      </c>
      <c r="N1220" s="101">
        <f>L1220+M1220</f>
        <v>677.70000000000027</v>
      </c>
      <c r="O1220" s="538"/>
    </row>
    <row r="1221" spans="1:15" ht="13.95" customHeight="1" x14ac:dyDescent="0.3">
      <c r="A1221" s="198"/>
      <c r="B1221" s="1"/>
      <c r="C1221" s="1"/>
      <c r="D1221" s="1"/>
      <c r="E1221" s="1"/>
      <c r="F1221" s="1"/>
      <c r="G1221" s="1"/>
      <c r="H1221" s="7"/>
      <c r="I1221" s="107"/>
      <c r="J1221" s="107"/>
      <c r="K1221" s="150" t="s">
        <v>245</v>
      </c>
      <c r="L1221" s="107">
        <f>SUM(L1217:L1220)</f>
        <v>29248.308000000001</v>
      </c>
      <c r="M1221" s="170" t="s">
        <v>233</v>
      </c>
      <c r="N1221" s="109">
        <f>SUM(N1217:N1220)</f>
        <v>29248.308000000001</v>
      </c>
      <c r="O1221" s="538"/>
    </row>
    <row r="1222" spans="1:15" ht="13.95" customHeight="1" x14ac:dyDescent="0.3">
      <c r="A1222" s="198"/>
      <c r="B1222" s="1"/>
      <c r="C1222" s="1"/>
      <c r="D1222" s="1"/>
      <c r="E1222" s="1"/>
      <c r="F1222" s="1"/>
      <c r="G1222" s="1"/>
      <c r="H1222" s="7"/>
      <c r="I1222" s="72"/>
      <c r="J1222" s="72"/>
      <c r="K1222" s="289" t="s">
        <v>512</v>
      </c>
      <c r="L1222" s="100"/>
      <c r="M1222" s="99"/>
      <c r="N1222" s="101">
        <f>N1221*15%</f>
        <v>4387.2461999999996</v>
      </c>
      <c r="O1222" s="538"/>
    </row>
    <row r="1223" spans="1:15" ht="13.95" customHeight="1" x14ac:dyDescent="0.3">
      <c r="A1223" s="198"/>
      <c r="B1223" s="1"/>
      <c r="C1223" s="1"/>
      <c r="D1223" s="1"/>
      <c r="E1223" s="1"/>
      <c r="F1223" s="1"/>
      <c r="G1223" s="1"/>
      <c r="H1223" s="7"/>
      <c r="I1223" s="212"/>
      <c r="J1223" s="212"/>
      <c r="K1223" s="185" t="s">
        <v>247</v>
      </c>
      <c r="L1223" s="100"/>
      <c r="M1223" s="148"/>
      <c r="N1223" s="101">
        <f>N1221+N1222</f>
        <v>33635.554199999999</v>
      </c>
      <c r="O1223" s="538"/>
    </row>
    <row r="1224" spans="1:15" ht="13.95" customHeight="1" x14ac:dyDescent="0.3">
      <c r="A1224" s="183">
        <f>A1216+1</f>
        <v>24</v>
      </c>
      <c r="B1224" s="95" t="s">
        <v>401</v>
      </c>
      <c r="C1224" s="95"/>
      <c r="D1224" s="95"/>
      <c r="E1224" s="95"/>
      <c r="F1224" s="95"/>
      <c r="G1224" s="95"/>
      <c r="H1224" s="95"/>
      <c r="I1224" s="95"/>
      <c r="J1224" s="95"/>
      <c r="K1224" s="95"/>
      <c r="L1224" s="95"/>
      <c r="M1224" s="95"/>
      <c r="N1224" s="197"/>
      <c r="O1224" s="538"/>
    </row>
    <row r="1225" spans="1:15" ht="13.95" customHeight="1" x14ac:dyDescent="0.3">
      <c r="A1225" s="198"/>
      <c r="B1225" s="106" t="s">
        <v>233</v>
      </c>
      <c r="C1225" s="1" t="s">
        <v>18</v>
      </c>
      <c r="D1225" s="1"/>
      <c r="E1225" s="1"/>
      <c r="F1225" s="1"/>
      <c r="G1225" s="1"/>
      <c r="H1225" s="7"/>
      <c r="I1225" s="141" t="s">
        <v>148</v>
      </c>
      <c r="J1225" s="161">
        <f>+J1217</f>
        <v>0.216</v>
      </c>
      <c r="K1225" s="142">
        <f>$L$408</f>
        <v>65395</v>
      </c>
      <c r="L1225" s="100">
        <f>J1225*K1225</f>
        <v>14125.32</v>
      </c>
      <c r="M1225" s="148" t="s">
        <v>233</v>
      </c>
      <c r="N1225" s="101">
        <f>L1225+M1225</f>
        <v>14125.32</v>
      </c>
      <c r="O1225" s="538"/>
    </row>
    <row r="1226" spans="1:15" ht="13.95" customHeight="1" x14ac:dyDescent="0.3">
      <c r="A1226" s="198"/>
      <c r="B1226" s="106" t="s">
        <v>233</v>
      </c>
      <c r="C1226" s="1" t="s">
        <v>393</v>
      </c>
      <c r="D1226" s="1"/>
      <c r="E1226" s="1"/>
      <c r="F1226" s="1"/>
      <c r="G1226" s="1"/>
      <c r="H1226" s="7"/>
      <c r="I1226" s="141" t="s">
        <v>394</v>
      </c>
      <c r="J1226" s="161">
        <v>1</v>
      </c>
      <c r="K1226" s="142">
        <f>K1218</f>
        <v>20295</v>
      </c>
      <c r="L1226" s="100">
        <f>J1226*K1226</f>
        <v>20295</v>
      </c>
      <c r="M1226" s="148" t="s">
        <v>233</v>
      </c>
      <c r="N1226" s="101">
        <f>L1226+M1226</f>
        <v>20295</v>
      </c>
      <c r="O1226" s="538"/>
    </row>
    <row r="1227" spans="1:15" ht="13.95" customHeight="1" x14ac:dyDescent="0.3">
      <c r="A1227" s="198"/>
      <c r="B1227" s="106" t="s">
        <v>233</v>
      </c>
      <c r="C1227" s="1" t="s">
        <v>21</v>
      </c>
      <c r="D1227" s="1"/>
      <c r="E1227" s="1"/>
      <c r="F1227" s="1"/>
      <c r="G1227" s="1"/>
      <c r="H1227" s="7"/>
      <c r="I1227" s="141" t="s">
        <v>148</v>
      </c>
      <c r="J1227" s="161">
        <f>J1219</f>
        <v>0.19439999999999999</v>
      </c>
      <c r="K1227" s="142">
        <f>$L$430</f>
        <v>24295</v>
      </c>
      <c r="L1227" s="100">
        <f>J1227*K1227</f>
        <v>4722.9479999999994</v>
      </c>
      <c r="M1227" s="148" t="s">
        <v>233</v>
      </c>
      <c r="N1227" s="101">
        <f>L1227+M1227</f>
        <v>4722.9479999999994</v>
      </c>
      <c r="O1227" s="538"/>
    </row>
    <row r="1228" spans="1:15" ht="13.95" customHeight="1" x14ac:dyDescent="0.3">
      <c r="A1228" s="198"/>
      <c r="B1228" s="106" t="s">
        <v>233</v>
      </c>
      <c r="C1228" s="1" t="s">
        <v>395</v>
      </c>
      <c r="D1228" s="1"/>
      <c r="E1228" s="1"/>
      <c r="F1228" s="1"/>
      <c r="G1228" s="1"/>
      <c r="H1228" s="7"/>
      <c r="I1228" s="141" t="s">
        <v>148</v>
      </c>
      <c r="J1228" s="161">
        <f>J1225-J1227</f>
        <v>2.1600000000000008E-2</v>
      </c>
      <c r="K1228" s="142">
        <f>$L$437</f>
        <v>31375</v>
      </c>
      <c r="L1228" s="100">
        <f>J1228*K1228</f>
        <v>677.70000000000027</v>
      </c>
      <c r="M1228" s="148" t="s">
        <v>233</v>
      </c>
      <c r="N1228" s="101">
        <f>L1228+M1228</f>
        <v>677.70000000000027</v>
      </c>
      <c r="O1228" s="538"/>
    </row>
    <row r="1229" spans="1:15" ht="13.95" customHeight="1" x14ac:dyDescent="0.3">
      <c r="A1229" s="198"/>
      <c r="B1229" s="1"/>
      <c r="C1229" s="1"/>
      <c r="D1229" s="1"/>
      <c r="E1229" s="1"/>
      <c r="F1229" s="1"/>
      <c r="G1229" s="1"/>
      <c r="H1229" s="7"/>
      <c r="I1229" s="107"/>
      <c r="J1229" s="107"/>
      <c r="K1229" s="150" t="s">
        <v>245</v>
      </c>
      <c r="L1229" s="107">
        <f>SUM(L1225:L1228)</f>
        <v>39820.967999999993</v>
      </c>
      <c r="M1229" s="170" t="s">
        <v>233</v>
      </c>
      <c r="N1229" s="109">
        <f>SUM(N1225:N1228)</f>
        <v>39820.967999999993</v>
      </c>
      <c r="O1229" s="538"/>
    </row>
    <row r="1230" spans="1:15" ht="13.95" customHeight="1" x14ac:dyDescent="0.3">
      <c r="A1230" s="198"/>
      <c r="B1230" s="1"/>
      <c r="C1230" s="1"/>
      <c r="D1230" s="1"/>
      <c r="E1230" s="1"/>
      <c r="F1230" s="1"/>
      <c r="G1230" s="1"/>
      <c r="H1230" s="7"/>
      <c r="I1230" s="72"/>
      <c r="J1230" s="72"/>
      <c r="K1230" s="289" t="s">
        <v>512</v>
      </c>
      <c r="L1230" s="100"/>
      <c r="M1230" s="99"/>
      <c r="N1230" s="101">
        <f>N1229*15%</f>
        <v>5973.145199999999</v>
      </c>
      <c r="O1230" s="538"/>
    </row>
    <row r="1231" spans="1:15" ht="13.95" customHeight="1" x14ac:dyDescent="0.3">
      <c r="A1231" s="198"/>
      <c r="B1231" s="1"/>
      <c r="C1231" s="1"/>
      <c r="D1231" s="1"/>
      <c r="E1231" s="1"/>
      <c r="F1231" s="1"/>
      <c r="G1231" s="1"/>
      <c r="H1231" s="7"/>
      <c r="I1231" s="212"/>
      <c r="J1231" s="212"/>
      <c r="K1231" s="185" t="s">
        <v>247</v>
      </c>
      <c r="L1231" s="100"/>
      <c r="M1231" s="148"/>
      <c r="N1231" s="101">
        <f>N1229+N1230</f>
        <v>45794.113199999993</v>
      </c>
      <c r="O1231" s="538"/>
    </row>
    <row r="1232" spans="1:15" ht="13.95" customHeight="1" x14ac:dyDescent="0.3">
      <c r="A1232" s="183">
        <f>A1224+1</f>
        <v>25</v>
      </c>
      <c r="B1232" s="95" t="s">
        <v>402</v>
      </c>
      <c r="C1232" s="95"/>
      <c r="D1232" s="95"/>
      <c r="E1232" s="95"/>
      <c r="F1232" s="95"/>
      <c r="G1232" s="95"/>
      <c r="H1232" s="95"/>
      <c r="I1232" s="95"/>
      <c r="J1232" s="95"/>
      <c r="K1232" s="95"/>
      <c r="L1232" s="95"/>
      <c r="M1232" s="95"/>
      <c r="N1232" s="197"/>
      <c r="O1232" s="538"/>
    </row>
    <row r="1233" spans="1:15" ht="13.95" customHeight="1" x14ac:dyDescent="0.3">
      <c r="A1233" s="198"/>
      <c r="B1233" s="106" t="s">
        <v>233</v>
      </c>
      <c r="C1233" s="1" t="s">
        <v>16</v>
      </c>
      <c r="D1233" s="1"/>
      <c r="E1233" s="1"/>
      <c r="F1233" s="1"/>
      <c r="G1233" s="1"/>
      <c r="H1233" s="7"/>
      <c r="I1233" s="141" t="s">
        <v>148</v>
      </c>
      <c r="J1233" s="161">
        <v>0.21</v>
      </c>
      <c r="K1233" s="142">
        <f>$L$380</f>
        <v>16447.5</v>
      </c>
      <c r="L1233" s="100">
        <f>J1233*K1233</f>
        <v>3453.9749999999999</v>
      </c>
      <c r="M1233" s="148" t="s">
        <v>233</v>
      </c>
      <c r="N1233" s="101">
        <f>L1233+M1233</f>
        <v>3453.9749999999999</v>
      </c>
      <c r="O1233" s="538">
        <f>0.4*0.45*1</f>
        <v>0.18000000000000002</v>
      </c>
    </row>
    <row r="1234" spans="1:15" ht="13.95" customHeight="1" x14ac:dyDescent="0.3">
      <c r="A1234" s="198"/>
      <c r="B1234" s="106" t="s">
        <v>233</v>
      </c>
      <c r="C1234" s="1" t="s">
        <v>393</v>
      </c>
      <c r="D1234" s="1"/>
      <c r="E1234" s="1"/>
      <c r="F1234" s="1"/>
      <c r="G1234" s="1"/>
      <c r="H1234" s="7"/>
      <c r="I1234" s="141" t="s">
        <v>394</v>
      </c>
      <c r="J1234" s="161">
        <v>1</v>
      </c>
      <c r="K1234" s="142">
        <f>N1157</f>
        <v>13750</v>
      </c>
      <c r="L1234" s="100">
        <f>J1234*K1234</f>
        <v>13750</v>
      </c>
      <c r="M1234" s="148" t="s">
        <v>233</v>
      </c>
      <c r="N1234" s="101">
        <f>L1234+M1234</f>
        <v>13750</v>
      </c>
      <c r="O1234" s="538"/>
    </row>
    <row r="1235" spans="1:15" ht="13.95" customHeight="1" x14ac:dyDescent="0.3">
      <c r="A1235" s="198"/>
      <c r="B1235" s="106" t="s">
        <v>233</v>
      </c>
      <c r="C1235" s="1" t="s">
        <v>21</v>
      </c>
      <c r="D1235" s="1"/>
      <c r="E1235" s="1"/>
      <c r="F1235" s="1"/>
      <c r="G1235" s="1"/>
      <c r="H1235" s="7"/>
      <c r="I1235" s="141" t="s">
        <v>148</v>
      </c>
      <c r="J1235" s="161">
        <f>J1233*0.9</f>
        <v>0.189</v>
      </c>
      <c r="K1235" s="142">
        <f>$L$430</f>
        <v>24295</v>
      </c>
      <c r="L1235" s="100">
        <f>J1235*K1235</f>
        <v>4591.7550000000001</v>
      </c>
      <c r="M1235" s="148" t="s">
        <v>233</v>
      </c>
      <c r="N1235" s="101">
        <f>L1235+M1235</f>
        <v>4591.7550000000001</v>
      </c>
      <c r="O1235" s="538"/>
    </row>
    <row r="1236" spans="1:15" ht="13.95" customHeight="1" x14ac:dyDescent="0.3">
      <c r="A1236" s="198"/>
      <c r="B1236" s="106" t="s">
        <v>233</v>
      </c>
      <c r="C1236" s="1" t="s">
        <v>395</v>
      </c>
      <c r="D1236" s="1"/>
      <c r="E1236" s="1"/>
      <c r="F1236" s="1"/>
      <c r="G1236" s="1"/>
      <c r="H1236" s="7"/>
      <c r="I1236" s="141" t="s">
        <v>148</v>
      </c>
      <c r="J1236" s="161">
        <f>J1233-J1235</f>
        <v>2.0999999999999991E-2</v>
      </c>
      <c r="K1236" s="142">
        <f>$L$437</f>
        <v>31375</v>
      </c>
      <c r="L1236" s="100">
        <f>J1236*K1236</f>
        <v>658.87499999999966</v>
      </c>
      <c r="M1236" s="148" t="s">
        <v>233</v>
      </c>
      <c r="N1236" s="101">
        <f>L1236+M1236</f>
        <v>658.87499999999966</v>
      </c>
      <c r="O1236" s="538"/>
    </row>
    <row r="1237" spans="1:15" ht="13.95" customHeight="1" x14ac:dyDescent="0.3">
      <c r="A1237" s="198"/>
      <c r="B1237" s="1"/>
      <c r="C1237" s="1"/>
      <c r="D1237" s="1"/>
      <c r="E1237" s="1"/>
      <c r="F1237" s="1"/>
      <c r="G1237" s="1"/>
      <c r="H1237" s="7"/>
      <c r="I1237" s="107"/>
      <c r="J1237" s="107"/>
      <c r="K1237" s="150" t="s">
        <v>245</v>
      </c>
      <c r="L1237" s="107">
        <f>SUM(L1233:L1236)</f>
        <v>22454.605</v>
      </c>
      <c r="M1237" s="170" t="s">
        <v>233</v>
      </c>
      <c r="N1237" s="109">
        <f>SUM(N1233:N1236)</f>
        <v>22454.605</v>
      </c>
      <c r="O1237" s="538"/>
    </row>
    <row r="1238" spans="1:15" ht="13.95" customHeight="1" x14ac:dyDescent="0.3">
      <c r="A1238" s="198"/>
      <c r="B1238" s="1"/>
      <c r="C1238" s="1"/>
      <c r="D1238" s="1"/>
      <c r="E1238" s="1"/>
      <c r="F1238" s="1"/>
      <c r="G1238" s="1"/>
      <c r="H1238" s="7"/>
      <c r="I1238" s="72"/>
      <c r="J1238" s="72"/>
      <c r="K1238" s="289" t="s">
        <v>512</v>
      </c>
      <c r="L1238" s="100"/>
      <c r="M1238" s="99"/>
      <c r="N1238" s="101">
        <f>N1237*15%</f>
        <v>3368.1907499999998</v>
      </c>
      <c r="O1238" s="538"/>
    </row>
    <row r="1239" spans="1:15" ht="13.95" customHeight="1" x14ac:dyDescent="0.3">
      <c r="A1239" s="198"/>
      <c r="B1239" s="1"/>
      <c r="C1239" s="1"/>
      <c r="D1239" s="1"/>
      <c r="E1239" s="1"/>
      <c r="F1239" s="1"/>
      <c r="G1239" s="1"/>
      <c r="H1239" s="7"/>
      <c r="I1239" s="212"/>
      <c r="J1239" s="212"/>
      <c r="K1239" s="185" t="s">
        <v>247</v>
      </c>
      <c r="L1239" s="100"/>
      <c r="M1239" s="148"/>
      <c r="N1239" s="101">
        <f>N1237+N1238</f>
        <v>25822.795749999997</v>
      </c>
      <c r="O1239" s="538"/>
    </row>
    <row r="1240" spans="1:15" ht="13.95" customHeight="1" x14ac:dyDescent="0.3">
      <c r="A1240" s="183">
        <f>A1232+1</f>
        <v>26</v>
      </c>
      <c r="B1240" s="95" t="s">
        <v>403</v>
      </c>
      <c r="C1240" s="95"/>
      <c r="D1240" s="95"/>
      <c r="E1240" s="95"/>
      <c r="F1240" s="95"/>
      <c r="G1240" s="95"/>
      <c r="H1240" s="95"/>
      <c r="I1240" s="95"/>
      <c r="J1240" s="95"/>
      <c r="K1240" s="95"/>
      <c r="L1240" s="95"/>
      <c r="M1240" s="95"/>
      <c r="N1240" s="197"/>
      <c r="O1240" s="538"/>
    </row>
    <row r="1241" spans="1:15" ht="13.95" customHeight="1" x14ac:dyDescent="0.3">
      <c r="A1241" s="198"/>
      <c r="B1241" s="106" t="s">
        <v>233</v>
      </c>
      <c r="C1241" s="1" t="s">
        <v>18</v>
      </c>
      <c r="D1241" s="1"/>
      <c r="E1241" s="1"/>
      <c r="F1241" s="1"/>
      <c r="G1241" s="1"/>
      <c r="H1241" s="7"/>
      <c r="I1241" s="141" t="s">
        <v>148</v>
      </c>
      <c r="J1241" s="161">
        <f>J1233</f>
        <v>0.21</v>
      </c>
      <c r="K1241" s="142">
        <f>$L$408</f>
        <v>65395</v>
      </c>
      <c r="L1241" s="100">
        <f>J1241*K1241</f>
        <v>13732.949999999999</v>
      </c>
      <c r="M1241" s="148" t="s">
        <v>233</v>
      </c>
      <c r="N1241" s="101">
        <f>L1241+M1241</f>
        <v>13732.949999999999</v>
      </c>
      <c r="O1241" s="538"/>
    </row>
    <row r="1242" spans="1:15" ht="13.95" customHeight="1" x14ac:dyDescent="0.3">
      <c r="A1242" s="198"/>
      <c r="B1242" s="106" t="s">
        <v>233</v>
      </c>
      <c r="C1242" s="1" t="s">
        <v>393</v>
      </c>
      <c r="D1242" s="1"/>
      <c r="E1242" s="1"/>
      <c r="F1242" s="1"/>
      <c r="G1242" s="1"/>
      <c r="H1242" s="7"/>
      <c r="I1242" s="141" t="s">
        <v>394</v>
      </c>
      <c r="J1242" s="161">
        <v>1</v>
      </c>
      <c r="K1242" s="142">
        <f>K1234</f>
        <v>13750</v>
      </c>
      <c r="L1242" s="100">
        <f>J1242*K1242</f>
        <v>13750</v>
      </c>
      <c r="M1242" s="148" t="s">
        <v>233</v>
      </c>
      <c r="N1242" s="101">
        <f>L1242+M1242</f>
        <v>13750</v>
      </c>
      <c r="O1242" s="538"/>
    </row>
    <row r="1243" spans="1:15" ht="13.95" customHeight="1" x14ac:dyDescent="0.3">
      <c r="A1243" s="198"/>
      <c r="B1243" s="106" t="s">
        <v>233</v>
      </c>
      <c r="C1243" s="1" t="s">
        <v>21</v>
      </c>
      <c r="D1243" s="1"/>
      <c r="E1243" s="1"/>
      <c r="F1243" s="1"/>
      <c r="G1243" s="1"/>
      <c r="H1243" s="7"/>
      <c r="I1243" s="141" t="s">
        <v>148</v>
      </c>
      <c r="J1243" s="161">
        <f>J1235</f>
        <v>0.189</v>
      </c>
      <c r="K1243" s="142">
        <f>$L$430</f>
        <v>24295</v>
      </c>
      <c r="L1243" s="100">
        <f>J1243*K1243</f>
        <v>4591.7550000000001</v>
      </c>
      <c r="M1243" s="148" t="s">
        <v>233</v>
      </c>
      <c r="N1243" s="101">
        <f>L1243+M1243</f>
        <v>4591.7550000000001</v>
      </c>
      <c r="O1243" s="538"/>
    </row>
    <row r="1244" spans="1:15" ht="13.95" customHeight="1" x14ac:dyDescent="0.3">
      <c r="A1244" s="198"/>
      <c r="B1244" s="106" t="s">
        <v>233</v>
      </c>
      <c r="C1244" s="1" t="s">
        <v>395</v>
      </c>
      <c r="D1244" s="1"/>
      <c r="E1244" s="1"/>
      <c r="F1244" s="1"/>
      <c r="G1244" s="1"/>
      <c r="H1244" s="7"/>
      <c r="I1244" s="141" t="s">
        <v>148</v>
      </c>
      <c r="J1244" s="161">
        <f>J1241-J1243</f>
        <v>2.0999999999999991E-2</v>
      </c>
      <c r="K1244" s="142">
        <f>$L$437</f>
        <v>31375</v>
      </c>
      <c r="L1244" s="100">
        <f>J1244*K1244</f>
        <v>658.87499999999966</v>
      </c>
      <c r="M1244" s="148" t="s">
        <v>233</v>
      </c>
      <c r="N1244" s="101">
        <f>L1244+M1244</f>
        <v>658.87499999999966</v>
      </c>
      <c r="O1244" s="538"/>
    </row>
    <row r="1245" spans="1:15" ht="13.95" customHeight="1" x14ac:dyDescent="0.3">
      <c r="A1245" s="198"/>
      <c r="B1245" s="1"/>
      <c r="C1245" s="1"/>
      <c r="D1245" s="1"/>
      <c r="E1245" s="1"/>
      <c r="F1245" s="1"/>
      <c r="G1245" s="1"/>
      <c r="H1245" s="7"/>
      <c r="I1245" s="107"/>
      <c r="J1245" s="107"/>
      <c r="K1245" s="150" t="s">
        <v>245</v>
      </c>
      <c r="L1245" s="107">
        <f>SUM(L1241:L1244)</f>
        <v>32733.579999999998</v>
      </c>
      <c r="M1245" s="170" t="s">
        <v>233</v>
      </c>
      <c r="N1245" s="109">
        <f>SUM(N1241:N1244)</f>
        <v>32733.579999999998</v>
      </c>
      <c r="O1245" s="538"/>
    </row>
    <row r="1246" spans="1:15" ht="13.95" customHeight="1" x14ac:dyDescent="0.3">
      <c r="A1246" s="198"/>
      <c r="B1246" s="1"/>
      <c r="C1246" s="1"/>
      <c r="D1246" s="1"/>
      <c r="E1246" s="1"/>
      <c r="F1246" s="1"/>
      <c r="G1246" s="1"/>
      <c r="H1246" s="7"/>
      <c r="I1246" s="72"/>
      <c r="J1246" s="72"/>
      <c r="K1246" s="289" t="s">
        <v>512</v>
      </c>
      <c r="L1246" s="100"/>
      <c r="M1246" s="99"/>
      <c r="N1246" s="101">
        <f>N1245*15%</f>
        <v>4910.0369999999994</v>
      </c>
      <c r="O1246" s="538"/>
    </row>
    <row r="1247" spans="1:15" ht="13.95" customHeight="1" x14ac:dyDescent="0.3">
      <c r="A1247" s="198"/>
      <c r="B1247" s="1"/>
      <c r="C1247" s="1"/>
      <c r="D1247" s="1"/>
      <c r="E1247" s="1"/>
      <c r="F1247" s="1"/>
      <c r="G1247" s="1"/>
      <c r="H1247" s="7"/>
      <c r="I1247" s="212"/>
      <c r="J1247" s="212"/>
      <c r="K1247" s="185" t="s">
        <v>247</v>
      </c>
      <c r="L1247" s="100"/>
      <c r="M1247" s="148"/>
      <c r="N1247" s="101">
        <f>N1245+N1246</f>
        <v>37643.616999999998</v>
      </c>
      <c r="O1247" s="538"/>
    </row>
    <row r="1248" spans="1:15" ht="13.95" customHeight="1" x14ac:dyDescent="0.3">
      <c r="A1248" s="183">
        <f>A1240+1</f>
        <v>27</v>
      </c>
      <c r="B1248" s="95" t="s">
        <v>404</v>
      </c>
      <c r="C1248" s="95"/>
      <c r="D1248" s="95"/>
      <c r="E1248" s="95"/>
      <c r="F1248" s="95"/>
      <c r="G1248" s="95"/>
      <c r="H1248" s="95"/>
      <c r="I1248" s="95"/>
      <c r="J1248" s="95"/>
      <c r="K1248" s="95"/>
      <c r="L1248" s="95"/>
      <c r="M1248" s="95"/>
      <c r="N1248" s="197"/>
      <c r="O1248" s="538"/>
    </row>
    <row r="1249" spans="1:15" ht="13.95" customHeight="1" x14ac:dyDescent="0.3">
      <c r="A1249" s="198"/>
      <c r="B1249" s="106" t="s">
        <v>233</v>
      </c>
      <c r="C1249" s="1" t="s">
        <v>16</v>
      </c>
      <c r="D1249" s="1"/>
      <c r="E1249" s="1"/>
      <c r="F1249" s="1"/>
      <c r="G1249" s="1"/>
      <c r="H1249" s="7"/>
      <c r="I1249" s="141" t="s">
        <v>148</v>
      </c>
      <c r="J1249" s="161">
        <v>0.21</v>
      </c>
      <c r="K1249" s="142">
        <f>$L$380</f>
        <v>16447.5</v>
      </c>
      <c r="L1249" s="100">
        <f>J1249*K1249</f>
        <v>3453.9749999999999</v>
      </c>
      <c r="M1249" s="148" t="s">
        <v>233</v>
      </c>
      <c r="N1249" s="101">
        <f>L1249+M1249</f>
        <v>3453.9749999999999</v>
      </c>
      <c r="O1249" s="538">
        <f>0.3*0.45*1</f>
        <v>0.13500000000000001</v>
      </c>
    </row>
    <row r="1250" spans="1:15" ht="13.95" customHeight="1" x14ac:dyDescent="0.3">
      <c r="A1250" s="198"/>
      <c r="B1250" s="106" t="s">
        <v>233</v>
      </c>
      <c r="C1250" s="1" t="s">
        <v>393</v>
      </c>
      <c r="D1250" s="1"/>
      <c r="E1250" s="1"/>
      <c r="F1250" s="1"/>
      <c r="G1250" s="1"/>
      <c r="H1250" s="7"/>
      <c r="I1250" s="141" t="s">
        <v>394</v>
      </c>
      <c r="J1250" s="161">
        <v>1</v>
      </c>
      <c r="K1250" s="142">
        <f>N1165</f>
        <v>9562.5</v>
      </c>
      <c r="L1250" s="100">
        <f>J1250*K1250</f>
        <v>9562.5</v>
      </c>
      <c r="M1250" s="148" t="s">
        <v>233</v>
      </c>
      <c r="N1250" s="101">
        <f>L1250+M1250</f>
        <v>9562.5</v>
      </c>
      <c r="O1250" s="538"/>
    </row>
    <row r="1251" spans="1:15" ht="13.95" customHeight="1" x14ac:dyDescent="0.3">
      <c r="A1251" s="198"/>
      <c r="B1251" s="106" t="s">
        <v>233</v>
      </c>
      <c r="C1251" s="1" t="s">
        <v>21</v>
      </c>
      <c r="D1251" s="1"/>
      <c r="E1251" s="1"/>
      <c r="F1251" s="1"/>
      <c r="G1251" s="1"/>
      <c r="H1251" s="7"/>
      <c r="I1251" s="141" t="s">
        <v>148</v>
      </c>
      <c r="J1251" s="161">
        <f>J1249*0.9</f>
        <v>0.189</v>
      </c>
      <c r="K1251" s="142">
        <f>$L$430</f>
        <v>24295</v>
      </c>
      <c r="L1251" s="100">
        <f>J1251*K1251</f>
        <v>4591.7550000000001</v>
      </c>
      <c r="M1251" s="148" t="s">
        <v>233</v>
      </c>
      <c r="N1251" s="101">
        <f>L1251+M1251</f>
        <v>4591.7550000000001</v>
      </c>
      <c r="O1251" s="538"/>
    </row>
    <row r="1252" spans="1:15" ht="13.95" customHeight="1" x14ac:dyDescent="0.3">
      <c r="A1252" s="198"/>
      <c r="B1252" s="106" t="s">
        <v>233</v>
      </c>
      <c r="C1252" s="1" t="s">
        <v>395</v>
      </c>
      <c r="D1252" s="1"/>
      <c r="E1252" s="1"/>
      <c r="F1252" s="1"/>
      <c r="G1252" s="1"/>
      <c r="H1252" s="7"/>
      <c r="I1252" s="141" t="s">
        <v>148</v>
      </c>
      <c r="J1252" s="161">
        <f>J1249-J1251</f>
        <v>2.0999999999999991E-2</v>
      </c>
      <c r="K1252" s="142">
        <f>$L$437</f>
        <v>31375</v>
      </c>
      <c r="L1252" s="100">
        <f>J1252*K1252</f>
        <v>658.87499999999966</v>
      </c>
      <c r="M1252" s="148" t="s">
        <v>233</v>
      </c>
      <c r="N1252" s="101">
        <f>L1252+M1252</f>
        <v>658.87499999999966</v>
      </c>
      <c r="O1252" s="538"/>
    </row>
    <row r="1253" spans="1:15" ht="13.95" customHeight="1" x14ac:dyDescent="0.3">
      <c r="A1253" s="198"/>
      <c r="B1253" s="1"/>
      <c r="C1253" s="1"/>
      <c r="D1253" s="1"/>
      <c r="E1253" s="1"/>
      <c r="F1253" s="1"/>
      <c r="G1253" s="1"/>
      <c r="H1253" s="7"/>
      <c r="I1253" s="107"/>
      <c r="J1253" s="107"/>
      <c r="K1253" s="150" t="s">
        <v>245</v>
      </c>
      <c r="L1253" s="107">
        <f>SUM(L1249:L1252)</f>
        <v>18267.105</v>
      </c>
      <c r="M1253" s="170" t="s">
        <v>233</v>
      </c>
      <c r="N1253" s="109">
        <f>SUM(N1249:N1252)</f>
        <v>18267.105</v>
      </c>
      <c r="O1253" s="538"/>
    </row>
    <row r="1254" spans="1:15" ht="13.95" customHeight="1" x14ac:dyDescent="0.3">
      <c r="A1254" s="198"/>
      <c r="B1254" s="1"/>
      <c r="C1254" s="1"/>
      <c r="D1254" s="1"/>
      <c r="E1254" s="1"/>
      <c r="F1254" s="1"/>
      <c r="G1254" s="1"/>
      <c r="H1254" s="7"/>
      <c r="I1254" s="72"/>
      <c r="J1254" s="72"/>
      <c r="K1254" s="289" t="s">
        <v>512</v>
      </c>
      <c r="L1254" s="100"/>
      <c r="M1254" s="99"/>
      <c r="N1254" s="101">
        <f>N1253*15%</f>
        <v>2740.0657499999998</v>
      </c>
      <c r="O1254" s="538"/>
    </row>
    <row r="1255" spans="1:15" ht="13.95" customHeight="1" x14ac:dyDescent="0.3">
      <c r="A1255" s="198"/>
      <c r="B1255" s="1"/>
      <c r="C1255" s="1"/>
      <c r="D1255" s="1"/>
      <c r="E1255" s="1"/>
      <c r="F1255" s="1"/>
      <c r="G1255" s="1"/>
      <c r="H1255" s="7"/>
      <c r="I1255" s="212"/>
      <c r="J1255" s="212"/>
      <c r="K1255" s="185" t="s">
        <v>247</v>
      </c>
      <c r="L1255" s="100"/>
      <c r="M1255" s="148"/>
      <c r="N1255" s="101">
        <f>N1253+N1254</f>
        <v>21007.170749999997</v>
      </c>
      <c r="O1255" s="538"/>
    </row>
    <row r="1256" spans="1:15" ht="13.95" customHeight="1" x14ac:dyDescent="0.3">
      <c r="A1256" s="86"/>
      <c r="B1256" s="12"/>
      <c r="C1256" s="12"/>
      <c r="D1256" s="12"/>
      <c r="E1256" s="12"/>
      <c r="F1256" s="12"/>
      <c r="G1256" s="12"/>
      <c r="H1256" s="75"/>
      <c r="I1256" s="12"/>
      <c r="J1256" s="87"/>
      <c r="K1256" s="75"/>
      <c r="L1256" s="75"/>
      <c r="M1256" s="75"/>
      <c r="N1256" s="88"/>
      <c r="O1256" s="538"/>
    </row>
    <row r="1257" spans="1:15" ht="13.95" customHeight="1" x14ac:dyDescent="0.3">
      <c r="A1257" s="183">
        <f>A1248+1</f>
        <v>28</v>
      </c>
      <c r="B1257" s="95" t="s">
        <v>405</v>
      </c>
      <c r="C1257" s="95"/>
      <c r="D1257" s="95"/>
      <c r="E1257" s="95"/>
      <c r="F1257" s="95"/>
      <c r="G1257" s="95"/>
      <c r="H1257" s="95"/>
      <c r="I1257" s="95"/>
      <c r="J1257" s="95"/>
      <c r="K1257" s="95"/>
      <c r="L1257" s="95"/>
      <c r="M1257" s="95"/>
      <c r="N1257" s="197"/>
      <c r="O1257" s="538"/>
    </row>
    <row r="1258" spans="1:15" ht="13.95" customHeight="1" x14ac:dyDescent="0.3">
      <c r="A1258" s="198"/>
      <c r="B1258" s="106" t="s">
        <v>233</v>
      </c>
      <c r="C1258" s="1" t="s">
        <v>18</v>
      </c>
      <c r="D1258" s="1"/>
      <c r="E1258" s="1"/>
      <c r="F1258" s="1"/>
      <c r="G1258" s="1"/>
      <c r="H1258" s="7"/>
      <c r="I1258" s="141" t="s">
        <v>148</v>
      </c>
      <c r="J1258" s="161">
        <f>J1249</f>
        <v>0.21</v>
      </c>
      <c r="K1258" s="142">
        <f>$L$408</f>
        <v>65395</v>
      </c>
      <c r="L1258" s="100">
        <f>J1258*K1258</f>
        <v>13732.949999999999</v>
      </c>
      <c r="M1258" s="148" t="s">
        <v>233</v>
      </c>
      <c r="N1258" s="101">
        <f>L1258+M1258</f>
        <v>13732.949999999999</v>
      </c>
      <c r="O1258" s="538"/>
    </row>
    <row r="1259" spans="1:15" ht="13.95" customHeight="1" x14ac:dyDescent="0.3">
      <c r="A1259" s="198"/>
      <c r="B1259" s="106" t="s">
        <v>233</v>
      </c>
      <c r="C1259" s="1" t="s">
        <v>393</v>
      </c>
      <c r="D1259" s="1"/>
      <c r="E1259" s="1"/>
      <c r="F1259" s="1"/>
      <c r="G1259" s="1"/>
      <c r="H1259" s="7"/>
      <c r="I1259" s="141" t="s">
        <v>394</v>
      </c>
      <c r="J1259" s="161">
        <v>1</v>
      </c>
      <c r="K1259" s="142">
        <f>K1250</f>
        <v>9562.5</v>
      </c>
      <c r="L1259" s="100">
        <f>J1259*K1259</f>
        <v>9562.5</v>
      </c>
      <c r="M1259" s="148" t="s">
        <v>233</v>
      </c>
      <c r="N1259" s="101">
        <f>L1259+M1259</f>
        <v>9562.5</v>
      </c>
      <c r="O1259" s="538"/>
    </row>
    <row r="1260" spans="1:15" ht="13.95" customHeight="1" x14ac:dyDescent="0.3">
      <c r="A1260" s="198"/>
      <c r="B1260" s="106" t="s">
        <v>233</v>
      </c>
      <c r="C1260" s="1" t="s">
        <v>21</v>
      </c>
      <c r="D1260" s="1"/>
      <c r="E1260" s="1"/>
      <c r="F1260" s="1"/>
      <c r="G1260" s="1"/>
      <c r="H1260" s="7"/>
      <c r="I1260" s="141" t="s">
        <v>148</v>
      </c>
      <c r="J1260" s="161">
        <f>J1251</f>
        <v>0.189</v>
      </c>
      <c r="K1260" s="142">
        <f>$L$430</f>
        <v>24295</v>
      </c>
      <c r="L1260" s="100">
        <f>J1260*K1260</f>
        <v>4591.7550000000001</v>
      </c>
      <c r="M1260" s="148" t="s">
        <v>233</v>
      </c>
      <c r="N1260" s="101">
        <f>L1260+M1260</f>
        <v>4591.7550000000001</v>
      </c>
      <c r="O1260" s="538"/>
    </row>
    <row r="1261" spans="1:15" ht="13.95" customHeight="1" x14ac:dyDescent="0.3">
      <c r="A1261" s="198"/>
      <c r="B1261" s="106" t="s">
        <v>233</v>
      </c>
      <c r="C1261" s="1" t="s">
        <v>395</v>
      </c>
      <c r="D1261" s="1"/>
      <c r="E1261" s="1"/>
      <c r="F1261" s="1"/>
      <c r="G1261" s="1"/>
      <c r="H1261" s="7"/>
      <c r="I1261" s="141" t="s">
        <v>148</v>
      </c>
      <c r="J1261" s="161">
        <f>J1258-J1260</f>
        <v>2.0999999999999991E-2</v>
      </c>
      <c r="K1261" s="142">
        <f>$L$437</f>
        <v>31375</v>
      </c>
      <c r="L1261" s="100">
        <f>J1261*K1261</f>
        <v>658.87499999999966</v>
      </c>
      <c r="M1261" s="148" t="s">
        <v>233</v>
      </c>
      <c r="N1261" s="101">
        <f>L1261+M1261</f>
        <v>658.87499999999966</v>
      </c>
      <c r="O1261" s="538"/>
    </row>
    <row r="1262" spans="1:15" ht="13.95" customHeight="1" x14ac:dyDescent="0.3">
      <c r="A1262" s="198"/>
      <c r="B1262" s="1"/>
      <c r="C1262" s="1"/>
      <c r="D1262" s="1"/>
      <c r="E1262" s="1"/>
      <c r="F1262" s="1"/>
      <c r="G1262" s="1"/>
      <c r="H1262" s="7"/>
      <c r="I1262" s="107"/>
      <c r="J1262" s="107"/>
      <c r="K1262" s="150" t="s">
        <v>245</v>
      </c>
      <c r="L1262" s="107">
        <f>SUM(L1258:L1261)</f>
        <v>28546.079999999998</v>
      </c>
      <c r="M1262" s="170" t="s">
        <v>233</v>
      </c>
      <c r="N1262" s="109">
        <f>SUM(N1258:N1261)</f>
        <v>28546.079999999998</v>
      </c>
      <c r="O1262" s="538"/>
    </row>
    <row r="1263" spans="1:15" ht="13.95" customHeight="1" x14ac:dyDescent="0.3">
      <c r="A1263" s="198"/>
      <c r="B1263" s="1"/>
      <c r="C1263" s="1"/>
      <c r="D1263" s="1"/>
      <c r="E1263" s="1"/>
      <c r="F1263" s="1"/>
      <c r="G1263" s="1"/>
      <c r="H1263" s="7"/>
      <c r="I1263" s="72"/>
      <c r="J1263" s="72"/>
      <c r="K1263" s="289" t="s">
        <v>512</v>
      </c>
      <c r="L1263" s="100"/>
      <c r="M1263" s="99"/>
      <c r="N1263" s="101">
        <f>N1262*15%</f>
        <v>4281.9119999999994</v>
      </c>
      <c r="O1263" s="538"/>
    </row>
    <row r="1264" spans="1:15" ht="13.95" customHeight="1" x14ac:dyDescent="0.3">
      <c r="A1264" s="198"/>
      <c r="B1264" s="1"/>
      <c r="C1264" s="1"/>
      <c r="D1264" s="1"/>
      <c r="E1264" s="1"/>
      <c r="F1264" s="1"/>
      <c r="G1264" s="1"/>
      <c r="H1264" s="7"/>
      <c r="I1264" s="212"/>
      <c r="J1264" s="212"/>
      <c r="K1264" s="185" t="s">
        <v>247</v>
      </c>
      <c r="L1264" s="100"/>
      <c r="M1264" s="148"/>
      <c r="N1264" s="101">
        <f>N1262+N1263</f>
        <v>32827.991999999998</v>
      </c>
      <c r="O1264" s="538"/>
    </row>
    <row r="1265" spans="1:15" ht="13.95" customHeight="1" x14ac:dyDescent="0.3">
      <c r="A1265" s="183">
        <f>A1257+1</f>
        <v>29</v>
      </c>
      <c r="B1265" s="95" t="s">
        <v>406</v>
      </c>
      <c r="C1265" s="95"/>
      <c r="D1265" s="95"/>
      <c r="E1265" s="95"/>
      <c r="F1265" s="95"/>
      <c r="G1265" s="95"/>
      <c r="H1265" s="95"/>
      <c r="I1265" s="95"/>
      <c r="J1265" s="95"/>
      <c r="K1265" s="95"/>
      <c r="L1265" s="95"/>
      <c r="M1265" s="95"/>
      <c r="N1265" s="197"/>
      <c r="O1265" s="538"/>
    </row>
    <row r="1266" spans="1:15" ht="13.95" customHeight="1" x14ac:dyDescent="0.3">
      <c r="A1266" s="184"/>
      <c r="B1266" s="106" t="s">
        <v>233</v>
      </c>
      <c r="C1266" s="1" t="s">
        <v>16</v>
      </c>
      <c r="D1266" s="1"/>
      <c r="E1266" s="1"/>
      <c r="F1266" s="1"/>
      <c r="G1266" s="1"/>
      <c r="H1266" s="7"/>
      <c r="I1266" s="141" t="s">
        <v>148</v>
      </c>
      <c r="J1266" s="161">
        <v>0.21</v>
      </c>
      <c r="K1266" s="142">
        <f>$L$380</f>
        <v>16447.5</v>
      </c>
      <c r="L1266" s="100">
        <f>J1266*K1266</f>
        <v>3453.9749999999999</v>
      </c>
      <c r="M1266" s="148" t="s">
        <v>233</v>
      </c>
      <c r="N1266" s="101">
        <f>L1266+M1266</f>
        <v>3453.9749999999999</v>
      </c>
      <c r="O1266" s="538">
        <f>0.3*0.4*1</f>
        <v>0.12</v>
      </c>
    </row>
    <row r="1267" spans="1:15" ht="13.95" customHeight="1" x14ac:dyDescent="0.3">
      <c r="A1267" s="184"/>
      <c r="B1267" s="106" t="s">
        <v>233</v>
      </c>
      <c r="C1267" s="1" t="s">
        <v>393</v>
      </c>
      <c r="D1267" s="1"/>
      <c r="E1267" s="1"/>
      <c r="F1267" s="1"/>
      <c r="G1267" s="1"/>
      <c r="H1267" s="7"/>
      <c r="I1267" s="141" t="s">
        <v>394</v>
      </c>
      <c r="J1267" s="161">
        <v>1</v>
      </c>
      <c r="K1267" s="142">
        <f>N1173</f>
        <v>7245</v>
      </c>
      <c r="L1267" s="100">
        <f>J1267*K1267</f>
        <v>7245</v>
      </c>
      <c r="M1267" s="148" t="s">
        <v>233</v>
      </c>
      <c r="N1267" s="101">
        <f>L1267+M1267</f>
        <v>7245</v>
      </c>
      <c r="O1267" s="538"/>
    </row>
    <row r="1268" spans="1:15" ht="13.95" customHeight="1" x14ac:dyDescent="0.3">
      <c r="A1268" s="184"/>
      <c r="B1268" s="106" t="s">
        <v>233</v>
      </c>
      <c r="C1268" s="1" t="s">
        <v>21</v>
      </c>
      <c r="D1268" s="1"/>
      <c r="E1268" s="1"/>
      <c r="F1268" s="1"/>
      <c r="G1268" s="1"/>
      <c r="H1268" s="7"/>
      <c r="I1268" s="141" t="s">
        <v>148</v>
      </c>
      <c r="J1268" s="161">
        <f>J1266*0.9</f>
        <v>0.189</v>
      </c>
      <c r="K1268" s="142">
        <f>$L$430</f>
        <v>24295</v>
      </c>
      <c r="L1268" s="100">
        <f>J1268*K1268</f>
        <v>4591.7550000000001</v>
      </c>
      <c r="M1268" s="148" t="s">
        <v>233</v>
      </c>
      <c r="N1268" s="101">
        <f>L1268+M1268</f>
        <v>4591.7550000000001</v>
      </c>
      <c r="O1268" s="538"/>
    </row>
    <row r="1269" spans="1:15" ht="13.95" customHeight="1" x14ac:dyDescent="0.3">
      <c r="A1269" s="184"/>
      <c r="B1269" s="106" t="s">
        <v>233</v>
      </c>
      <c r="C1269" s="1" t="s">
        <v>395</v>
      </c>
      <c r="D1269" s="1"/>
      <c r="E1269" s="1"/>
      <c r="F1269" s="1"/>
      <c r="G1269" s="1"/>
      <c r="H1269" s="7"/>
      <c r="I1269" s="141" t="s">
        <v>148</v>
      </c>
      <c r="J1269" s="161">
        <f>J1266-J1268</f>
        <v>2.0999999999999991E-2</v>
      </c>
      <c r="K1269" s="142">
        <f>$L$437</f>
        <v>31375</v>
      </c>
      <c r="L1269" s="100">
        <f>J1269*K1269</f>
        <v>658.87499999999966</v>
      </c>
      <c r="M1269" s="148" t="s">
        <v>233</v>
      </c>
      <c r="N1269" s="101">
        <f>L1269+M1269</f>
        <v>658.87499999999966</v>
      </c>
      <c r="O1269" s="538"/>
    </row>
    <row r="1270" spans="1:15" ht="13.95" customHeight="1" x14ac:dyDescent="0.3">
      <c r="A1270" s="184"/>
      <c r="B1270" s="1"/>
      <c r="C1270" s="1"/>
      <c r="D1270" s="1"/>
      <c r="E1270" s="1"/>
      <c r="F1270" s="1"/>
      <c r="G1270" s="1"/>
      <c r="H1270" s="7"/>
      <c r="I1270" s="107"/>
      <c r="J1270" s="107"/>
      <c r="K1270" s="150" t="s">
        <v>245</v>
      </c>
      <c r="L1270" s="107">
        <f>SUM(L1266:L1269)</f>
        <v>15949.605</v>
      </c>
      <c r="M1270" s="170" t="s">
        <v>233</v>
      </c>
      <c r="N1270" s="109">
        <f>SUM(N1266:N1269)</f>
        <v>15949.605</v>
      </c>
      <c r="O1270" s="538"/>
    </row>
    <row r="1271" spans="1:15" ht="13.95" customHeight="1" x14ac:dyDescent="0.3">
      <c r="A1271" s="184"/>
      <c r="B1271" s="1"/>
      <c r="C1271" s="1"/>
      <c r="D1271" s="1"/>
      <c r="E1271" s="1"/>
      <c r="F1271" s="1"/>
      <c r="G1271" s="1"/>
      <c r="H1271" s="7"/>
      <c r="I1271" s="72"/>
      <c r="J1271" s="72"/>
      <c r="K1271" s="289" t="s">
        <v>512</v>
      </c>
      <c r="L1271" s="100"/>
      <c r="M1271" s="99"/>
      <c r="N1271" s="101">
        <f>N1270*15%</f>
        <v>2392.4407499999998</v>
      </c>
      <c r="O1271" s="538"/>
    </row>
    <row r="1272" spans="1:15" ht="13.95" customHeight="1" x14ac:dyDescent="0.3">
      <c r="A1272" s="184"/>
      <c r="B1272" s="1"/>
      <c r="C1272" s="1"/>
      <c r="D1272" s="1"/>
      <c r="E1272" s="1"/>
      <c r="F1272" s="1"/>
      <c r="G1272" s="1"/>
      <c r="H1272" s="7"/>
      <c r="I1272" s="212"/>
      <c r="J1272" s="212"/>
      <c r="K1272" s="185" t="s">
        <v>247</v>
      </c>
      <c r="L1272" s="100"/>
      <c r="M1272" s="148"/>
      <c r="N1272" s="101">
        <f>N1270+N1271</f>
        <v>18342.045749999997</v>
      </c>
      <c r="O1272" s="538"/>
    </row>
    <row r="1273" spans="1:15" ht="13.95" customHeight="1" x14ac:dyDescent="0.3">
      <c r="A1273" s="183">
        <f>A1265+1</f>
        <v>30</v>
      </c>
      <c r="B1273" s="95" t="s">
        <v>407</v>
      </c>
      <c r="C1273" s="95"/>
      <c r="D1273" s="95"/>
      <c r="E1273" s="95"/>
      <c r="F1273" s="95"/>
      <c r="G1273" s="95"/>
      <c r="H1273" s="95"/>
      <c r="I1273" s="95"/>
      <c r="J1273" s="95"/>
      <c r="K1273" s="95"/>
      <c r="L1273" s="95"/>
      <c r="M1273" s="95"/>
      <c r="N1273" s="197"/>
      <c r="O1273" s="538"/>
    </row>
    <row r="1274" spans="1:15" ht="13.95" customHeight="1" x14ac:dyDescent="0.3">
      <c r="A1274" s="184"/>
      <c r="B1274" s="106" t="s">
        <v>233</v>
      </c>
      <c r="C1274" s="1" t="s">
        <v>18</v>
      </c>
      <c r="D1274" s="1"/>
      <c r="E1274" s="1"/>
      <c r="F1274" s="1"/>
      <c r="G1274" s="1"/>
      <c r="H1274" s="7"/>
      <c r="I1274" s="141" t="s">
        <v>148</v>
      </c>
      <c r="J1274" s="161">
        <f>J1266</f>
        <v>0.21</v>
      </c>
      <c r="K1274" s="142">
        <f>$L$408</f>
        <v>65395</v>
      </c>
      <c r="L1274" s="100">
        <f>J1274*K1274</f>
        <v>13732.949999999999</v>
      </c>
      <c r="M1274" s="148" t="s">
        <v>233</v>
      </c>
      <c r="N1274" s="101">
        <f>L1274+M1274</f>
        <v>13732.949999999999</v>
      </c>
    </row>
    <row r="1275" spans="1:15" ht="13.95" customHeight="1" x14ac:dyDescent="0.3">
      <c r="A1275" s="184"/>
      <c r="B1275" s="106" t="s">
        <v>233</v>
      </c>
      <c r="C1275" s="1" t="s">
        <v>393</v>
      </c>
      <c r="D1275" s="1"/>
      <c r="E1275" s="1"/>
      <c r="F1275" s="1"/>
      <c r="G1275" s="1"/>
      <c r="H1275" s="7"/>
      <c r="I1275" s="141" t="s">
        <v>394</v>
      </c>
      <c r="J1275" s="161">
        <v>1</v>
      </c>
      <c r="K1275" s="142">
        <f>K1267</f>
        <v>7245</v>
      </c>
      <c r="L1275" s="100">
        <f>J1275*K1275</f>
        <v>7245</v>
      </c>
      <c r="M1275" s="148" t="s">
        <v>233</v>
      </c>
      <c r="N1275" s="101">
        <f>L1275+M1275</f>
        <v>7245</v>
      </c>
    </row>
    <row r="1276" spans="1:15" ht="13.95" customHeight="1" x14ac:dyDescent="0.3">
      <c r="A1276" s="184"/>
      <c r="B1276" s="106" t="s">
        <v>233</v>
      </c>
      <c r="C1276" s="1" t="s">
        <v>21</v>
      </c>
      <c r="D1276" s="1"/>
      <c r="E1276" s="1"/>
      <c r="F1276" s="1"/>
      <c r="G1276" s="1"/>
      <c r="H1276" s="7"/>
      <c r="I1276" s="141" t="s">
        <v>148</v>
      </c>
      <c r="J1276" s="161">
        <f>J1268</f>
        <v>0.189</v>
      </c>
      <c r="K1276" s="142">
        <f>$L$430</f>
        <v>24295</v>
      </c>
      <c r="L1276" s="100">
        <f>J1276*K1276</f>
        <v>4591.7550000000001</v>
      </c>
      <c r="M1276" s="148" t="s">
        <v>233</v>
      </c>
      <c r="N1276" s="101">
        <f>L1276+M1276</f>
        <v>4591.7550000000001</v>
      </c>
    </row>
    <row r="1277" spans="1:15" ht="13.95" customHeight="1" x14ac:dyDescent="0.3">
      <c r="A1277" s="184"/>
      <c r="B1277" s="106" t="s">
        <v>233</v>
      </c>
      <c r="C1277" s="1" t="s">
        <v>395</v>
      </c>
      <c r="D1277" s="1"/>
      <c r="E1277" s="1"/>
      <c r="F1277" s="1"/>
      <c r="G1277" s="1"/>
      <c r="H1277" s="7"/>
      <c r="I1277" s="141" t="s">
        <v>148</v>
      </c>
      <c r="J1277" s="161">
        <f>J1274-J1276</f>
        <v>2.0999999999999991E-2</v>
      </c>
      <c r="K1277" s="142">
        <f>$L$437</f>
        <v>31375</v>
      </c>
      <c r="L1277" s="100">
        <f>J1277*K1277</f>
        <v>658.87499999999966</v>
      </c>
      <c r="M1277" s="148" t="s">
        <v>233</v>
      </c>
      <c r="N1277" s="101">
        <f>L1277+M1277</f>
        <v>658.87499999999966</v>
      </c>
    </row>
    <row r="1278" spans="1:15" ht="13.95" customHeight="1" x14ac:dyDescent="0.3">
      <c r="A1278" s="184"/>
      <c r="B1278" s="1"/>
      <c r="C1278" s="1"/>
      <c r="D1278" s="1"/>
      <c r="E1278" s="1"/>
      <c r="F1278" s="1"/>
      <c r="G1278" s="1"/>
      <c r="H1278" s="7"/>
      <c r="I1278" s="107"/>
      <c r="J1278" s="107"/>
      <c r="K1278" s="150" t="s">
        <v>245</v>
      </c>
      <c r="L1278" s="107">
        <f>SUM(L1274:L1277)</f>
        <v>26228.579999999998</v>
      </c>
      <c r="M1278" s="170" t="s">
        <v>233</v>
      </c>
      <c r="N1278" s="109">
        <f>SUM(N1274:N1277)</f>
        <v>26228.579999999998</v>
      </c>
    </row>
    <row r="1279" spans="1:15" x14ac:dyDescent="0.3">
      <c r="A1279" s="184"/>
      <c r="B1279" s="1"/>
      <c r="C1279" s="1"/>
      <c r="D1279" s="1"/>
      <c r="E1279" s="1"/>
      <c r="F1279" s="1"/>
      <c r="G1279" s="1"/>
      <c r="H1279" s="7"/>
      <c r="I1279" s="72"/>
      <c r="J1279" s="72"/>
      <c r="K1279" s="289" t="s">
        <v>512</v>
      </c>
      <c r="L1279" s="100"/>
      <c r="M1279" s="99"/>
      <c r="N1279" s="101">
        <f>N1278*15%</f>
        <v>3934.2869999999994</v>
      </c>
    </row>
    <row r="1280" spans="1:15" x14ac:dyDescent="0.3">
      <c r="A1280" s="186"/>
      <c r="B1280" s="173"/>
      <c r="C1280" s="173"/>
      <c r="D1280" s="173"/>
      <c r="E1280" s="173"/>
      <c r="F1280" s="173"/>
      <c r="G1280" s="173"/>
      <c r="H1280" s="174"/>
      <c r="I1280" s="218"/>
      <c r="J1280" s="218"/>
      <c r="K1280" s="191" t="s">
        <v>247</v>
      </c>
      <c r="L1280" s="175"/>
      <c r="M1280" s="177"/>
      <c r="N1280" s="116">
        <f>N1278+N1279</f>
        <v>30162.866999999998</v>
      </c>
    </row>
    <row r="1281" spans="1:14" x14ac:dyDescent="0.3">
      <c r="A1281" s="494"/>
      <c r="B1281" s="495"/>
      <c r="C1281" s="495"/>
      <c r="D1281" s="495"/>
      <c r="E1281" s="495"/>
      <c r="F1281" s="495"/>
      <c r="G1281" s="495"/>
      <c r="H1281" s="496"/>
      <c r="I1281" s="497"/>
      <c r="J1281" s="498"/>
      <c r="K1281" s="496"/>
      <c r="L1281" s="496"/>
      <c r="M1281" s="496"/>
      <c r="N1281" s="499"/>
    </row>
    <row r="1282" spans="1:14" x14ac:dyDescent="0.3">
      <c r="A1282" s="454"/>
      <c r="B1282" s="1" t="s">
        <v>570</v>
      </c>
      <c r="C1282" s="316"/>
      <c r="D1282" s="316"/>
      <c r="E1282" s="316"/>
      <c r="F1282" s="316"/>
      <c r="G1282" s="316"/>
      <c r="H1282" s="316"/>
      <c r="I1282" s="106"/>
      <c r="J1282" s="455"/>
      <c r="K1282" s="2"/>
      <c r="L1282" s="2"/>
      <c r="M1282" s="1"/>
      <c r="N1282" s="1"/>
    </row>
    <row r="1283" spans="1:14" x14ac:dyDescent="0.3">
      <c r="A1283" s="454"/>
      <c r="B1283" s="1" t="s">
        <v>571</v>
      </c>
      <c r="C1283" s="316"/>
      <c r="D1283" s="316"/>
      <c r="E1283" s="316"/>
      <c r="F1283" s="316"/>
      <c r="G1283" s="316"/>
      <c r="H1283" s="316"/>
      <c r="I1283" s="106"/>
      <c r="J1283" s="455"/>
      <c r="K1283" s="2"/>
      <c r="L1283" s="2"/>
      <c r="M1283" s="1"/>
      <c r="N1283" s="1"/>
    </row>
    <row r="1284" spans="1:14" x14ac:dyDescent="0.3">
      <c r="A1284" s="456"/>
      <c r="B1284" s="457" t="s">
        <v>572</v>
      </c>
      <c r="C1284" s="458"/>
      <c r="D1284" s="458"/>
      <c r="E1284" s="458"/>
      <c r="F1284" s="458"/>
      <c r="G1284" s="459"/>
      <c r="H1284" s="460"/>
      <c r="I1284" s="461" t="s">
        <v>86</v>
      </c>
      <c r="J1284" s="462">
        <v>1</v>
      </c>
      <c r="K1284" s="463">
        <f>'UPAH BAHAN'!H106</f>
        <v>950000</v>
      </c>
      <c r="L1284" s="464"/>
      <c r="M1284" s="465">
        <f>K1284*J1284</f>
        <v>950000</v>
      </c>
      <c r="N1284" s="463">
        <f>M1284+L1284</f>
        <v>950000</v>
      </c>
    </row>
    <row r="1285" spans="1:14" x14ac:dyDescent="0.3">
      <c r="A1285" s="466"/>
      <c r="B1285" s="467" t="s">
        <v>573</v>
      </c>
      <c r="C1285" s="1"/>
      <c r="D1285" s="1"/>
      <c r="E1285" s="1"/>
      <c r="F1285" s="1"/>
      <c r="G1285" s="316"/>
      <c r="H1285" s="468"/>
      <c r="I1285" s="469" t="s">
        <v>28</v>
      </c>
      <c r="J1285" s="470">
        <v>126.55</v>
      </c>
      <c r="K1285" s="471">
        <v>21479</v>
      </c>
      <c r="L1285" s="472"/>
      <c r="M1285" s="473">
        <f>K1285*J1285</f>
        <v>2718167.4499999997</v>
      </c>
      <c r="N1285" s="471">
        <f>M1285+L1285</f>
        <v>2718167.4499999997</v>
      </c>
    </row>
    <row r="1286" spans="1:14" x14ac:dyDescent="0.3">
      <c r="A1286" s="466"/>
      <c r="B1286" s="467" t="s">
        <v>574</v>
      </c>
      <c r="C1286" s="1"/>
      <c r="D1286" s="1"/>
      <c r="E1286" s="1"/>
      <c r="F1286" s="1"/>
      <c r="G1286" s="316"/>
      <c r="H1286" s="468"/>
      <c r="I1286" s="469" t="s">
        <v>158</v>
      </c>
      <c r="J1286" s="470">
        <v>0.44799999999999995</v>
      </c>
      <c r="K1286" s="471">
        <f>N458</f>
        <v>713287</v>
      </c>
      <c r="L1286" s="472"/>
      <c r="M1286" s="473">
        <f>K1286*J1286</f>
        <v>319552.57599999994</v>
      </c>
      <c r="N1286" s="471">
        <f>M1286+L1286</f>
        <v>319552.57599999994</v>
      </c>
    </row>
    <row r="1287" spans="1:14" x14ac:dyDescent="0.3">
      <c r="A1287" s="474"/>
      <c r="B1287" s="475" t="s">
        <v>575</v>
      </c>
      <c r="C1287" s="476"/>
      <c r="D1287" s="476"/>
      <c r="E1287" s="476"/>
      <c r="F1287" s="476"/>
      <c r="G1287" s="477"/>
      <c r="H1287" s="478"/>
      <c r="I1287" s="479" t="s">
        <v>250</v>
      </c>
      <c r="J1287" s="480">
        <v>0.15</v>
      </c>
      <c r="K1287" s="481">
        <v>3690095.48</v>
      </c>
      <c r="L1287" s="482">
        <f>J1287*K1287</f>
        <v>553514.32199999993</v>
      </c>
      <c r="M1287" s="483" t="s">
        <v>233</v>
      </c>
      <c r="N1287" s="481">
        <f>M1287+L1287</f>
        <v>553514.32199999993</v>
      </c>
    </row>
    <row r="1288" spans="1:14" x14ac:dyDescent="0.3">
      <c r="A1288" s="461"/>
      <c r="B1288" s="484"/>
      <c r="C1288" s="485"/>
      <c r="D1288" s="485"/>
      <c r="E1288" s="485"/>
      <c r="F1288" s="485"/>
      <c r="G1288" s="485"/>
      <c r="H1288" s="486"/>
      <c r="I1288" s="107"/>
      <c r="J1288" s="107"/>
      <c r="K1288" s="150" t="s">
        <v>245</v>
      </c>
      <c r="L1288" s="107">
        <f>SUM(L1284:L1287)</f>
        <v>553514.32199999993</v>
      </c>
      <c r="M1288" s="170" t="s">
        <v>233</v>
      </c>
      <c r="N1288" s="109">
        <f>SUM(N1284:N1287)</f>
        <v>4541234.3479999993</v>
      </c>
    </row>
    <row r="1289" spans="1:14" x14ac:dyDescent="0.3">
      <c r="A1289" s="469"/>
      <c r="B1289" s="487"/>
      <c r="C1289" s="488"/>
      <c r="D1289" s="488"/>
      <c r="E1289" s="488"/>
      <c r="F1289" s="488"/>
      <c r="G1289" s="488"/>
      <c r="H1289" s="489"/>
      <c r="I1289" s="72"/>
      <c r="J1289" s="72"/>
      <c r="K1289" s="289" t="s">
        <v>512</v>
      </c>
      <c r="L1289" s="100"/>
      <c r="M1289" s="99"/>
      <c r="N1289" s="101">
        <f>N1288*15%</f>
        <v>681185.15219999989</v>
      </c>
    </row>
    <row r="1290" spans="1:14" x14ac:dyDescent="0.3">
      <c r="A1290" s="479"/>
      <c r="B1290" s="490"/>
      <c r="C1290" s="491"/>
      <c r="D1290" s="491"/>
      <c r="E1290" s="491"/>
      <c r="F1290" s="491"/>
      <c r="G1290" s="491"/>
      <c r="H1290" s="492"/>
      <c r="I1290" s="218"/>
      <c r="J1290" s="218"/>
      <c r="K1290" s="191" t="s">
        <v>247</v>
      </c>
      <c r="L1290" s="175"/>
      <c r="M1290" s="177"/>
      <c r="N1290" s="116">
        <f>N1288+N1289</f>
        <v>5222419.5001999997</v>
      </c>
    </row>
    <row r="1291" spans="1:14" x14ac:dyDescent="0.3">
      <c r="A1291" s="454"/>
      <c r="B1291" s="1"/>
      <c r="C1291" s="1"/>
      <c r="D1291" s="1"/>
      <c r="E1291" s="1"/>
      <c r="F1291" s="1"/>
      <c r="G1291" s="316"/>
      <c r="H1291" s="316"/>
      <c r="I1291" s="106"/>
      <c r="J1291" s="493"/>
      <c r="K1291" s="2"/>
      <c r="M1291" s="1"/>
      <c r="N1291" s="2"/>
    </row>
    <row r="1292" spans="1:14" x14ac:dyDescent="0.3">
      <c r="A1292" s="454"/>
      <c r="B1292" s="1" t="s">
        <v>576</v>
      </c>
      <c r="C1292" s="316"/>
      <c r="D1292" s="316"/>
      <c r="E1292" s="316"/>
      <c r="F1292" s="316"/>
      <c r="G1292" s="316"/>
      <c r="H1292" s="316"/>
      <c r="I1292" s="106"/>
      <c r="J1292" s="455"/>
      <c r="K1292" s="2"/>
      <c r="L1292" s="2"/>
      <c r="M1292" s="1"/>
      <c r="N1292" s="1"/>
    </row>
    <row r="1293" spans="1:14" x14ac:dyDescent="0.3">
      <c r="A1293" s="454"/>
      <c r="B1293" s="1" t="s">
        <v>571</v>
      </c>
      <c r="C1293" s="316"/>
      <c r="D1293" s="316"/>
      <c r="E1293" s="316"/>
      <c r="F1293" s="316"/>
      <c r="G1293" s="316"/>
      <c r="H1293" s="316"/>
      <c r="I1293" s="106"/>
      <c r="J1293" s="455"/>
      <c r="K1293" s="2"/>
      <c r="L1293" s="2"/>
      <c r="M1293" s="1"/>
      <c r="N1293" s="1"/>
    </row>
    <row r="1294" spans="1:14" x14ac:dyDescent="0.3">
      <c r="A1294" s="456"/>
      <c r="B1294" s="457" t="s">
        <v>572</v>
      </c>
      <c r="C1294" s="458"/>
      <c r="D1294" s="458"/>
      <c r="E1294" s="458"/>
      <c r="F1294" s="458"/>
      <c r="G1294" s="459"/>
      <c r="H1294" s="460"/>
      <c r="I1294" s="461" t="s">
        <v>86</v>
      </c>
      <c r="J1294" s="462">
        <v>1</v>
      </c>
      <c r="K1294" s="465">
        <f>'UPAH BAHAN'!H107</f>
        <v>1500000</v>
      </c>
      <c r="L1294" s="464"/>
      <c r="M1294" s="465">
        <f>K1294*J1294</f>
        <v>1500000</v>
      </c>
      <c r="N1294" s="463">
        <f>M1294+L1294</f>
        <v>1500000</v>
      </c>
    </row>
    <row r="1295" spans="1:14" x14ac:dyDescent="0.3">
      <c r="A1295" s="466"/>
      <c r="B1295" s="467" t="s">
        <v>573</v>
      </c>
      <c r="C1295" s="1"/>
      <c r="D1295" s="1"/>
      <c r="E1295" s="1"/>
      <c r="F1295" s="1"/>
      <c r="G1295" s="316"/>
      <c r="H1295" s="468"/>
      <c r="I1295" s="469" t="s">
        <v>28</v>
      </c>
      <c r="J1295" s="470">
        <v>126.55</v>
      </c>
      <c r="K1295" s="473">
        <f>K1285</f>
        <v>21479</v>
      </c>
      <c r="L1295" s="472"/>
      <c r="M1295" s="473">
        <f>K1295*J1295</f>
        <v>2718167.4499999997</v>
      </c>
      <c r="N1295" s="471">
        <f>M1295+L1295</f>
        <v>2718167.4499999997</v>
      </c>
    </row>
    <row r="1296" spans="1:14" x14ac:dyDescent="0.3">
      <c r="A1296" s="466"/>
      <c r="B1296" s="467" t="s">
        <v>574</v>
      </c>
      <c r="C1296" s="1"/>
      <c r="D1296" s="1"/>
      <c r="E1296" s="1"/>
      <c r="F1296" s="1"/>
      <c r="G1296" s="316"/>
      <c r="H1296" s="468"/>
      <c r="I1296" s="469" t="s">
        <v>158</v>
      </c>
      <c r="J1296" s="470">
        <v>0.44799999999999995</v>
      </c>
      <c r="K1296" s="473">
        <f>K1286</f>
        <v>713287</v>
      </c>
      <c r="L1296" s="472"/>
      <c r="M1296" s="473">
        <f>K1296*J1296</f>
        <v>319552.57599999994</v>
      </c>
      <c r="N1296" s="471">
        <f>M1296+L1296</f>
        <v>319552.57599999994</v>
      </c>
    </row>
    <row r="1297" spans="1:14" x14ac:dyDescent="0.3">
      <c r="A1297" s="474"/>
      <c r="B1297" s="475" t="s">
        <v>575</v>
      </c>
      <c r="C1297" s="476"/>
      <c r="D1297" s="476"/>
      <c r="E1297" s="476"/>
      <c r="F1297" s="476"/>
      <c r="G1297" s="477"/>
      <c r="H1297" s="478"/>
      <c r="I1297" s="479" t="s">
        <v>250</v>
      </c>
      <c r="J1297" s="480">
        <v>0.15</v>
      </c>
      <c r="K1297" s="481">
        <v>4649826.6500000004</v>
      </c>
      <c r="L1297" s="482">
        <f>J1297*K1297</f>
        <v>697473.99750000006</v>
      </c>
      <c r="M1297" s="483" t="s">
        <v>233</v>
      </c>
      <c r="N1297" s="481">
        <f>M1297+L1297</f>
        <v>697473.99750000006</v>
      </c>
    </row>
    <row r="1298" spans="1:14" x14ac:dyDescent="0.3">
      <c r="A1298" s="461"/>
      <c r="B1298" s="484"/>
      <c r="C1298" s="485"/>
      <c r="D1298" s="485"/>
      <c r="E1298" s="485"/>
      <c r="F1298" s="485"/>
      <c r="G1298" s="485"/>
      <c r="H1298" s="486"/>
      <c r="I1298" s="107"/>
      <c r="J1298" s="107"/>
      <c r="K1298" s="150" t="s">
        <v>245</v>
      </c>
      <c r="L1298" s="107">
        <f>SUM(L1294:L1297)</f>
        <v>697473.99750000006</v>
      </c>
      <c r="M1298" s="170" t="s">
        <v>233</v>
      </c>
      <c r="N1298" s="109">
        <f>SUM(N1294:N1297)</f>
        <v>5235194.0234999992</v>
      </c>
    </row>
    <row r="1299" spans="1:14" x14ac:dyDescent="0.3">
      <c r="A1299" s="469"/>
      <c r="B1299" s="487"/>
      <c r="C1299" s="488"/>
      <c r="D1299" s="488"/>
      <c r="E1299" s="488"/>
      <c r="F1299" s="488"/>
      <c r="G1299" s="488"/>
      <c r="H1299" s="489"/>
      <c r="I1299" s="72"/>
      <c r="J1299" s="72"/>
      <c r="K1299" s="154" t="str">
        <f>K1289</f>
        <v>Over head &amp; Profit 15 %</v>
      </c>
      <c r="L1299" s="100"/>
      <c r="M1299" s="99"/>
      <c r="N1299" s="101">
        <f>N1298*15%</f>
        <v>785279.10352499981</v>
      </c>
    </row>
    <row r="1300" spans="1:14" x14ac:dyDescent="0.3">
      <c r="A1300" s="479"/>
      <c r="B1300" s="490"/>
      <c r="C1300" s="491"/>
      <c r="D1300" s="491"/>
      <c r="E1300" s="491"/>
      <c r="F1300" s="491"/>
      <c r="G1300" s="491"/>
      <c r="H1300" s="492"/>
      <c r="I1300" s="218"/>
      <c r="J1300" s="218"/>
      <c r="K1300" s="191" t="s">
        <v>247</v>
      </c>
      <c r="L1300" s="175"/>
      <c r="M1300" s="177"/>
      <c r="N1300" s="116">
        <f>N1298+N1299</f>
        <v>6020473.1270249989</v>
      </c>
    </row>
    <row r="1301" spans="1:14" x14ac:dyDescent="0.3">
      <c r="A1301" s="454"/>
      <c r="B1301" s="1" t="s">
        <v>577</v>
      </c>
      <c r="C1301" s="316"/>
      <c r="D1301" s="316"/>
      <c r="E1301" s="316"/>
      <c r="F1301" s="316"/>
      <c r="G1301" s="316"/>
      <c r="H1301" s="316"/>
      <c r="I1301" s="106"/>
      <c r="J1301" s="455"/>
      <c r="K1301" s="2"/>
      <c r="L1301" s="2"/>
      <c r="M1301" s="1"/>
      <c r="N1301" s="1"/>
    </row>
    <row r="1302" spans="1:14" x14ac:dyDescent="0.3">
      <c r="A1302" s="454"/>
      <c r="B1302" s="1" t="s">
        <v>571</v>
      </c>
      <c r="C1302" s="316"/>
      <c r="D1302" s="316"/>
      <c r="E1302" s="316"/>
      <c r="F1302" s="316"/>
      <c r="G1302" s="316"/>
      <c r="H1302" s="316"/>
      <c r="I1302" s="106"/>
      <c r="J1302" s="455"/>
      <c r="K1302" s="2"/>
      <c r="L1302" s="2"/>
      <c r="M1302" s="1"/>
      <c r="N1302" s="1"/>
    </row>
    <row r="1303" spans="1:14" x14ac:dyDescent="0.3">
      <c r="A1303" s="456"/>
      <c r="B1303" s="457" t="s">
        <v>572</v>
      </c>
      <c r="C1303" s="458"/>
      <c r="D1303" s="458"/>
      <c r="E1303" s="458"/>
      <c r="F1303" s="458"/>
      <c r="G1303" s="459"/>
      <c r="H1303" s="460"/>
      <c r="I1303" s="461" t="s">
        <v>86</v>
      </c>
      <c r="J1303" s="462">
        <v>1</v>
      </c>
      <c r="K1303" s="465">
        <f>'UPAH BAHAN'!H108</f>
        <v>2500000</v>
      </c>
      <c r="L1303" s="464"/>
      <c r="M1303" s="465">
        <f>K1303*J1303</f>
        <v>2500000</v>
      </c>
      <c r="N1303" s="463">
        <f>M1303+L1303</f>
        <v>2500000</v>
      </c>
    </row>
    <row r="1304" spans="1:14" x14ac:dyDescent="0.3">
      <c r="A1304" s="466"/>
      <c r="B1304" s="467" t="s">
        <v>573</v>
      </c>
      <c r="C1304" s="1"/>
      <c r="D1304" s="1"/>
      <c r="E1304" s="1"/>
      <c r="F1304" s="1"/>
      <c r="G1304" s="316"/>
      <c r="H1304" s="468"/>
      <c r="I1304" s="469" t="s">
        <v>28</v>
      </c>
      <c r="J1304" s="470">
        <v>126.55</v>
      </c>
      <c r="K1304" s="473">
        <f>K1295</f>
        <v>21479</v>
      </c>
      <c r="L1304" s="472"/>
      <c r="M1304" s="473">
        <f>K1304*J1304</f>
        <v>2718167.4499999997</v>
      </c>
      <c r="N1304" s="471">
        <f>M1304+L1304</f>
        <v>2718167.4499999997</v>
      </c>
    </row>
    <row r="1305" spans="1:14" x14ac:dyDescent="0.3">
      <c r="A1305" s="466"/>
      <c r="B1305" s="467" t="s">
        <v>574</v>
      </c>
      <c r="C1305" s="1"/>
      <c r="D1305" s="1"/>
      <c r="E1305" s="1"/>
      <c r="F1305" s="1"/>
      <c r="G1305" s="316"/>
      <c r="H1305" s="468"/>
      <c r="I1305" s="469" t="s">
        <v>158</v>
      </c>
      <c r="J1305" s="470">
        <v>0.44799999999999995</v>
      </c>
      <c r="K1305" s="473">
        <f>K1296</f>
        <v>713287</v>
      </c>
      <c r="L1305" s="472"/>
      <c r="M1305" s="473">
        <f>K1305*J1305</f>
        <v>319552.57599999994</v>
      </c>
      <c r="N1305" s="471">
        <f>M1305+L1305</f>
        <v>319552.57599999994</v>
      </c>
    </row>
    <row r="1306" spans="1:14" x14ac:dyDescent="0.3">
      <c r="A1306" s="474"/>
      <c r="B1306" s="475" t="s">
        <v>575</v>
      </c>
      <c r="C1306" s="476"/>
      <c r="D1306" s="476"/>
      <c r="E1306" s="476"/>
      <c r="F1306" s="476"/>
      <c r="G1306" s="477"/>
      <c r="H1306" s="478"/>
      <c r="I1306" s="479" t="s">
        <v>250</v>
      </c>
      <c r="J1306" s="480">
        <v>0.15</v>
      </c>
      <c r="K1306" s="481">
        <v>5933271.75</v>
      </c>
      <c r="L1306" s="482">
        <f>J1306*K1306</f>
        <v>889990.76249999995</v>
      </c>
      <c r="M1306" s="483" t="s">
        <v>233</v>
      </c>
      <c r="N1306" s="481">
        <f>M1306+L1306</f>
        <v>889990.76249999995</v>
      </c>
    </row>
    <row r="1307" spans="1:14" x14ac:dyDescent="0.3">
      <c r="A1307" s="461"/>
      <c r="B1307" s="484"/>
      <c r="C1307" s="485"/>
      <c r="D1307" s="485"/>
      <c r="E1307" s="485"/>
      <c r="F1307" s="485"/>
      <c r="G1307" s="485"/>
      <c r="H1307" s="486"/>
      <c r="I1307" s="107"/>
      <c r="J1307" s="107"/>
      <c r="K1307" s="150" t="s">
        <v>245</v>
      </c>
      <c r="L1307" s="107">
        <f>SUM(L1303:L1306)</f>
        <v>889990.76249999995</v>
      </c>
      <c r="M1307" s="170" t="s">
        <v>233</v>
      </c>
      <c r="N1307" s="109">
        <f>SUM(N1303:N1306)</f>
        <v>6427710.7884999998</v>
      </c>
    </row>
    <row r="1308" spans="1:14" x14ac:dyDescent="0.3">
      <c r="A1308" s="469"/>
      <c r="B1308" s="487"/>
      <c r="C1308" s="488"/>
      <c r="D1308" s="488"/>
      <c r="E1308" s="488"/>
      <c r="F1308" s="488"/>
      <c r="G1308" s="488"/>
      <c r="H1308" s="489"/>
      <c r="I1308" s="72"/>
      <c r="J1308" s="72"/>
      <c r="K1308" s="154" t="str">
        <f>K1299</f>
        <v>Over head &amp; Profit 15 %</v>
      </c>
      <c r="L1308" s="100"/>
      <c r="M1308" s="99"/>
      <c r="N1308" s="101">
        <f>N1307*15%</f>
        <v>964156.6182749999</v>
      </c>
    </row>
    <row r="1309" spans="1:14" x14ac:dyDescent="0.3">
      <c r="A1309" s="479"/>
      <c r="B1309" s="490"/>
      <c r="C1309" s="491"/>
      <c r="D1309" s="491"/>
      <c r="E1309" s="491"/>
      <c r="F1309" s="491"/>
      <c r="G1309" s="491"/>
      <c r="H1309" s="492"/>
      <c r="I1309" s="218"/>
      <c r="J1309" s="218"/>
      <c r="K1309" s="191" t="s">
        <v>247</v>
      </c>
      <c r="L1309" s="175"/>
      <c r="M1309" s="177"/>
      <c r="N1309" s="116">
        <f>N1307+N1308</f>
        <v>7391867.4067749996</v>
      </c>
    </row>
    <row r="1310" spans="1:14" x14ac:dyDescent="0.3">
      <c r="A1310" s="454"/>
      <c r="B1310" s="1" t="s">
        <v>577</v>
      </c>
      <c r="C1310" s="316"/>
      <c r="D1310" s="316"/>
      <c r="E1310" s="316"/>
      <c r="F1310" s="316"/>
      <c r="G1310" s="316"/>
      <c r="H1310" s="316"/>
      <c r="I1310" s="1156"/>
      <c r="J1310" s="455"/>
      <c r="K1310" s="2"/>
      <c r="L1310" s="2"/>
      <c r="M1310" s="1"/>
      <c r="N1310" s="1"/>
    </row>
    <row r="1311" spans="1:14" x14ac:dyDescent="0.3">
      <c r="A1311" s="454"/>
      <c r="B1311" s="1" t="s">
        <v>571</v>
      </c>
      <c r="C1311" s="316"/>
      <c r="D1311" s="316"/>
      <c r="E1311" s="316"/>
      <c r="F1311" s="316"/>
      <c r="G1311" s="316"/>
      <c r="H1311" s="316"/>
      <c r="I1311" s="1156"/>
      <c r="J1311" s="455"/>
      <c r="K1311" s="2"/>
      <c r="L1311" s="2"/>
      <c r="M1311" s="1"/>
      <c r="N1311" s="1"/>
    </row>
    <row r="1312" spans="1:14" x14ac:dyDescent="0.3">
      <c r="A1312" s="456"/>
      <c r="B1312" s="457" t="s">
        <v>572</v>
      </c>
      <c r="C1312" s="458"/>
      <c r="D1312" s="458"/>
      <c r="E1312" s="458"/>
      <c r="F1312" s="458"/>
      <c r="G1312" s="459"/>
      <c r="H1312" s="460"/>
      <c r="I1312" s="461" t="s">
        <v>86</v>
      </c>
      <c r="J1312" s="462">
        <v>1</v>
      </c>
      <c r="K1312" s="465">
        <f>'UPAH BAHAN'!H109</f>
        <v>3700000</v>
      </c>
      <c r="L1312" s="464"/>
      <c r="M1312" s="465">
        <f>K1312*J1312</f>
        <v>3700000</v>
      </c>
      <c r="N1312" s="463">
        <f>M1312+L1312</f>
        <v>3700000</v>
      </c>
    </row>
    <row r="1313" spans="1:14" x14ac:dyDescent="0.3">
      <c r="A1313" s="466"/>
      <c r="B1313" s="467" t="s">
        <v>573</v>
      </c>
      <c r="C1313" s="1"/>
      <c r="D1313" s="1"/>
      <c r="E1313" s="1"/>
      <c r="F1313" s="1"/>
      <c r="G1313" s="316"/>
      <c r="H1313" s="468"/>
      <c r="I1313" s="469" t="s">
        <v>28</v>
      </c>
      <c r="J1313" s="470">
        <v>126.55</v>
      </c>
      <c r="K1313" s="473">
        <f t="shared" ref="K1313:K1315" si="192">K1304</f>
        <v>21479</v>
      </c>
      <c r="L1313" s="472"/>
      <c r="M1313" s="473">
        <f>K1313*J1313</f>
        <v>2718167.4499999997</v>
      </c>
      <c r="N1313" s="471">
        <f>M1313+L1313</f>
        <v>2718167.4499999997</v>
      </c>
    </row>
    <row r="1314" spans="1:14" x14ac:dyDescent="0.3">
      <c r="A1314" s="466"/>
      <c r="B1314" s="467" t="s">
        <v>574</v>
      </c>
      <c r="C1314" s="1"/>
      <c r="D1314" s="1"/>
      <c r="E1314" s="1"/>
      <c r="F1314" s="1"/>
      <c r="G1314" s="316"/>
      <c r="H1314" s="468"/>
      <c r="I1314" s="469" t="s">
        <v>158</v>
      </c>
      <c r="J1314" s="470">
        <v>0.44799999999999995</v>
      </c>
      <c r="K1314" s="473">
        <f t="shared" si="192"/>
        <v>713287</v>
      </c>
      <c r="L1314" s="472"/>
      <c r="M1314" s="473">
        <f>K1314*J1314</f>
        <v>319552.57599999994</v>
      </c>
      <c r="N1314" s="471">
        <f>M1314+L1314</f>
        <v>319552.57599999994</v>
      </c>
    </row>
    <row r="1315" spans="1:14" x14ac:dyDescent="0.3">
      <c r="A1315" s="474"/>
      <c r="B1315" s="475" t="s">
        <v>575</v>
      </c>
      <c r="C1315" s="476"/>
      <c r="D1315" s="476"/>
      <c r="E1315" s="476"/>
      <c r="F1315" s="476"/>
      <c r="G1315" s="477"/>
      <c r="H1315" s="478"/>
      <c r="I1315" s="479" t="s">
        <v>250</v>
      </c>
      <c r="J1315" s="480">
        <v>0.15</v>
      </c>
      <c r="K1315" s="1161">
        <f t="shared" si="192"/>
        <v>5933271.75</v>
      </c>
      <c r="L1315" s="482">
        <f>J1315*K1315</f>
        <v>889990.76249999995</v>
      </c>
      <c r="M1315" s="483" t="s">
        <v>233</v>
      </c>
      <c r="N1315" s="481">
        <f>M1315+L1315</f>
        <v>889990.76249999995</v>
      </c>
    </row>
    <row r="1316" spans="1:14" x14ac:dyDescent="0.3">
      <c r="A1316" s="461"/>
      <c r="B1316" s="484"/>
      <c r="C1316" s="485"/>
      <c r="D1316" s="485"/>
      <c r="E1316" s="485"/>
      <c r="F1316" s="485"/>
      <c r="G1316" s="485"/>
      <c r="H1316" s="486"/>
      <c r="I1316" s="107"/>
      <c r="J1316" s="107"/>
      <c r="K1316" s="150" t="s">
        <v>245</v>
      </c>
      <c r="L1316" s="107">
        <f>SUM(L1312:L1315)</f>
        <v>889990.76249999995</v>
      </c>
      <c r="M1316" s="170" t="s">
        <v>233</v>
      </c>
      <c r="N1316" s="109">
        <f>SUM(N1312:N1315)</f>
        <v>7627710.7884999998</v>
      </c>
    </row>
    <row r="1317" spans="1:14" x14ac:dyDescent="0.3">
      <c r="A1317" s="469"/>
      <c r="B1317" s="487"/>
      <c r="C1317" s="488"/>
      <c r="D1317" s="488"/>
      <c r="E1317" s="488"/>
      <c r="F1317" s="488"/>
      <c r="G1317" s="488"/>
      <c r="H1317" s="489"/>
      <c r="I1317" s="72"/>
      <c r="J1317" s="72"/>
      <c r="K1317" s="154" t="str">
        <f>K1308</f>
        <v>Over head &amp; Profit 15 %</v>
      </c>
      <c r="L1317" s="100"/>
      <c r="M1317" s="99"/>
      <c r="N1317" s="101">
        <f>N1316*15%</f>
        <v>1144156.618275</v>
      </c>
    </row>
    <row r="1318" spans="1:14" x14ac:dyDescent="0.3">
      <c r="A1318" s="479"/>
      <c r="B1318" s="490"/>
      <c r="C1318" s="491"/>
      <c r="D1318" s="491"/>
      <c r="E1318" s="491"/>
      <c r="F1318" s="491"/>
      <c r="G1318" s="491"/>
      <c r="H1318" s="492"/>
      <c r="I1318" s="218"/>
      <c r="J1318" s="218"/>
      <c r="K1318" s="191" t="s">
        <v>247</v>
      </c>
      <c r="L1318" s="175"/>
      <c r="M1318" s="177"/>
      <c r="N1318" s="116">
        <f>N1316+N1317</f>
        <v>8771867.4067749996</v>
      </c>
    </row>
    <row r="1319" spans="1:14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3">
      <c r="A1327" s="71"/>
      <c r="B1327" s="71"/>
      <c r="C1327" s="71"/>
      <c r="D1327" s="71"/>
      <c r="E1327" s="71"/>
      <c r="F1327" s="71"/>
      <c r="G1327" s="71"/>
      <c r="H1327" s="71"/>
      <c r="I1327" s="71"/>
      <c r="J1327" s="71"/>
      <c r="K1327" s="71"/>
      <c r="L1327" s="71"/>
      <c r="M1327" s="71"/>
      <c r="N1327" s="71"/>
    </row>
    <row r="1328" spans="1:14" x14ac:dyDescent="0.3">
      <c r="A1328" s="71"/>
      <c r="B1328" s="71"/>
      <c r="C1328" s="71"/>
      <c r="D1328" s="71"/>
      <c r="E1328" s="71"/>
      <c r="F1328" s="71"/>
      <c r="G1328" s="71"/>
      <c r="H1328" s="71"/>
      <c r="I1328" s="71"/>
      <c r="J1328" s="71"/>
      <c r="K1328" s="71"/>
      <c r="L1328" s="71"/>
      <c r="M1328" s="71"/>
      <c r="N1328" s="71"/>
    </row>
    <row r="1329" spans="1:14" x14ac:dyDescent="0.3">
      <c r="A1329" s="71"/>
      <c r="B1329" s="71"/>
      <c r="C1329" s="71"/>
      <c r="D1329" s="71"/>
      <c r="E1329" s="71"/>
      <c r="F1329" s="71"/>
      <c r="G1329" s="71"/>
      <c r="H1329" s="71"/>
      <c r="I1329" s="71"/>
      <c r="J1329" s="71"/>
      <c r="K1329" s="71"/>
      <c r="L1329" s="71"/>
      <c r="M1329" s="71"/>
      <c r="N1329" s="71"/>
    </row>
    <row r="1330" spans="1:14" x14ac:dyDescent="0.3">
      <c r="A1330" s="71"/>
      <c r="B1330" s="71"/>
      <c r="C1330" s="71"/>
      <c r="D1330" s="71"/>
      <c r="E1330" s="71"/>
      <c r="F1330" s="71"/>
      <c r="G1330" s="71"/>
      <c r="H1330" s="71"/>
      <c r="I1330" s="71"/>
      <c r="J1330" s="71"/>
      <c r="K1330" s="71"/>
      <c r="L1330" s="71"/>
      <c r="M1330" s="71"/>
      <c r="N1330" s="71"/>
    </row>
    <row r="1331" spans="1:14" x14ac:dyDescent="0.3">
      <c r="A1331" s="71"/>
      <c r="B1331" s="71"/>
      <c r="C1331" s="71"/>
      <c r="D1331" s="71"/>
      <c r="E1331" s="71"/>
      <c r="F1331" s="71"/>
      <c r="G1331" s="71"/>
      <c r="H1331" s="71"/>
      <c r="I1331" s="71"/>
      <c r="J1331" s="71"/>
      <c r="K1331" s="71"/>
      <c r="L1331" s="71"/>
      <c r="M1331" s="71"/>
      <c r="N1331" s="71"/>
    </row>
    <row r="1332" spans="1:14" x14ac:dyDescent="0.3">
      <c r="A1332" s="71"/>
      <c r="B1332" s="71"/>
      <c r="C1332" s="71"/>
      <c r="D1332" s="71"/>
      <c r="E1332" s="71"/>
      <c r="F1332" s="71"/>
      <c r="G1332" s="71"/>
      <c r="H1332" s="71"/>
      <c r="I1332" s="71"/>
      <c r="J1332" s="71"/>
      <c r="K1332" s="71"/>
      <c r="L1332" s="71"/>
      <c r="M1332" s="71"/>
      <c r="N1332" s="71"/>
    </row>
    <row r="1333" spans="1:14" x14ac:dyDescent="0.3">
      <c r="A1333" s="71"/>
      <c r="B1333" s="71"/>
      <c r="C1333" s="71"/>
      <c r="D1333" s="71"/>
      <c r="E1333" s="71"/>
      <c r="F1333" s="71"/>
      <c r="G1333" s="71"/>
      <c r="H1333" s="71"/>
      <c r="I1333" s="71"/>
      <c r="J1333" s="71"/>
      <c r="K1333" s="71"/>
      <c r="L1333" s="71"/>
      <c r="M1333" s="71"/>
      <c r="N1333" s="71"/>
    </row>
    <row r="1334" spans="1:14" x14ac:dyDescent="0.3">
      <c r="A1334" s="71"/>
      <c r="B1334" s="71"/>
      <c r="C1334" s="71"/>
      <c r="D1334" s="71"/>
      <c r="E1334" s="71"/>
      <c r="F1334" s="71"/>
      <c r="G1334" s="71"/>
      <c r="H1334" s="71"/>
      <c r="I1334" s="71"/>
      <c r="J1334" s="71"/>
      <c r="K1334" s="71"/>
      <c r="L1334" s="71"/>
      <c r="M1334" s="71"/>
      <c r="N1334" s="71"/>
    </row>
    <row r="1335" spans="1:14" x14ac:dyDescent="0.3">
      <c r="A1335" s="71"/>
      <c r="B1335" s="71"/>
      <c r="C1335" s="71"/>
      <c r="D1335" s="71"/>
      <c r="E1335" s="71"/>
      <c r="F1335" s="71"/>
      <c r="G1335" s="71"/>
      <c r="H1335" s="71"/>
      <c r="I1335" s="71"/>
      <c r="J1335" s="71"/>
      <c r="K1335" s="71"/>
      <c r="L1335" s="71"/>
      <c r="M1335" s="71"/>
      <c r="N1335" s="71"/>
    </row>
    <row r="1336" spans="1:14" x14ac:dyDescent="0.3">
      <c r="A1336" s="71"/>
      <c r="B1336" s="71"/>
      <c r="C1336" s="71"/>
      <c r="D1336" s="71"/>
      <c r="E1336" s="71"/>
      <c r="F1336" s="71"/>
      <c r="G1336" s="71"/>
      <c r="H1336" s="71"/>
      <c r="I1336" s="71"/>
      <c r="J1336" s="71"/>
      <c r="K1336" s="71"/>
      <c r="L1336" s="71"/>
      <c r="M1336" s="71"/>
      <c r="N1336" s="71"/>
    </row>
    <row r="1337" spans="1:14" x14ac:dyDescent="0.3">
      <c r="A1337" s="71"/>
      <c r="B1337" s="71"/>
      <c r="C1337" s="71"/>
      <c r="D1337" s="71"/>
      <c r="E1337" s="71"/>
      <c r="F1337" s="71"/>
      <c r="G1337" s="71"/>
      <c r="H1337" s="71"/>
      <c r="I1337" s="71"/>
      <c r="J1337" s="71"/>
      <c r="K1337" s="71"/>
      <c r="L1337" s="71"/>
      <c r="M1337" s="71"/>
      <c r="N1337" s="71"/>
    </row>
    <row r="1338" spans="1:14" x14ac:dyDescent="0.3">
      <c r="A1338" s="71"/>
      <c r="B1338" s="71"/>
      <c r="C1338" s="71"/>
      <c r="D1338" s="71"/>
      <c r="E1338" s="71"/>
      <c r="F1338" s="71"/>
      <c r="G1338" s="71"/>
      <c r="H1338" s="71"/>
      <c r="I1338" s="71"/>
      <c r="J1338" s="71"/>
      <c r="K1338" s="71"/>
      <c r="L1338" s="71"/>
      <c r="M1338" s="71"/>
      <c r="N1338" s="71"/>
    </row>
    <row r="1339" spans="1:14" x14ac:dyDescent="0.3">
      <c r="A1339" s="71"/>
      <c r="B1339" s="71"/>
      <c r="C1339" s="71"/>
      <c r="D1339" s="71"/>
      <c r="E1339" s="71"/>
      <c r="F1339" s="71"/>
      <c r="G1339" s="71"/>
      <c r="H1339" s="71"/>
      <c r="I1339" s="71"/>
      <c r="J1339" s="71"/>
      <c r="K1339" s="71"/>
      <c r="L1339" s="71"/>
      <c r="M1339" s="71"/>
      <c r="N1339" s="71"/>
    </row>
    <row r="1340" spans="1:14" x14ac:dyDescent="0.3">
      <c r="A1340" s="71"/>
      <c r="B1340" s="71"/>
      <c r="C1340" s="71"/>
      <c r="D1340" s="71"/>
      <c r="E1340" s="71"/>
      <c r="F1340" s="71"/>
      <c r="G1340" s="71"/>
      <c r="H1340" s="71"/>
      <c r="I1340" s="71"/>
      <c r="J1340" s="71"/>
      <c r="K1340" s="71"/>
      <c r="L1340" s="71"/>
      <c r="M1340" s="71"/>
      <c r="N1340" s="71"/>
    </row>
    <row r="1341" spans="1:14" x14ac:dyDescent="0.3">
      <c r="A1341" s="71"/>
      <c r="B1341" s="71"/>
      <c r="C1341" s="71"/>
      <c r="D1341" s="71"/>
      <c r="E1341" s="71"/>
      <c r="F1341" s="71"/>
      <c r="G1341" s="71"/>
      <c r="H1341" s="71"/>
      <c r="I1341" s="71"/>
      <c r="J1341" s="71"/>
      <c r="K1341" s="71"/>
      <c r="L1341" s="71"/>
      <c r="M1341" s="71"/>
      <c r="N1341" s="71"/>
    </row>
    <row r="1342" spans="1:14" x14ac:dyDescent="0.3">
      <c r="A1342" s="71"/>
      <c r="B1342" s="71"/>
      <c r="C1342" s="71"/>
      <c r="D1342" s="71"/>
      <c r="E1342" s="71"/>
      <c r="F1342" s="71"/>
      <c r="G1342" s="71"/>
      <c r="H1342" s="71"/>
      <c r="I1342" s="71"/>
      <c r="J1342" s="71"/>
      <c r="K1342" s="71"/>
      <c r="L1342" s="71"/>
      <c r="M1342" s="71"/>
      <c r="N1342" s="71"/>
    </row>
    <row r="1343" spans="1:14" x14ac:dyDescent="0.3">
      <c r="A1343" s="71"/>
      <c r="B1343" s="71"/>
      <c r="C1343" s="71"/>
      <c r="D1343" s="71"/>
      <c r="E1343" s="71"/>
      <c r="F1343" s="71"/>
      <c r="G1343" s="71"/>
      <c r="H1343" s="71"/>
      <c r="I1343" s="71"/>
      <c r="J1343" s="71"/>
      <c r="K1343" s="71"/>
      <c r="L1343" s="71"/>
      <c r="M1343" s="71"/>
      <c r="N1343" s="71"/>
    </row>
    <row r="1344" spans="1:14" x14ac:dyDescent="0.3">
      <c r="A1344" s="71"/>
      <c r="B1344" s="71"/>
      <c r="C1344" s="71"/>
      <c r="D1344" s="71"/>
      <c r="E1344" s="71"/>
      <c r="F1344" s="71"/>
      <c r="G1344" s="71"/>
      <c r="H1344" s="71"/>
      <c r="I1344" s="71"/>
      <c r="J1344" s="71"/>
      <c r="K1344" s="71"/>
      <c r="L1344" s="71"/>
      <c r="M1344" s="71"/>
      <c r="N1344" s="71"/>
    </row>
    <row r="1345" spans="1:14" x14ac:dyDescent="0.3">
      <c r="A1345" s="71"/>
      <c r="B1345" s="71"/>
      <c r="C1345" s="71"/>
      <c r="D1345" s="71"/>
      <c r="E1345" s="71"/>
      <c r="F1345" s="71"/>
      <c r="G1345" s="71"/>
      <c r="H1345" s="71"/>
      <c r="I1345" s="71"/>
      <c r="J1345" s="71"/>
      <c r="K1345" s="71"/>
      <c r="L1345" s="71"/>
      <c r="M1345" s="71"/>
      <c r="N1345" s="71"/>
    </row>
    <row r="1346" spans="1:14" x14ac:dyDescent="0.3">
      <c r="A1346" s="71"/>
      <c r="B1346" s="71"/>
      <c r="C1346" s="71"/>
      <c r="D1346" s="71"/>
      <c r="E1346" s="71"/>
      <c r="F1346" s="71"/>
      <c r="G1346" s="71"/>
      <c r="H1346" s="71"/>
      <c r="I1346" s="71"/>
      <c r="J1346" s="71"/>
      <c r="K1346" s="71"/>
      <c r="L1346" s="71"/>
      <c r="M1346" s="71"/>
      <c r="N1346" s="71"/>
    </row>
    <row r="1347" spans="1:14" x14ac:dyDescent="0.3">
      <c r="A1347" s="71"/>
      <c r="B1347" s="71"/>
      <c r="C1347" s="71"/>
      <c r="D1347" s="71"/>
      <c r="E1347" s="71"/>
      <c r="F1347" s="71"/>
      <c r="G1347" s="71"/>
      <c r="H1347" s="71"/>
      <c r="I1347" s="71"/>
      <c r="J1347" s="71"/>
      <c r="K1347" s="71"/>
      <c r="L1347" s="71"/>
      <c r="M1347" s="71"/>
      <c r="N1347" s="71"/>
    </row>
    <row r="1348" spans="1:14" x14ac:dyDescent="0.3">
      <c r="A1348" s="71"/>
      <c r="B1348" s="71"/>
      <c r="C1348" s="71"/>
      <c r="D1348" s="71"/>
      <c r="E1348" s="71"/>
      <c r="F1348" s="71"/>
      <c r="G1348" s="71"/>
      <c r="H1348" s="71"/>
      <c r="I1348" s="71"/>
      <c r="J1348" s="71"/>
      <c r="K1348" s="71"/>
      <c r="L1348" s="71"/>
      <c r="M1348" s="71"/>
      <c r="N1348" s="71"/>
    </row>
    <row r="1349" spans="1:14" x14ac:dyDescent="0.3">
      <c r="A1349" s="71"/>
      <c r="B1349" s="71"/>
      <c r="C1349" s="71"/>
      <c r="D1349" s="71"/>
      <c r="E1349" s="71"/>
      <c r="F1349" s="71"/>
      <c r="G1349" s="71"/>
      <c r="H1349" s="71"/>
      <c r="I1349" s="71"/>
      <c r="J1349" s="71"/>
      <c r="K1349" s="71"/>
      <c r="L1349" s="71"/>
      <c r="M1349" s="71"/>
      <c r="N1349" s="71"/>
    </row>
    <row r="1350" spans="1:14" x14ac:dyDescent="0.3">
      <c r="A1350" s="71"/>
      <c r="B1350" s="71"/>
      <c r="C1350" s="71"/>
      <c r="D1350" s="71"/>
      <c r="E1350" s="71"/>
      <c r="F1350" s="71"/>
      <c r="G1350" s="71"/>
      <c r="H1350" s="71"/>
      <c r="I1350" s="71"/>
      <c r="J1350" s="71"/>
      <c r="K1350" s="71"/>
      <c r="L1350" s="71"/>
      <c r="M1350" s="71"/>
      <c r="N1350" s="71"/>
    </row>
    <row r="1351" spans="1:14" x14ac:dyDescent="0.3">
      <c r="A1351" s="71"/>
      <c r="B1351" s="71"/>
      <c r="C1351" s="71"/>
      <c r="D1351" s="71"/>
      <c r="E1351" s="71"/>
      <c r="F1351" s="71"/>
      <c r="G1351" s="71"/>
      <c r="H1351" s="71"/>
      <c r="I1351" s="71"/>
      <c r="J1351" s="71"/>
      <c r="K1351" s="71"/>
      <c r="L1351" s="71"/>
      <c r="M1351" s="71"/>
      <c r="N1351" s="71"/>
    </row>
    <row r="1352" spans="1:14" x14ac:dyDescent="0.3">
      <c r="A1352" s="71"/>
      <c r="B1352" s="71"/>
      <c r="C1352" s="71"/>
      <c r="D1352" s="71"/>
      <c r="E1352" s="71"/>
      <c r="F1352" s="71"/>
      <c r="G1352" s="71"/>
      <c r="H1352" s="71"/>
      <c r="I1352" s="71"/>
      <c r="J1352" s="71"/>
      <c r="K1352" s="71"/>
      <c r="L1352" s="71"/>
      <c r="M1352" s="71"/>
      <c r="N1352" s="71"/>
    </row>
    <row r="1353" spans="1:14" x14ac:dyDescent="0.3">
      <c r="A1353" s="71"/>
      <c r="B1353" s="71"/>
      <c r="C1353" s="71"/>
      <c r="D1353" s="71"/>
      <c r="E1353" s="71"/>
      <c r="F1353" s="71"/>
      <c r="G1353" s="71"/>
      <c r="H1353" s="71"/>
      <c r="I1353" s="71"/>
      <c r="J1353" s="71"/>
      <c r="K1353" s="71"/>
      <c r="L1353" s="71"/>
      <c r="M1353" s="71"/>
      <c r="N1353" s="71"/>
    </row>
    <row r="1354" spans="1:14" x14ac:dyDescent="0.3">
      <c r="A1354" s="71"/>
      <c r="B1354" s="71"/>
      <c r="C1354" s="71"/>
      <c r="D1354" s="71"/>
      <c r="E1354" s="71"/>
      <c r="F1354" s="71"/>
      <c r="G1354" s="71"/>
      <c r="H1354" s="71"/>
      <c r="I1354" s="71"/>
      <c r="J1354" s="71"/>
      <c r="K1354" s="71"/>
      <c r="L1354" s="71"/>
      <c r="M1354" s="71"/>
      <c r="N1354" s="71"/>
    </row>
    <row r="1355" spans="1:14" x14ac:dyDescent="0.3">
      <c r="A1355" s="71"/>
      <c r="B1355" s="71"/>
      <c r="C1355" s="71"/>
      <c r="D1355" s="71"/>
      <c r="E1355" s="71"/>
      <c r="F1355" s="71"/>
      <c r="G1355" s="71"/>
      <c r="H1355" s="71"/>
      <c r="I1355" s="71"/>
      <c r="J1355" s="71"/>
      <c r="K1355" s="71"/>
      <c r="L1355" s="71"/>
      <c r="M1355" s="71"/>
      <c r="N1355" s="71"/>
    </row>
    <row r="1356" spans="1:14" x14ac:dyDescent="0.3">
      <c r="A1356" s="71"/>
      <c r="B1356" s="71"/>
      <c r="C1356" s="71"/>
      <c r="D1356" s="71"/>
      <c r="E1356" s="71"/>
      <c r="F1356" s="71"/>
      <c r="G1356" s="71"/>
      <c r="H1356" s="71"/>
      <c r="I1356" s="71"/>
      <c r="J1356" s="71"/>
      <c r="K1356" s="71"/>
      <c r="L1356" s="71"/>
      <c r="M1356" s="71"/>
      <c r="N1356" s="71"/>
    </row>
    <row r="1357" spans="1:14" x14ac:dyDescent="0.3">
      <c r="A1357" s="71"/>
      <c r="B1357" s="71"/>
      <c r="C1357" s="71"/>
      <c r="D1357" s="71"/>
      <c r="E1357" s="71"/>
      <c r="F1357" s="71"/>
      <c r="G1357" s="71"/>
      <c r="H1357" s="71"/>
      <c r="I1357" s="71"/>
      <c r="J1357" s="71"/>
      <c r="K1357" s="71"/>
      <c r="L1357" s="71"/>
      <c r="M1357" s="71"/>
      <c r="N1357" s="71"/>
    </row>
    <row r="1358" spans="1:14" x14ac:dyDescent="0.3">
      <c r="A1358" s="71"/>
      <c r="B1358" s="71"/>
      <c r="C1358" s="71"/>
      <c r="D1358" s="71"/>
      <c r="E1358" s="71"/>
      <c r="F1358" s="71"/>
      <c r="G1358" s="71"/>
      <c r="H1358" s="71"/>
      <c r="I1358" s="71"/>
      <c r="J1358" s="71"/>
      <c r="K1358" s="71"/>
      <c r="L1358" s="71"/>
      <c r="M1358" s="71"/>
      <c r="N1358" s="71"/>
    </row>
    <row r="1359" spans="1:14" x14ac:dyDescent="0.3">
      <c r="A1359" s="71"/>
      <c r="B1359" s="71"/>
      <c r="C1359" s="71"/>
      <c r="D1359" s="71"/>
      <c r="E1359" s="71"/>
      <c r="F1359" s="71"/>
      <c r="G1359" s="71"/>
      <c r="H1359" s="71"/>
      <c r="I1359" s="71"/>
      <c r="J1359" s="71"/>
      <c r="K1359" s="71"/>
      <c r="L1359" s="71"/>
      <c r="M1359" s="71"/>
      <c r="N1359" s="71"/>
    </row>
    <row r="1360" spans="1:14" x14ac:dyDescent="0.3">
      <c r="A1360" s="71"/>
      <c r="B1360" s="71"/>
      <c r="C1360" s="71"/>
      <c r="D1360" s="71"/>
      <c r="E1360" s="71"/>
      <c r="F1360" s="71"/>
      <c r="G1360" s="71"/>
      <c r="H1360" s="71"/>
      <c r="I1360" s="71"/>
      <c r="J1360" s="71"/>
      <c r="K1360" s="71"/>
      <c r="L1360" s="71"/>
      <c r="M1360" s="71"/>
      <c r="N1360" s="71"/>
    </row>
    <row r="1361" spans="1:14" x14ac:dyDescent="0.3">
      <c r="A1361" s="71"/>
      <c r="B1361" s="71"/>
      <c r="C1361" s="71"/>
      <c r="D1361" s="71"/>
      <c r="E1361" s="71"/>
      <c r="F1361" s="71"/>
      <c r="G1361" s="71"/>
      <c r="H1361" s="71"/>
      <c r="I1361" s="71"/>
      <c r="J1361" s="71"/>
      <c r="K1361" s="71"/>
      <c r="L1361" s="71"/>
      <c r="M1361" s="71"/>
      <c r="N1361" s="71"/>
    </row>
    <row r="1362" spans="1:14" x14ac:dyDescent="0.3">
      <c r="A1362" s="71"/>
      <c r="B1362" s="71"/>
      <c r="C1362" s="71"/>
      <c r="D1362" s="71"/>
      <c r="E1362" s="71"/>
      <c r="F1362" s="71"/>
      <c r="G1362" s="71"/>
      <c r="H1362" s="71"/>
      <c r="I1362" s="71"/>
      <c r="J1362" s="71"/>
      <c r="K1362" s="71"/>
      <c r="L1362" s="71"/>
      <c r="M1362" s="71"/>
      <c r="N1362" s="71"/>
    </row>
    <row r="1363" spans="1:14" x14ac:dyDescent="0.3">
      <c r="A1363" s="71"/>
      <c r="B1363" s="71"/>
      <c r="C1363" s="71"/>
      <c r="D1363" s="71"/>
      <c r="E1363" s="71"/>
      <c r="F1363" s="71"/>
      <c r="G1363" s="71"/>
      <c r="H1363" s="71"/>
      <c r="I1363" s="71"/>
      <c r="J1363" s="71"/>
      <c r="K1363" s="71"/>
      <c r="L1363" s="71"/>
      <c r="M1363" s="71"/>
      <c r="N1363" s="71"/>
    </row>
    <row r="1364" spans="1:14" x14ac:dyDescent="0.3">
      <c r="A1364" s="71"/>
      <c r="B1364" s="71"/>
      <c r="C1364" s="71"/>
      <c r="D1364" s="71"/>
      <c r="E1364" s="71"/>
      <c r="F1364" s="71"/>
      <c r="G1364" s="71"/>
      <c r="H1364" s="71"/>
      <c r="I1364" s="71"/>
      <c r="J1364" s="71"/>
      <c r="K1364" s="71"/>
      <c r="L1364" s="71"/>
      <c r="M1364" s="71"/>
      <c r="N1364" s="71"/>
    </row>
    <row r="1365" spans="1:14" x14ac:dyDescent="0.3">
      <c r="A1365" s="71"/>
      <c r="B1365" s="71"/>
      <c r="C1365" s="71"/>
      <c r="D1365" s="71"/>
      <c r="E1365" s="71"/>
      <c r="F1365" s="71"/>
      <c r="G1365" s="71"/>
      <c r="H1365" s="71"/>
      <c r="I1365" s="71"/>
      <c r="J1365" s="71"/>
      <c r="K1365" s="71"/>
      <c r="L1365" s="71"/>
      <c r="M1365" s="71"/>
      <c r="N1365" s="71"/>
    </row>
    <row r="1366" spans="1:14" x14ac:dyDescent="0.3">
      <c r="A1366" s="71"/>
      <c r="B1366" s="71"/>
      <c r="C1366" s="71"/>
      <c r="D1366" s="71"/>
      <c r="E1366" s="71"/>
      <c r="F1366" s="71"/>
      <c r="G1366" s="71"/>
      <c r="H1366" s="71"/>
      <c r="I1366" s="71"/>
      <c r="J1366" s="71"/>
      <c r="K1366" s="71"/>
      <c r="L1366" s="71"/>
      <c r="M1366" s="71"/>
      <c r="N1366" s="71"/>
    </row>
    <row r="1367" spans="1:14" x14ac:dyDescent="0.3">
      <c r="A1367" s="71"/>
      <c r="B1367" s="71"/>
      <c r="C1367" s="71"/>
      <c r="D1367" s="71"/>
      <c r="E1367" s="71"/>
      <c r="F1367" s="71"/>
      <c r="G1367" s="71"/>
      <c r="H1367" s="71"/>
      <c r="I1367" s="71"/>
      <c r="J1367" s="71"/>
      <c r="K1367" s="71"/>
      <c r="L1367" s="71"/>
      <c r="M1367" s="71"/>
      <c r="N1367" s="71"/>
    </row>
    <row r="1368" spans="1:14" x14ac:dyDescent="0.3">
      <c r="A1368" s="71"/>
      <c r="B1368" s="71"/>
      <c r="C1368" s="71"/>
      <c r="D1368" s="71"/>
      <c r="E1368" s="71"/>
      <c r="F1368" s="71"/>
      <c r="G1368" s="71"/>
      <c r="H1368" s="71"/>
      <c r="I1368" s="71"/>
      <c r="J1368" s="71"/>
      <c r="K1368" s="71"/>
      <c r="L1368" s="71"/>
      <c r="M1368" s="71"/>
      <c r="N1368" s="71"/>
    </row>
    <row r="1369" spans="1:14" x14ac:dyDescent="0.3">
      <c r="A1369" s="71"/>
      <c r="B1369" s="71"/>
      <c r="C1369" s="71"/>
      <c r="D1369" s="71"/>
      <c r="E1369" s="71"/>
      <c r="F1369" s="71"/>
      <c r="G1369" s="71"/>
      <c r="H1369" s="71"/>
      <c r="I1369" s="71"/>
      <c r="J1369" s="71"/>
      <c r="K1369" s="71"/>
      <c r="L1369" s="71"/>
      <c r="M1369" s="71"/>
      <c r="N1369" s="71"/>
    </row>
    <row r="1370" spans="1:14" x14ac:dyDescent="0.3">
      <c r="A1370" s="71"/>
      <c r="B1370" s="71"/>
      <c r="C1370" s="71"/>
      <c r="D1370" s="71"/>
      <c r="E1370" s="71"/>
      <c r="F1370" s="71"/>
      <c r="G1370" s="71"/>
      <c r="H1370" s="71"/>
      <c r="I1370" s="71"/>
      <c r="J1370" s="71"/>
      <c r="K1370" s="71"/>
      <c r="L1370" s="71"/>
      <c r="M1370" s="71"/>
      <c r="N1370" s="71"/>
    </row>
    <row r="1371" spans="1:14" x14ac:dyDescent="0.3">
      <c r="A1371" s="71"/>
      <c r="B1371" s="71"/>
      <c r="C1371" s="71"/>
      <c r="D1371" s="71"/>
      <c r="E1371" s="71"/>
      <c r="F1371" s="71"/>
      <c r="G1371" s="71"/>
      <c r="H1371" s="71"/>
      <c r="I1371" s="71"/>
      <c r="J1371" s="71"/>
      <c r="K1371" s="71"/>
      <c r="L1371" s="71"/>
      <c r="M1371" s="71"/>
      <c r="N1371" s="71"/>
    </row>
    <row r="1372" spans="1:14" x14ac:dyDescent="0.3">
      <c r="A1372" s="71"/>
      <c r="B1372" s="71"/>
      <c r="C1372" s="71"/>
      <c r="D1372" s="71"/>
      <c r="E1372" s="71"/>
      <c r="F1372" s="71"/>
      <c r="G1372" s="71"/>
      <c r="H1372" s="71"/>
      <c r="I1372" s="71"/>
      <c r="J1372" s="71"/>
      <c r="K1372" s="71"/>
      <c r="L1372" s="71"/>
      <c r="M1372" s="71"/>
      <c r="N1372" s="71"/>
    </row>
    <row r="1373" spans="1:14" x14ac:dyDescent="0.3">
      <c r="A1373" s="71"/>
      <c r="B1373" s="71"/>
      <c r="C1373" s="71"/>
      <c r="D1373" s="71"/>
      <c r="E1373" s="71"/>
      <c r="F1373" s="71"/>
      <c r="G1373" s="71"/>
      <c r="H1373" s="71"/>
      <c r="I1373" s="71"/>
      <c r="J1373" s="71"/>
      <c r="K1373" s="71"/>
      <c r="L1373" s="71"/>
      <c r="M1373" s="71"/>
      <c r="N1373" s="71"/>
    </row>
    <row r="1374" spans="1:14" x14ac:dyDescent="0.3">
      <c r="A1374" s="71"/>
      <c r="B1374" s="71"/>
      <c r="C1374" s="71"/>
      <c r="D1374" s="71"/>
      <c r="E1374" s="71"/>
      <c r="F1374" s="71"/>
      <c r="G1374" s="71"/>
      <c r="H1374" s="71"/>
      <c r="I1374" s="71"/>
      <c r="J1374" s="71"/>
      <c r="K1374" s="71"/>
      <c r="L1374" s="71"/>
      <c r="M1374" s="71"/>
      <c r="N1374" s="71"/>
    </row>
    <row r="1375" spans="1:14" x14ac:dyDescent="0.3">
      <c r="A1375" s="71"/>
      <c r="B1375" s="71"/>
      <c r="C1375" s="71"/>
      <c r="D1375" s="71"/>
      <c r="E1375" s="71"/>
      <c r="F1375" s="71"/>
      <c r="G1375" s="71"/>
      <c r="H1375" s="71"/>
      <c r="I1375" s="71"/>
      <c r="J1375" s="71"/>
      <c r="K1375" s="71"/>
      <c r="L1375" s="71"/>
      <c r="M1375" s="71"/>
      <c r="N1375" s="71"/>
    </row>
    <row r="1376" spans="1:14" x14ac:dyDescent="0.3">
      <c r="A1376" s="71"/>
      <c r="B1376" s="71"/>
      <c r="C1376" s="71"/>
      <c r="D1376" s="71"/>
      <c r="E1376" s="71"/>
      <c r="F1376" s="71"/>
      <c r="G1376" s="71"/>
      <c r="H1376" s="71"/>
      <c r="I1376" s="71"/>
      <c r="J1376" s="71"/>
      <c r="K1376" s="71"/>
      <c r="L1376" s="71"/>
      <c r="M1376" s="71"/>
      <c r="N1376" s="71"/>
    </row>
    <row r="1377" spans="1:14" x14ac:dyDescent="0.3">
      <c r="A1377" s="71"/>
      <c r="B1377" s="71"/>
      <c r="C1377" s="71"/>
      <c r="D1377" s="71"/>
      <c r="E1377" s="71"/>
      <c r="F1377" s="71"/>
      <c r="G1377" s="71"/>
      <c r="H1377" s="71"/>
      <c r="I1377" s="71"/>
      <c r="J1377" s="71"/>
      <c r="K1377" s="71"/>
      <c r="L1377" s="71"/>
      <c r="M1377" s="71"/>
      <c r="N1377" s="71"/>
    </row>
    <row r="1378" spans="1:14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</row>
  </sheetData>
  <mergeCells count="54">
    <mergeCell ref="Q13:Q14"/>
    <mergeCell ref="R13:U13"/>
    <mergeCell ref="V13:AC13"/>
    <mergeCell ref="A262:A264"/>
    <mergeCell ref="B262:H264"/>
    <mergeCell ref="I262:I264"/>
    <mergeCell ref="J262:J264"/>
    <mergeCell ref="L262:N262"/>
    <mergeCell ref="A13:A15"/>
    <mergeCell ref="B13:H15"/>
    <mergeCell ref="I13:I15"/>
    <mergeCell ref="J13:J15"/>
    <mergeCell ref="L13:N13"/>
    <mergeCell ref="P13:P14"/>
    <mergeCell ref="A464:A466"/>
    <mergeCell ref="B464:H466"/>
    <mergeCell ref="I464:I466"/>
    <mergeCell ref="J464:J466"/>
    <mergeCell ref="L464:N464"/>
    <mergeCell ref="A363:A365"/>
    <mergeCell ref="B363:H365"/>
    <mergeCell ref="I363:I365"/>
    <mergeCell ref="J363:J365"/>
    <mergeCell ref="L363:N363"/>
    <mergeCell ref="A819:A821"/>
    <mergeCell ref="B819:H821"/>
    <mergeCell ref="I819:I821"/>
    <mergeCell ref="J819:J821"/>
    <mergeCell ref="L819:N819"/>
    <mergeCell ref="A739:A741"/>
    <mergeCell ref="B739:H741"/>
    <mergeCell ref="I739:I741"/>
    <mergeCell ref="J739:J741"/>
    <mergeCell ref="L739:N739"/>
    <mergeCell ref="A965:A967"/>
    <mergeCell ref="B965:H967"/>
    <mergeCell ref="I965:I967"/>
    <mergeCell ref="J965:J967"/>
    <mergeCell ref="L965:N965"/>
    <mergeCell ref="A897:A899"/>
    <mergeCell ref="B897:H899"/>
    <mergeCell ref="I897:I899"/>
    <mergeCell ref="J897:J899"/>
    <mergeCell ref="L897:N897"/>
    <mergeCell ref="A1196:A1198"/>
    <mergeCell ref="B1196:H1198"/>
    <mergeCell ref="I1196:I1198"/>
    <mergeCell ref="J1196:J1198"/>
    <mergeCell ref="L1196:N1196"/>
    <mergeCell ref="A1040:A1042"/>
    <mergeCell ref="B1040:H1042"/>
    <mergeCell ref="I1040:I1042"/>
    <mergeCell ref="J1040:J1042"/>
    <mergeCell ref="L1040:N1040"/>
  </mergeCells>
  <printOptions horizontalCentered="1"/>
  <pageMargins left="0.53740157499999996" right="0.39370078740157499" top="0.5" bottom="1.75" header="0" footer="0.511811023622047"/>
  <pageSetup paperSize="5" scale="69" orientation="portrait" r:id="rId1"/>
  <headerFooter alignWithMargins="0"/>
  <rowBreaks count="9" manualBreakCount="9">
    <brk id="260" max="13" man="1"/>
    <brk id="361" max="13" man="1"/>
    <brk id="462" max="13" man="1"/>
    <brk id="737" max="13" man="1"/>
    <brk id="817" max="13" man="1"/>
    <brk id="895" max="13" man="1"/>
    <brk id="963" max="13" man="1"/>
    <brk id="1038" max="13" man="1"/>
    <brk id="1194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/>
  <dimension ref="A1:R239"/>
  <sheetViews>
    <sheetView showGridLines="0" defaultGridColor="0" view="pageBreakPreview" topLeftCell="A187" colorId="22" zoomScale="110" zoomScaleNormal="85" zoomScaleSheetLayoutView="110" workbookViewId="0">
      <selection activeCell="M202" sqref="M202"/>
    </sheetView>
  </sheetViews>
  <sheetFormatPr defaultColWidth="9.875" defaultRowHeight="13.8" x14ac:dyDescent="0.3"/>
  <cols>
    <col min="1" max="1" width="5.875" customWidth="1"/>
    <col min="2" max="2" width="9.5" style="47" customWidth="1"/>
    <col min="3" max="3" width="4.375" style="997" customWidth="1"/>
    <col min="4" max="4" width="18.875" style="68" customWidth="1"/>
    <col min="5" max="5" width="4" customWidth="1"/>
    <col min="6" max="6" width="43.5" customWidth="1"/>
    <col min="7" max="7" width="28.875" customWidth="1"/>
    <col min="8" max="8" width="27.625" style="307" customWidth="1"/>
    <col min="9" max="9" width="16.25" hidden="1" customWidth="1"/>
    <col min="10" max="10" width="11.625" hidden="1" customWidth="1"/>
    <col min="11" max="11" width="16.125" hidden="1" customWidth="1"/>
    <col min="12" max="12" width="14.625" hidden="1" customWidth="1"/>
    <col min="13" max="13" width="13.5" style="291" bestFit="1" customWidth="1"/>
    <col min="14" max="14" width="21.5" customWidth="1"/>
    <col min="15" max="15" width="14.25" customWidth="1"/>
    <col min="16" max="16" width="11.125" bestFit="1" customWidth="1"/>
    <col min="17" max="18" width="10.125" bestFit="1" customWidth="1"/>
    <col min="19" max="19" width="15.375" customWidth="1"/>
  </cols>
  <sheetData>
    <row r="1" spans="1:9" x14ac:dyDescent="0.3">
      <c r="A1" s="10"/>
      <c r="B1" s="103"/>
      <c r="C1" s="992"/>
      <c r="D1" s="11"/>
      <c r="E1" s="10"/>
      <c r="F1" s="10"/>
      <c r="G1" s="10"/>
      <c r="H1" s="296"/>
      <c r="I1" s="24"/>
    </row>
    <row r="2" spans="1:9" x14ac:dyDescent="0.3">
      <c r="A2" s="12"/>
      <c r="B2" s="977"/>
      <c r="C2" s="993"/>
      <c r="D2" s="5"/>
      <c r="E2" s="12"/>
      <c r="F2" s="12"/>
      <c r="G2" s="12"/>
      <c r="H2" s="297"/>
      <c r="I2" s="24"/>
    </row>
    <row r="3" spans="1:9" ht="23.25" customHeight="1" x14ac:dyDescent="0.3">
      <c r="A3" s="12"/>
      <c r="B3" s="1054" t="s">
        <v>124</v>
      </c>
      <c r="C3" s="994"/>
      <c r="D3" s="5"/>
      <c r="E3" s="1"/>
      <c r="F3" s="1"/>
      <c r="G3" s="1"/>
      <c r="H3" s="297"/>
      <c r="I3" s="24"/>
    </row>
    <row r="4" spans="1:9" x14ac:dyDescent="0.3">
      <c r="A4" s="12"/>
      <c r="B4" s="346" t="str">
        <f>ANALISA!A4</f>
        <v>UNIT KERJA</v>
      </c>
      <c r="C4" s="995"/>
      <c r="D4" s="5"/>
      <c r="E4" s="977" t="str">
        <f>ANALISA!D4</f>
        <v>:</v>
      </c>
      <c r="F4" s="976" t="str">
        <f>ANALISA!E4</f>
        <v>DINAS PERUMAHAN DAN KAWASAN PERMUKIMAN KABUPATEN CIANJUR</v>
      </c>
      <c r="G4" s="1"/>
      <c r="H4" s="297"/>
      <c r="I4" s="24"/>
    </row>
    <row r="5" spans="1:9" x14ac:dyDescent="0.3">
      <c r="A5" s="12"/>
      <c r="B5" s="346" t="str">
        <f>ANALISA!A5</f>
        <v>PROGRAM</v>
      </c>
      <c r="C5" s="995"/>
      <c r="D5" s="5"/>
      <c r="E5" s="977" t="str">
        <f>ANALISA!D5</f>
        <v>:</v>
      </c>
      <c r="F5" s="976" t="str">
        <f>ANALISA!E5</f>
        <v>PROGRAM PENGELOLAAN DAN PENGEMBANGAN SISTEM PENYEDIAAN AIR MINUM</v>
      </c>
      <c r="G5" s="12"/>
      <c r="H5" s="297"/>
      <c r="I5" s="24"/>
    </row>
    <row r="6" spans="1:9" x14ac:dyDescent="0.3">
      <c r="A6" s="12"/>
      <c r="B6" s="346" t="str">
        <f>ANALISA!A6</f>
        <v>KEGIATAN</v>
      </c>
      <c r="C6" s="995"/>
      <c r="D6" s="5"/>
      <c r="E6" s="977" t="str">
        <f>ANALISA!D6</f>
        <v>:</v>
      </c>
      <c r="F6" s="976" t="str">
        <f>ANALISA!E6</f>
        <v>PENGELOLAAN DAN PENGEMBANGAN SISTEM PENYEDIAAN AIR MINUM (SPAM) DI DAERAH KABUPATEN/KOTA</v>
      </c>
      <c r="G6" s="12"/>
      <c r="H6" s="297"/>
      <c r="I6" s="24"/>
    </row>
    <row r="7" spans="1:9" x14ac:dyDescent="0.3">
      <c r="A7" s="12"/>
      <c r="B7" s="346" t="str">
        <f>ANALISA!A7</f>
        <v>SUB KEGIATAN</v>
      </c>
      <c r="C7" s="995"/>
      <c r="D7" s="5"/>
      <c r="E7" s="977" t="str">
        <f>ANALISA!D7</f>
        <v>:</v>
      </c>
      <c r="F7" s="976" t="str">
        <f>ANALISA!E7</f>
        <v>PEMBANGUNAN SPAM BUKAN JARINGAN PERPIPAAN DI KAWASAN PERDESAAN</v>
      </c>
      <c r="G7" s="12"/>
      <c r="H7" s="297"/>
      <c r="I7" s="24"/>
    </row>
    <row r="8" spans="1:9" ht="13.8" customHeight="1" x14ac:dyDescent="0.3">
      <c r="A8" s="12"/>
      <c r="B8" s="346" t="str">
        <f>ANALISA!A8</f>
        <v>PEKERJAAN</v>
      </c>
      <c r="C8" s="995"/>
      <c r="D8" s="5"/>
      <c r="E8" s="977" t="str">
        <f>ANALISA!D8</f>
        <v>:</v>
      </c>
      <c r="F8" s="976" t="str">
        <f>ANALISA!E8</f>
        <v>KURANGYA AIR BERSIH PESANTREN AL MARUF RT.03 RW.01 KP.BOBOJONG DESA BOBOJONG KECAMATAN MANDE</v>
      </c>
      <c r="G8" s="12"/>
      <c r="H8" s="297"/>
      <c r="I8" s="24"/>
    </row>
    <row r="9" spans="1:9" x14ac:dyDescent="0.3">
      <c r="A9" s="12"/>
      <c r="B9" s="346" t="str">
        <f>ANALISA!A9</f>
        <v>LOKASI</v>
      </c>
      <c r="C9" s="995"/>
      <c r="D9" s="5"/>
      <c r="E9" s="977" t="str">
        <f>ANALISA!D9</f>
        <v>:</v>
      </c>
      <c r="F9" s="976" t="str">
        <f>ANALISA!E9</f>
        <v>PESANTREN AL MARUF RT.03 RW.01 KP.BOBOJONG DESA BOBOJONG KECAMATAN MANDE</v>
      </c>
      <c r="G9" s="1"/>
      <c r="H9" s="298"/>
      <c r="I9" s="24"/>
    </row>
    <row r="10" spans="1:9" x14ac:dyDescent="0.3">
      <c r="A10" s="12"/>
      <c r="B10" s="346" t="str">
        <f>ANALISA!A10</f>
        <v>SUMBER DANA</v>
      </c>
      <c r="C10" s="995"/>
      <c r="D10" s="5"/>
      <c r="E10" s="977" t="str">
        <f>ANALISA!D10</f>
        <v>:</v>
      </c>
      <c r="F10" s="976" t="str">
        <f>ANALISA!E10</f>
        <v>DAU</v>
      </c>
      <c r="G10" s="1"/>
      <c r="H10" s="298"/>
      <c r="I10" s="24"/>
    </row>
    <row r="11" spans="1:9" x14ac:dyDescent="0.3">
      <c r="A11" s="12"/>
      <c r="B11" s="346" t="str">
        <f>ANALISA!A11</f>
        <v>TAHUN ANGGARAN</v>
      </c>
      <c r="C11" s="995"/>
      <c r="D11" s="5"/>
      <c r="E11" s="977" t="str">
        <f>ANALISA!D11</f>
        <v>:</v>
      </c>
      <c r="F11" s="976">
        <f>ANALISA!E11</f>
        <v>2026</v>
      </c>
      <c r="G11" s="1"/>
      <c r="H11" s="298"/>
      <c r="I11" s="24"/>
    </row>
    <row r="12" spans="1:9" ht="14.1" customHeight="1" thickBot="1" x14ac:dyDescent="0.35">
      <c r="A12" s="12"/>
      <c r="B12" s="977"/>
      <c r="C12" s="993"/>
      <c r="D12" s="5"/>
      <c r="E12" s="12"/>
      <c r="F12" s="12"/>
      <c r="G12" s="12"/>
      <c r="H12" s="297"/>
      <c r="I12" s="24"/>
    </row>
    <row r="13" spans="1:9" ht="14.1" customHeight="1" x14ac:dyDescent="0.3">
      <c r="A13" s="12"/>
      <c r="B13" s="1607" t="s">
        <v>9</v>
      </c>
      <c r="C13" s="1612" t="s">
        <v>125</v>
      </c>
      <c r="D13" s="1592"/>
      <c r="E13" s="1592"/>
      <c r="F13" s="1593"/>
      <c r="G13" s="1543" t="s">
        <v>11</v>
      </c>
      <c r="H13" s="1610" t="s">
        <v>12</v>
      </c>
      <c r="I13" s="24"/>
    </row>
    <row r="14" spans="1:9" ht="14.1" customHeight="1" x14ac:dyDescent="0.3">
      <c r="A14" s="12"/>
      <c r="B14" s="1608"/>
      <c r="C14" s="1613"/>
      <c r="D14" s="1614"/>
      <c r="E14" s="1614"/>
      <c r="F14" s="1615"/>
      <c r="G14" s="1544"/>
      <c r="H14" s="1611"/>
      <c r="I14" s="24"/>
    </row>
    <row r="15" spans="1:9" ht="14.1" customHeight="1" x14ac:dyDescent="0.3">
      <c r="A15" s="12"/>
      <c r="B15" s="1609"/>
      <c r="C15" s="1616"/>
      <c r="D15" s="1596"/>
      <c r="E15" s="1596"/>
      <c r="F15" s="1597"/>
      <c r="G15" s="1545"/>
      <c r="H15" s="308" t="s">
        <v>13</v>
      </c>
      <c r="I15" s="24"/>
    </row>
    <row r="16" spans="1:9" ht="12.9" customHeight="1" x14ac:dyDescent="0.3">
      <c r="A16" s="12"/>
      <c r="B16" s="998"/>
      <c r="C16" s="1012"/>
      <c r="D16" s="1013"/>
      <c r="E16" s="15"/>
      <c r="F16" s="16"/>
      <c r="G16" s="17"/>
      <c r="H16" s="299"/>
      <c r="I16" s="24"/>
    </row>
    <row r="17" spans="1:11" ht="12.9" customHeight="1" x14ac:dyDescent="0.3">
      <c r="A17" s="12"/>
      <c r="B17" s="990" t="s">
        <v>126</v>
      </c>
      <c r="C17" s="1014" t="s">
        <v>127</v>
      </c>
      <c r="D17" s="1015"/>
      <c r="E17" s="18"/>
      <c r="F17" s="18"/>
      <c r="G17" s="19"/>
      <c r="H17" s="293"/>
      <c r="I17" s="24"/>
    </row>
    <row r="18" spans="1:11" ht="12.9" customHeight="1" x14ac:dyDescent="0.3">
      <c r="A18" s="12"/>
      <c r="B18" s="999"/>
      <c r="C18" s="1016"/>
      <c r="D18" s="1015"/>
      <c r="E18" s="18"/>
      <c r="F18" s="18"/>
      <c r="G18" s="19"/>
      <c r="H18" s="293"/>
      <c r="I18" s="26"/>
    </row>
    <row r="19" spans="1:11" ht="12.9" customHeight="1" x14ac:dyDescent="0.3">
      <c r="A19" s="12"/>
      <c r="B19" s="999">
        <v>1</v>
      </c>
      <c r="C19" s="1016" t="s">
        <v>128</v>
      </c>
      <c r="D19" s="1015"/>
      <c r="E19" s="21"/>
      <c r="F19" s="22"/>
      <c r="G19" s="23" t="s">
        <v>129</v>
      </c>
      <c r="H19" s="518">
        <v>105000</v>
      </c>
      <c r="I19" s="24">
        <v>75000</v>
      </c>
    </row>
    <row r="20" spans="1:11" ht="12.9" customHeight="1" x14ac:dyDescent="0.3">
      <c r="A20" s="12"/>
      <c r="B20" s="999">
        <f>B19+1</f>
        <v>2</v>
      </c>
      <c r="C20" s="1016" t="s">
        <v>130</v>
      </c>
      <c r="D20" s="1015"/>
      <c r="E20" s="21"/>
      <c r="F20" s="22"/>
      <c r="G20" s="23" t="s">
        <v>129</v>
      </c>
      <c r="H20" s="518">
        <v>135000</v>
      </c>
      <c r="I20" s="24">
        <v>120000</v>
      </c>
    </row>
    <row r="21" spans="1:11" ht="12.9" customHeight="1" x14ac:dyDescent="0.3">
      <c r="A21" s="12"/>
      <c r="B21" s="999">
        <f t="shared" ref="B21:B33" si="0">B20+1</f>
        <v>3</v>
      </c>
      <c r="C21" s="1016" t="s">
        <v>131</v>
      </c>
      <c r="D21" s="1015"/>
      <c r="E21" s="21"/>
      <c r="F21" s="22"/>
      <c r="G21" s="23" t="s">
        <v>129</v>
      </c>
      <c r="H21" s="518">
        <v>135000</v>
      </c>
      <c r="I21" s="24">
        <f t="shared" ref="I21:I23" si="1">+I20</f>
        <v>120000</v>
      </c>
    </row>
    <row r="22" spans="1:11" ht="12.9" customHeight="1" x14ac:dyDescent="0.3">
      <c r="A22" s="12"/>
      <c r="B22" s="999">
        <f t="shared" si="0"/>
        <v>4</v>
      </c>
      <c r="C22" s="1016" t="s">
        <v>132</v>
      </c>
      <c r="D22" s="1015"/>
      <c r="E22" s="21"/>
      <c r="F22" s="22"/>
      <c r="G22" s="23" t="s">
        <v>129</v>
      </c>
      <c r="H22" s="518">
        <v>135000</v>
      </c>
      <c r="I22" s="24">
        <f t="shared" si="1"/>
        <v>120000</v>
      </c>
    </row>
    <row r="23" spans="1:11" ht="12.9" customHeight="1" x14ac:dyDescent="0.3">
      <c r="A23" s="12"/>
      <c r="B23" s="999">
        <f t="shared" si="0"/>
        <v>5</v>
      </c>
      <c r="C23" s="1016" t="s">
        <v>133</v>
      </c>
      <c r="D23" s="1015"/>
      <c r="E23" s="21"/>
      <c r="F23" s="22"/>
      <c r="G23" s="23" t="s">
        <v>129</v>
      </c>
      <c r="H23" s="518">
        <v>135000</v>
      </c>
      <c r="I23" s="24">
        <f t="shared" si="1"/>
        <v>120000</v>
      </c>
    </row>
    <row r="24" spans="1:11" ht="12.9" customHeight="1" x14ac:dyDescent="0.3">
      <c r="A24" s="12"/>
      <c r="B24" s="999">
        <f t="shared" si="0"/>
        <v>6</v>
      </c>
      <c r="C24" s="1016" t="s">
        <v>134</v>
      </c>
      <c r="D24" s="1015"/>
      <c r="E24" s="21"/>
      <c r="F24" s="22"/>
      <c r="G24" s="23" t="s">
        <v>129</v>
      </c>
      <c r="H24" s="518">
        <v>165000</v>
      </c>
      <c r="I24" s="24">
        <v>150000</v>
      </c>
    </row>
    <row r="25" spans="1:11" ht="12.9" customHeight="1" x14ac:dyDescent="0.3">
      <c r="A25" s="12"/>
      <c r="B25" s="999">
        <f t="shared" si="0"/>
        <v>7</v>
      </c>
      <c r="C25" s="1016" t="s">
        <v>135</v>
      </c>
      <c r="D25" s="1015"/>
      <c r="E25" s="21"/>
      <c r="F25" s="22"/>
      <c r="G25" s="23" t="s">
        <v>129</v>
      </c>
      <c r="H25" s="518">
        <v>150000</v>
      </c>
      <c r="I25" s="24">
        <v>125000</v>
      </c>
      <c r="J25" s="292">
        <f>H25*0.15</f>
        <v>22500</v>
      </c>
      <c r="K25" s="292">
        <f>J25+H25</f>
        <v>172500</v>
      </c>
    </row>
    <row r="26" spans="1:11" ht="12.9" customHeight="1" x14ac:dyDescent="0.3">
      <c r="A26" s="12"/>
      <c r="B26" s="999">
        <f t="shared" si="0"/>
        <v>8</v>
      </c>
      <c r="C26" s="1016" t="s">
        <v>136</v>
      </c>
      <c r="D26" s="1015"/>
      <c r="E26" s="21"/>
      <c r="F26" s="22"/>
      <c r="G26" s="23" t="s">
        <v>129</v>
      </c>
      <c r="H26" s="300">
        <v>100000</v>
      </c>
      <c r="I26" s="24">
        <v>100000</v>
      </c>
    </row>
    <row r="27" spans="1:11" ht="12.9" customHeight="1" x14ac:dyDescent="0.3">
      <c r="A27" s="12"/>
      <c r="B27" s="999">
        <f t="shared" si="0"/>
        <v>9</v>
      </c>
      <c r="C27" s="1016" t="s">
        <v>137</v>
      </c>
      <c r="D27" s="1015"/>
      <c r="E27" s="21"/>
      <c r="F27" s="22"/>
      <c r="G27" s="23" t="s">
        <v>129</v>
      </c>
      <c r="H27" s="300">
        <v>170000</v>
      </c>
      <c r="I27" s="24">
        <v>170000</v>
      </c>
    </row>
    <row r="28" spans="1:11" ht="12.9" customHeight="1" x14ac:dyDescent="0.3">
      <c r="A28" s="12"/>
      <c r="B28" s="999">
        <f t="shared" si="0"/>
        <v>10</v>
      </c>
      <c r="C28" s="1016" t="s">
        <v>138</v>
      </c>
      <c r="D28" s="1015"/>
      <c r="E28" s="21"/>
      <c r="F28" s="22"/>
      <c r="G28" s="23" t="s">
        <v>139</v>
      </c>
      <c r="H28" s="300">
        <v>83500</v>
      </c>
      <c r="I28" s="24">
        <v>83500</v>
      </c>
    </row>
    <row r="29" spans="1:11" ht="12.9" customHeight="1" x14ac:dyDescent="0.3">
      <c r="A29" s="12"/>
      <c r="B29" s="999">
        <f t="shared" si="0"/>
        <v>11</v>
      </c>
      <c r="C29" s="1016" t="s">
        <v>140</v>
      </c>
      <c r="D29" s="1015"/>
      <c r="E29" s="21"/>
      <c r="F29" s="22"/>
      <c r="G29" s="23" t="s">
        <v>139</v>
      </c>
      <c r="H29" s="300">
        <v>68500</v>
      </c>
      <c r="I29" s="24">
        <v>68500</v>
      </c>
    </row>
    <row r="30" spans="1:11" ht="12.9" customHeight="1" x14ac:dyDescent="0.3">
      <c r="A30" s="12"/>
      <c r="B30" s="999">
        <f t="shared" si="0"/>
        <v>12</v>
      </c>
      <c r="C30" s="1016" t="s">
        <v>141</v>
      </c>
      <c r="D30" s="1015"/>
      <c r="E30" s="21"/>
      <c r="F30" s="22"/>
      <c r="G30" s="23" t="s">
        <v>139</v>
      </c>
      <c r="H30" s="300">
        <v>63500</v>
      </c>
      <c r="I30" s="24">
        <v>63500</v>
      </c>
    </row>
    <row r="31" spans="1:11" ht="12.9" customHeight="1" x14ac:dyDescent="0.3">
      <c r="A31" s="12"/>
      <c r="B31" s="999">
        <f t="shared" si="0"/>
        <v>13</v>
      </c>
      <c r="C31" s="1016" t="s">
        <v>142</v>
      </c>
      <c r="D31" s="1015"/>
      <c r="E31" s="21"/>
      <c r="F31" s="22"/>
      <c r="G31" s="23" t="s">
        <v>139</v>
      </c>
      <c r="H31" s="300">
        <v>54500</v>
      </c>
      <c r="I31" s="24">
        <v>54500</v>
      </c>
    </row>
    <row r="32" spans="1:11" ht="12.9" customHeight="1" x14ac:dyDescent="0.3">
      <c r="A32" s="12"/>
      <c r="B32" s="999">
        <f t="shared" si="0"/>
        <v>14</v>
      </c>
      <c r="C32" s="1016" t="s">
        <v>143</v>
      </c>
      <c r="D32" s="1015"/>
      <c r="E32" s="21"/>
      <c r="F32" s="22"/>
      <c r="G32" s="23" t="s">
        <v>139</v>
      </c>
      <c r="H32" s="300">
        <v>52000</v>
      </c>
      <c r="I32" s="24">
        <v>52000</v>
      </c>
    </row>
    <row r="33" spans="1:10" ht="12.9" customHeight="1" x14ac:dyDescent="0.3">
      <c r="A33" s="12"/>
      <c r="B33" s="999">
        <f t="shared" si="0"/>
        <v>15</v>
      </c>
      <c r="C33" s="1016" t="s">
        <v>144</v>
      </c>
      <c r="D33" s="1015"/>
      <c r="E33" s="21"/>
      <c r="F33" s="22"/>
      <c r="G33" s="23" t="s">
        <v>139</v>
      </c>
      <c r="H33" s="300">
        <v>36500</v>
      </c>
      <c r="I33" s="24">
        <v>36500</v>
      </c>
    </row>
    <row r="34" spans="1:10" ht="12.9" customHeight="1" x14ac:dyDescent="0.3">
      <c r="A34" s="12"/>
      <c r="B34" s="51"/>
      <c r="C34" s="1017"/>
      <c r="D34" s="1015"/>
      <c r="E34" s="21"/>
      <c r="F34" s="22"/>
      <c r="G34" s="22"/>
      <c r="H34" s="301"/>
      <c r="I34" s="26"/>
    </row>
    <row r="35" spans="1:10" ht="12.9" customHeight="1" x14ac:dyDescent="0.3">
      <c r="A35" s="12"/>
      <c r="B35" s="1000" t="s">
        <v>145</v>
      </c>
      <c r="C35" s="1014" t="s">
        <v>146</v>
      </c>
      <c r="D35" s="1015"/>
      <c r="E35" s="18"/>
      <c r="F35" s="18"/>
      <c r="G35" s="19"/>
      <c r="H35" s="293"/>
      <c r="I35" s="20"/>
    </row>
    <row r="36" spans="1:10" ht="12.9" customHeight="1" x14ac:dyDescent="0.3">
      <c r="A36" s="12"/>
      <c r="B36" s="999"/>
      <c r="C36" s="1016"/>
      <c r="D36" s="1015"/>
      <c r="E36" s="18"/>
      <c r="F36" s="18"/>
      <c r="G36" s="19"/>
      <c r="H36" s="519"/>
      <c r="I36" s="20"/>
    </row>
    <row r="37" spans="1:10" ht="12.9" customHeight="1" x14ac:dyDescent="0.3">
      <c r="A37" s="12"/>
      <c r="B37" s="999">
        <v>1</v>
      </c>
      <c r="C37" s="1016" t="s">
        <v>147</v>
      </c>
      <c r="D37" s="1015"/>
      <c r="E37" s="21"/>
      <c r="F37" s="27"/>
      <c r="G37" s="23" t="s">
        <v>148</v>
      </c>
      <c r="H37" s="518">
        <v>130000</v>
      </c>
      <c r="I37" s="28">
        <v>200000</v>
      </c>
    </row>
    <row r="38" spans="1:10" ht="12.9" customHeight="1" x14ac:dyDescent="0.3">
      <c r="A38" s="12"/>
      <c r="B38" s="999">
        <f t="shared" ref="B38:B104" si="2">B37+1</f>
        <v>2</v>
      </c>
      <c r="C38" s="1016" t="s">
        <v>149</v>
      </c>
      <c r="D38" s="1015"/>
      <c r="E38" s="21"/>
      <c r="F38" s="27"/>
      <c r="G38" s="23" t="s">
        <v>148</v>
      </c>
      <c r="H38" s="518">
        <v>250000</v>
      </c>
      <c r="I38" s="28">
        <v>250000</v>
      </c>
    </row>
    <row r="39" spans="1:10" ht="12.9" customHeight="1" x14ac:dyDescent="0.3">
      <c r="A39" s="12"/>
      <c r="B39" s="999">
        <f t="shared" si="2"/>
        <v>3</v>
      </c>
      <c r="C39" s="1016" t="s">
        <v>150</v>
      </c>
      <c r="D39" s="1015"/>
      <c r="E39" s="21"/>
      <c r="F39" s="27"/>
      <c r="G39" s="23" t="s">
        <v>148</v>
      </c>
      <c r="H39" s="518">
        <v>250000</v>
      </c>
      <c r="I39" s="28">
        <v>350000</v>
      </c>
    </row>
    <row r="40" spans="1:10" ht="12.9" customHeight="1" x14ac:dyDescent="0.3">
      <c r="A40" s="12"/>
      <c r="B40" s="999">
        <f t="shared" si="2"/>
        <v>4</v>
      </c>
      <c r="C40" s="1016" t="s">
        <v>151</v>
      </c>
      <c r="D40" s="1015"/>
      <c r="E40" s="21"/>
      <c r="F40" s="27"/>
      <c r="G40" s="23" t="s">
        <v>148</v>
      </c>
      <c r="H40" s="518">
        <v>180000</v>
      </c>
      <c r="I40" s="28">
        <v>300000</v>
      </c>
      <c r="J40">
        <v>300000</v>
      </c>
    </row>
    <row r="41" spans="1:10" ht="12.9" customHeight="1" x14ac:dyDescent="0.3">
      <c r="A41" s="12"/>
      <c r="B41" s="999">
        <f t="shared" si="2"/>
        <v>5</v>
      </c>
      <c r="C41" s="1016" t="s">
        <v>152</v>
      </c>
      <c r="D41" s="1015"/>
      <c r="E41" s="21"/>
      <c r="F41" s="27"/>
      <c r="G41" s="23" t="s">
        <v>153</v>
      </c>
      <c r="H41" s="518">
        <v>56000</v>
      </c>
      <c r="I41" s="28">
        <v>85000</v>
      </c>
      <c r="J41">
        <v>85000</v>
      </c>
    </row>
    <row r="42" spans="1:10" ht="12.9" customHeight="1" x14ac:dyDescent="0.3">
      <c r="A42" s="12"/>
      <c r="B42" s="999">
        <f t="shared" si="2"/>
        <v>6</v>
      </c>
      <c r="C42" s="1016" t="s">
        <v>154</v>
      </c>
      <c r="D42" s="1015"/>
      <c r="E42" s="21"/>
      <c r="F42" s="27"/>
      <c r="G42" s="23" t="s">
        <v>148</v>
      </c>
      <c r="H42" s="518">
        <v>160000</v>
      </c>
      <c r="I42" s="28">
        <v>260000</v>
      </c>
    </row>
    <row r="43" spans="1:10" ht="12.9" customHeight="1" x14ac:dyDescent="0.3">
      <c r="A43" s="12"/>
      <c r="B43" s="999">
        <f t="shared" si="2"/>
        <v>7</v>
      </c>
      <c r="C43" s="1016" t="s">
        <v>585</v>
      </c>
      <c r="D43" s="1015"/>
      <c r="E43" s="21"/>
      <c r="F43" s="27"/>
      <c r="G43" s="23" t="s">
        <v>86</v>
      </c>
      <c r="H43" s="518">
        <v>900</v>
      </c>
      <c r="I43" s="28"/>
    </row>
    <row r="44" spans="1:10" ht="12.9" customHeight="1" x14ac:dyDescent="0.3">
      <c r="A44" s="12"/>
      <c r="B44" s="1248">
        <f t="shared" si="2"/>
        <v>8</v>
      </c>
      <c r="C44" s="1246" t="s">
        <v>977</v>
      </c>
      <c r="D44" s="1242"/>
      <c r="E44" s="1247"/>
      <c r="F44" s="1243"/>
      <c r="G44" s="1243" t="s">
        <v>86</v>
      </c>
      <c r="H44" s="1244">
        <v>6000</v>
      </c>
      <c r="I44" s="1245"/>
    </row>
    <row r="45" spans="1:10" ht="12.9" customHeight="1" x14ac:dyDescent="0.3">
      <c r="A45" s="12"/>
      <c r="B45" s="1248">
        <f t="shared" si="2"/>
        <v>9</v>
      </c>
      <c r="C45" s="1246" t="s">
        <v>978</v>
      </c>
      <c r="D45" s="1242"/>
      <c r="E45" s="1247"/>
      <c r="F45" s="1243"/>
      <c r="G45" s="1243" t="s">
        <v>510</v>
      </c>
      <c r="H45" s="1244">
        <v>45000</v>
      </c>
      <c r="I45" s="1245"/>
    </row>
    <row r="46" spans="1:10" ht="12.9" customHeight="1" x14ac:dyDescent="0.3">
      <c r="A46" s="12"/>
      <c r="B46" s="1248">
        <f t="shared" si="2"/>
        <v>10</v>
      </c>
      <c r="C46" s="1246" t="s">
        <v>979</v>
      </c>
      <c r="D46" s="1242"/>
      <c r="E46" s="1247"/>
      <c r="F46" s="1243"/>
      <c r="G46" s="1243" t="s">
        <v>510</v>
      </c>
      <c r="H46" s="1244">
        <v>45000</v>
      </c>
      <c r="I46" s="1245"/>
    </row>
    <row r="47" spans="1:10" ht="12.9" customHeight="1" x14ac:dyDescent="0.3">
      <c r="A47" s="12"/>
      <c r="B47" s="999">
        <f t="shared" si="2"/>
        <v>11</v>
      </c>
      <c r="C47" s="1016" t="s">
        <v>155</v>
      </c>
      <c r="D47" s="1015"/>
      <c r="E47" s="21"/>
      <c r="F47" s="27"/>
      <c r="G47" s="23" t="s">
        <v>156</v>
      </c>
      <c r="H47" s="518">
        <v>11000</v>
      </c>
      <c r="I47" s="24">
        <v>17500</v>
      </c>
    </row>
    <row r="48" spans="1:10" ht="12.9" customHeight="1" x14ac:dyDescent="0.3">
      <c r="A48" s="12"/>
      <c r="B48" s="999">
        <f t="shared" si="2"/>
        <v>12</v>
      </c>
      <c r="C48" s="1016" t="s">
        <v>157</v>
      </c>
      <c r="D48" s="1015"/>
      <c r="E48" s="21"/>
      <c r="F48" s="27"/>
      <c r="G48" s="23" t="s">
        <v>158</v>
      </c>
      <c r="H48" s="300">
        <v>145000</v>
      </c>
      <c r="I48" s="24">
        <v>145000</v>
      </c>
    </row>
    <row r="49" spans="1:9" ht="12.9" customHeight="1" x14ac:dyDescent="0.3">
      <c r="A49" s="12"/>
      <c r="B49" s="999">
        <f t="shared" si="2"/>
        <v>13</v>
      </c>
      <c r="C49" s="1016" t="s">
        <v>159</v>
      </c>
      <c r="D49" s="1015"/>
      <c r="E49" s="21"/>
      <c r="F49" s="27"/>
      <c r="G49" s="23" t="s">
        <v>156</v>
      </c>
      <c r="H49" s="300">
        <v>18100</v>
      </c>
      <c r="I49" s="24">
        <v>17500</v>
      </c>
    </row>
    <row r="50" spans="1:9" ht="12.9" customHeight="1" x14ac:dyDescent="0.3">
      <c r="A50" s="12"/>
      <c r="B50" s="999">
        <f t="shared" si="2"/>
        <v>14</v>
      </c>
      <c r="C50" s="1016" t="s">
        <v>160</v>
      </c>
      <c r="D50" s="1015"/>
      <c r="E50" s="21"/>
      <c r="F50" s="27"/>
      <c r="G50" s="23" t="s">
        <v>156</v>
      </c>
      <c r="H50" s="300">
        <v>12100</v>
      </c>
      <c r="I50" s="24">
        <v>16000</v>
      </c>
    </row>
    <row r="51" spans="1:9" ht="12.9" customHeight="1" x14ac:dyDescent="0.3">
      <c r="A51" s="12"/>
      <c r="B51" s="999">
        <f t="shared" si="2"/>
        <v>15</v>
      </c>
      <c r="C51" s="1016" t="s">
        <v>161</v>
      </c>
      <c r="D51" s="1015"/>
      <c r="E51" s="21"/>
      <c r="F51" s="27"/>
      <c r="G51" s="23" t="s">
        <v>86</v>
      </c>
      <c r="H51" s="300">
        <v>1000</v>
      </c>
      <c r="I51" s="24">
        <v>1000</v>
      </c>
    </row>
    <row r="52" spans="1:9" ht="12.9" customHeight="1" x14ac:dyDescent="0.3">
      <c r="A52" s="12"/>
      <c r="B52" s="999">
        <f t="shared" si="2"/>
        <v>16</v>
      </c>
      <c r="C52" s="1016" t="s">
        <v>162</v>
      </c>
      <c r="D52" s="1015"/>
      <c r="E52" s="21"/>
      <c r="F52" s="27"/>
      <c r="G52" s="23" t="s">
        <v>148</v>
      </c>
      <c r="H52" s="300">
        <v>4750000</v>
      </c>
      <c r="I52" s="24">
        <v>4750000</v>
      </c>
    </row>
    <row r="53" spans="1:9" ht="12.9" customHeight="1" x14ac:dyDescent="0.3">
      <c r="A53" s="12"/>
      <c r="B53" s="999">
        <f t="shared" si="2"/>
        <v>17</v>
      </c>
      <c r="C53" s="1016" t="s">
        <v>163</v>
      </c>
      <c r="D53" s="1015"/>
      <c r="E53" s="21"/>
      <c r="F53" s="27"/>
      <c r="G53" s="23" t="s">
        <v>148</v>
      </c>
      <c r="H53" s="300">
        <v>4750000</v>
      </c>
      <c r="I53" s="24">
        <v>4750000</v>
      </c>
    </row>
    <row r="54" spans="1:9" ht="12.9" customHeight="1" x14ac:dyDescent="0.3">
      <c r="A54" s="12"/>
      <c r="B54" s="999">
        <f t="shared" si="2"/>
        <v>18</v>
      </c>
      <c r="C54" s="1016" t="s">
        <v>164</v>
      </c>
      <c r="D54" s="1015"/>
      <c r="E54" s="21"/>
      <c r="F54" s="27"/>
      <c r="G54" s="23" t="s">
        <v>148</v>
      </c>
      <c r="H54" s="300">
        <v>1800000</v>
      </c>
      <c r="I54" s="24">
        <v>1800000</v>
      </c>
    </row>
    <row r="55" spans="1:9" ht="12.9" customHeight="1" x14ac:dyDescent="0.3">
      <c r="A55" s="12"/>
      <c r="B55" s="999">
        <f t="shared" si="2"/>
        <v>19</v>
      </c>
      <c r="C55" s="1016" t="s">
        <v>165</v>
      </c>
      <c r="D55" s="1015"/>
      <c r="E55" s="21"/>
      <c r="F55" s="27"/>
      <c r="G55" s="23" t="s">
        <v>148</v>
      </c>
      <c r="H55" s="300">
        <v>1800000</v>
      </c>
      <c r="I55" s="24">
        <v>1800000</v>
      </c>
    </row>
    <row r="56" spans="1:9" ht="12.9" customHeight="1" x14ac:dyDescent="0.3">
      <c r="A56" s="12"/>
      <c r="B56" s="999">
        <f t="shared" si="2"/>
        <v>20</v>
      </c>
      <c r="C56" s="1016" t="s">
        <v>165</v>
      </c>
      <c r="D56" s="1015"/>
      <c r="E56" s="21"/>
      <c r="F56" s="27"/>
      <c r="G56" s="23" t="s">
        <v>166</v>
      </c>
      <c r="H56" s="300">
        <v>23000</v>
      </c>
      <c r="I56" s="24">
        <v>23000</v>
      </c>
    </row>
    <row r="57" spans="1:9" ht="12.9" customHeight="1" x14ac:dyDescent="0.3">
      <c r="A57" s="12"/>
      <c r="B57" s="999">
        <f t="shared" si="2"/>
        <v>21</v>
      </c>
      <c r="C57" s="1016" t="s">
        <v>511</v>
      </c>
      <c r="D57" s="1015"/>
      <c r="E57" s="21"/>
      <c r="F57" s="27"/>
      <c r="G57" s="23" t="s">
        <v>148</v>
      </c>
      <c r="H57" s="300">
        <v>1800000</v>
      </c>
      <c r="I57" s="24">
        <v>1800000</v>
      </c>
    </row>
    <row r="58" spans="1:9" ht="12.9" customHeight="1" x14ac:dyDescent="0.3">
      <c r="A58" s="12"/>
      <c r="B58" s="999">
        <f t="shared" si="2"/>
        <v>22</v>
      </c>
      <c r="C58" s="1016" t="s">
        <v>167</v>
      </c>
      <c r="D58" s="1015"/>
      <c r="E58" s="21"/>
      <c r="F58" s="27"/>
      <c r="G58" s="23" t="s">
        <v>148</v>
      </c>
      <c r="H58" s="300">
        <v>730000</v>
      </c>
      <c r="I58" s="24">
        <v>730000</v>
      </c>
    </row>
    <row r="59" spans="1:9" ht="12.9" customHeight="1" x14ac:dyDescent="0.3">
      <c r="A59" s="12"/>
      <c r="B59" s="999">
        <f t="shared" si="2"/>
        <v>23</v>
      </c>
      <c r="C59" s="1016" t="s">
        <v>168</v>
      </c>
      <c r="D59" s="1015"/>
      <c r="E59" s="21"/>
      <c r="F59" s="27"/>
      <c r="G59" s="23" t="s">
        <v>169</v>
      </c>
      <c r="H59" s="300">
        <v>250000</v>
      </c>
      <c r="I59" s="24">
        <v>250000</v>
      </c>
    </row>
    <row r="60" spans="1:9" ht="12.9" customHeight="1" x14ac:dyDescent="0.3">
      <c r="A60" s="12"/>
      <c r="B60" s="999">
        <f t="shared" si="2"/>
        <v>24</v>
      </c>
      <c r="C60" s="1016" t="s">
        <v>514</v>
      </c>
      <c r="D60" s="1015"/>
      <c r="E60" s="21"/>
      <c r="F60" s="27"/>
      <c r="G60" s="23" t="s">
        <v>169</v>
      </c>
      <c r="H60" s="300">
        <v>115000</v>
      </c>
      <c r="I60" s="24">
        <v>115000</v>
      </c>
    </row>
    <row r="61" spans="1:9" ht="12.9" customHeight="1" x14ac:dyDescent="0.3">
      <c r="A61" s="12"/>
      <c r="B61" s="999">
        <f t="shared" si="2"/>
        <v>25</v>
      </c>
      <c r="C61" s="1016" t="s">
        <v>170</v>
      </c>
      <c r="D61" s="1015"/>
      <c r="E61" s="21"/>
      <c r="F61" s="27"/>
      <c r="G61" s="23" t="s">
        <v>156</v>
      </c>
      <c r="H61" s="300">
        <v>11000</v>
      </c>
      <c r="I61" s="24">
        <v>11000</v>
      </c>
    </row>
    <row r="62" spans="1:9" ht="12.9" customHeight="1" x14ac:dyDescent="0.3">
      <c r="A62" s="12"/>
      <c r="B62" s="999">
        <f t="shared" si="2"/>
        <v>26</v>
      </c>
      <c r="C62" s="1016" t="s">
        <v>171</v>
      </c>
      <c r="D62" s="1015"/>
      <c r="E62" s="21"/>
      <c r="F62" s="27"/>
      <c r="G62" s="23" t="s">
        <v>156</v>
      </c>
      <c r="H62" s="300">
        <v>11000</v>
      </c>
      <c r="I62" s="24">
        <v>11000</v>
      </c>
    </row>
    <row r="63" spans="1:9" ht="12.9" customHeight="1" x14ac:dyDescent="0.3">
      <c r="A63" s="12"/>
      <c r="B63" s="999">
        <f t="shared" si="2"/>
        <v>27</v>
      </c>
      <c r="C63" s="1016" t="s">
        <v>172</v>
      </c>
      <c r="D63" s="1015"/>
      <c r="E63" s="21"/>
      <c r="F63" s="27"/>
      <c r="G63" s="23" t="s">
        <v>156</v>
      </c>
      <c r="H63" s="300">
        <v>45000</v>
      </c>
      <c r="I63" s="24">
        <v>45000</v>
      </c>
    </row>
    <row r="64" spans="1:9" ht="12.9" customHeight="1" x14ac:dyDescent="0.3">
      <c r="A64" s="12"/>
      <c r="B64" s="999">
        <f t="shared" si="2"/>
        <v>28</v>
      </c>
      <c r="C64" s="1016" t="s">
        <v>173</v>
      </c>
      <c r="D64" s="1015"/>
      <c r="E64" s="21"/>
      <c r="F64" s="27"/>
      <c r="G64" s="23" t="s">
        <v>156</v>
      </c>
      <c r="H64" s="300">
        <v>65000</v>
      </c>
      <c r="I64" s="24">
        <v>65000</v>
      </c>
    </row>
    <row r="65" spans="1:9" ht="12.9" customHeight="1" x14ac:dyDescent="0.3">
      <c r="A65" s="12"/>
      <c r="B65" s="999">
        <f t="shared" si="2"/>
        <v>29</v>
      </c>
      <c r="C65" s="1016" t="s">
        <v>174</v>
      </c>
      <c r="D65" s="1015"/>
      <c r="E65" s="21"/>
      <c r="F65" s="27"/>
      <c r="G65" s="23" t="s">
        <v>156</v>
      </c>
      <c r="H65" s="300">
        <v>25000</v>
      </c>
      <c r="I65" s="24">
        <v>27500</v>
      </c>
    </row>
    <row r="66" spans="1:9" ht="12.9" customHeight="1" x14ac:dyDescent="0.3">
      <c r="A66" s="12"/>
      <c r="B66" s="999">
        <f t="shared" si="2"/>
        <v>30</v>
      </c>
      <c r="C66" s="1016" t="s">
        <v>175</v>
      </c>
      <c r="D66" s="1015"/>
      <c r="E66" s="21"/>
      <c r="F66" s="27"/>
      <c r="G66" s="23" t="s">
        <v>176</v>
      </c>
      <c r="H66" s="300">
        <v>17500</v>
      </c>
      <c r="I66" s="24">
        <v>17500</v>
      </c>
    </row>
    <row r="67" spans="1:9" ht="12.9" customHeight="1" x14ac:dyDescent="0.3">
      <c r="A67" s="12"/>
      <c r="B67" s="999">
        <f t="shared" si="2"/>
        <v>31</v>
      </c>
      <c r="C67" s="1016" t="s">
        <v>177</v>
      </c>
      <c r="D67" s="1015"/>
      <c r="E67" s="21"/>
      <c r="F67" s="27"/>
      <c r="G67" s="23" t="s">
        <v>156</v>
      </c>
      <c r="H67" s="300">
        <v>25000</v>
      </c>
      <c r="I67" s="24">
        <v>25000</v>
      </c>
    </row>
    <row r="68" spans="1:9" ht="12.9" customHeight="1" x14ac:dyDescent="0.3">
      <c r="A68" s="12"/>
      <c r="B68" s="999">
        <f t="shared" si="2"/>
        <v>32</v>
      </c>
      <c r="C68" s="1016" t="s">
        <v>178</v>
      </c>
      <c r="D68" s="1015"/>
      <c r="E68" s="21"/>
      <c r="F68" s="27"/>
      <c r="G68" s="23" t="s">
        <v>169</v>
      </c>
      <c r="H68" s="300">
        <v>4500</v>
      </c>
      <c r="I68" s="24">
        <v>4500</v>
      </c>
    </row>
    <row r="69" spans="1:9" ht="12.9" customHeight="1" x14ac:dyDescent="0.3">
      <c r="A69" s="12"/>
      <c r="B69" s="999">
        <f t="shared" si="2"/>
        <v>33</v>
      </c>
      <c r="C69" s="1018" t="s">
        <v>179</v>
      </c>
      <c r="D69" s="1015"/>
      <c r="E69" s="29"/>
      <c r="F69" s="29"/>
      <c r="G69" s="30" t="s">
        <v>28</v>
      </c>
      <c r="H69" s="302">
        <v>21000</v>
      </c>
      <c r="I69" s="31">
        <v>21000</v>
      </c>
    </row>
    <row r="70" spans="1:9" ht="12.9" customHeight="1" x14ac:dyDescent="0.3">
      <c r="A70" s="12"/>
      <c r="B70" s="999">
        <f t="shared" si="2"/>
        <v>34</v>
      </c>
      <c r="C70" s="1018" t="s">
        <v>180</v>
      </c>
      <c r="D70" s="1015"/>
      <c r="E70" s="29"/>
      <c r="F70" s="29"/>
      <c r="G70" s="30" t="s">
        <v>28</v>
      </c>
      <c r="H70" s="302">
        <v>21000</v>
      </c>
      <c r="I70" s="31">
        <v>21000</v>
      </c>
    </row>
    <row r="71" spans="1:9" ht="12.9" customHeight="1" x14ac:dyDescent="0.3">
      <c r="A71" s="12"/>
      <c r="B71" s="999">
        <f t="shared" si="2"/>
        <v>35</v>
      </c>
      <c r="C71" s="1018" t="s">
        <v>181</v>
      </c>
      <c r="D71" s="1015"/>
      <c r="E71" s="29"/>
      <c r="F71" s="29"/>
      <c r="G71" s="30" t="s">
        <v>28</v>
      </c>
      <c r="H71" s="302">
        <v>13500</v>
      </c>
      <c r="I71" s="31">
        <v>13500</v>
      </c>
    </row>
    <row r="72" spans="1:9" ht="12.9" customHeight="1" x14ac:dyDescent="0.3">
      <c r="A72" s="12"/>
      <c r="B72" s="999">
        <f t="shared" si="2"/>
        <v>36</v>
      </c>
      <c r="C72" s="1018" t="s">
        <v>182</v>
      </c>
      <c r="D72" s="1015"/>
      <c r="E72" s="29"/>
      <c r="F72" s="29"/>
      <c r="G72" s="30" t="s">
        <v>53</v>
      </c>
      <c r="H72" s="302">
        <v>22500</v>
      </c>
      <c r="I72" s="31">
        <v>22500</v>
      </c>
    </row>
    <row r="73" spans="1:9" ht="12.9" customHeight="1" x14ac:dyDescent="0.3">
      <c r="A73" s="12"/>
      <c r="B73" s="999">
        <f t="shared" si="2"/>
        <v>37</v>
      </c>
      <c r="C73" s="1018" t="s">
        <v>183</v>
      </c>
      <c r="D73" s="1015"/>
      <c r="E73" s="29"/>
      <c r="F73" s="29"/>
      <c r="G73" s="30" t="s">
        <v>53</v>
      </c>
      <c r="H73" s="302">
        <v>8500</v>
      </c>
      <c r="I73" s="31">
        <v>13500</v>
      </c>
    </row>
    <row r="74" spans="1:9" ht="12.9" customHeight="1" x14ac:dyDescent="0.3">
      <c r="A74" s="12"/>
      <c r="B74" s="999">
        <f t="shared" si="2"/>
        <v>38</v>
      </c>
      <c r="C74" s="1018" t="s">
        <v>184</v>
      </c>
      <c r="D74" s="1015"/>
      <c r="E74" s="29"/>
      <c r="F74" s="29"/>
      <c r="G74" s="30" t="s">
        <v>53</v>
      </c>
      <c r="H74" s="302">
        <v>67500</v>
      </c>
      <c r="I74" s="31">
        <v>67500</v>
      </c>
    </row>
    <row r="75" spans="1:9" ht="12.9" customHeight="1" x14ac:dyDescent="0.3">
      <c r="A75" s="12"/>
      <c r="B75" s="999">
        <f t="shared" si="2"/>
        <v>39</v>
      </c>
      <c r="C75" s="1018" t="s">
        <v>185</v>
      </c>
      <c r="D75" s="1015"/>
      <c r="E75" s="29"/>
      <c r="F75" s="29"/>
      <c r="G75" s="30" t="s">
        <v>53</v>
      </c>
      <c r="H75" s="302">
        <v>67500</v>
      </c>
      <c r="I75" s="31">
        <v>67500</v>
      </c>
    </row>
    <row r="76" spans="1:9" ht="12.9" customHeight="1" x14ac:dyDescent="0.3">
      <c r="A76" s="12"/>
      <c r="B76" s="999">
        <f t="shared" si="2"/>
        <v>40</v>
      </c>
      <c r="C76" s="1018" t="s">
        <v>186</v>
      </c>
      <c r="D76" s="1015"/>
      <c r="E76" s="29"/>
      <c r="F76" s="29"/>
      <c r="G76" s="30" t="s">
        <v>15</v>
      </c>
      <c r="H76" s="302">
        <v>85000</v>
      </c>
      <c r="I76" s="31">
        <v>85000</v>
      </c>
    </row>
    <row r="77" spans="1:9" ht="12.9" customHeight="1" x14ac:dyDescent="0.3">
      <c r="A77" s="12"/>
      <c r="B77" s="999">
        <f t="shared" si="2"/>
        <v>41</v>
      </c>
      <c r="C77" s="1018" t="s">
        <v>187</v>
      </c>
      <c r="D77" s="1015"/>
      <c r="E77" s="29"/>
      <c r="F77" s="29"/>
      <c r="G77" s="30" t="s">
        <v>53</v>
      </c>
      <c r="H77" s="303">
        <v>150000</v>
      </c>
      <c r="I77" s="32">
        <v>150000</v>
      </c>
    </row>
    <row r="78" spans="1:9" ht="12.9" customHeight="1" x14ac:dyDescent="0.3">
      <c r="A78" s="12"/>
      <c r="B78" s="999">
        <f t="shared" si="2"/>
        <v>42</v>
      </c>
      <c r="C78" s="1018" t="s">
        <v>188</v>
      </c>
      <c r="D78" s="1015"/>
      <c r="E78" s="21"/>
      <c r="F78" s="27"/>
      <c r="G78" s="30" t="s">
        <v>53</v>
      </c>
      <c r="H78" s="303">
        <v>5000</v>
      </c>
      <c r="I78" s="32">
        <v>5000</v>
      </c>
    </row>
    <row r="79" spans="1:9" ht="12.9" customHeight="1" x14ac:dyDescent="0.3">
      <c r="A79" s="12"/>
      <c r="B79" s="999">
        <f t="shared" si="2"/>
        <v>43</v>
      </c>
      <c r="C79" s="1018" t="s">
        <v>189</v>
      </c>
      <c r="D79" s="1015"/>
      <c r="E79" s="29"/>
      <c r="F79" s="29"/>
      <c r="G79" s="30" t="s">
        <v>190</v>
      </c>
      <c r="H79" s="303">
        <v>25000</v>
      </c>
      <c r="I79" s="32">
        <v>25000</v>
      </c>
    </row>
    <row r="80" spans="1:9" ht="12.9" customHeight="1" x14ac:dyDescent="0.3">
      <c r="A80" s="12"/>
      <c r="B80" s="999">
        <f t="shared" si="2"/>
        <v>44</v>
      </c>
      <c r="C80" s="1018" t="s">
        <v>566</v>
      </c>
      <c r="D80" s="1015"/>
      <c r="E80" s="29"/>
      <c r="F80" s="29"/>
      <c r="G80" s="30" t="s">
        <v>38</v>
      </c>
      <c r="H80" s="1002">
        <v>530000</v>
      </c>
      <c r="I80" s="450"/>
    </row>
    <row r="81" spans="1:9" ht="12.9" customHeight="1" x14ac:dyDescent="0.3">
      <c r="A81" s="12"/>
      <c r="B81" s="999">
        <f t="shared" si="2"/>
        <v>45</v>
      </c>
      <c r="C81" s="1018" t="s">
        <v>567</v>
      </c>
      <c r="D81" s="1015"/>
      <c r="E81" s="29"/>
      <c r="F81" s="29"/>
      <c r="G81" s="30" t="s">
        <v>38</v>
      </c>
      <c r="H81" s="1002">
        <v>2200000</v>
      </c>
      <c r="I81" s="450"/>
    </row>
    <row r="82" spans="1:9" ht="12.9" customHeight="1" x14ac:dyDescent="0.3">
      <c r="A82" s="12"/>
      <c r="B82" s="999">
        <f t="shared" si="2"/>
        <v>46</v>
      </c>
      <c r="C82" s="1018" t="s">
        <v>568</v>
      </c>
      <c r="D82" s="1015"/>
      <c r="E82" s="29"/>
      <c r="F82" s="29"/>
      <c r="G82" s="30" t="s">
        <v>38</v>
      </c>
      <c r="H82" s="1002">
        <v>3475000</v>
      </c>
      <c r="I82" s="450"/>
    </row>
    <row r="83" spans="1:9" ht="12.9" customHeight="1" x14ac:dyDescent="0.3">
      <c r="A83" s="12"/>
      <c r="B83" s="999">
        <f t="shared" si="2"/>
        <v>47</v>
      </c>
      <c r="C83" s="1019" t="s">
        <v>1017</v>
      </c>
      <c r="D83" s="1015"/>
      <c r="E83" s="29"/>
      <c r="F83" s="29"/>
      <c r="G83" s="30" t="s">
        <v>38</v>
      </c>
      <c r="H83" s="1002">
        <v>2200000</v>
      </c>
      <c r="I83" s="450"/>
    </row>
    <row r="84" spans="1:9" ht="12.9" customHeight="1" x14ac:dyDescent="0.3">
      <c r="A84" s="12"/>
      <c r="B84" s="999">
        <f t="shared" si="2"/>
        <v>48</v>
      </c>
      <c r="C84" s="1019" t="s">
        <v>1016</v>
      </c>
      <c r="D84" s="1015"/>
      <c r="E84" s="29"/>
      <c r="F84" s="29"/>
      <c r="G84" s="30" t="s">
        <v>38</v>
      </c>
      <c r="H84" s="1002">
        <v>3150000</v>
      </c>
      <c r="I84" s="450"/>
    </row>
    <row r="85" spans="1:9" ht="12.9" customHeight="1" x14ac:dyDescent="0.3">
      <c r="A85" s="12"/>
      <c r="B85" s="999">
        <f t="shared" si="2"/>
        <v>49</v>
      </c>
      <c r="C85" s="1020" t="s">
        <v>665</v>
      </c>
      <c r="D85" s="1015"/>
      <c r="E85" s="1003"/>
      <c r="F85" s="1003"/>
      <c r="G85" s="452" t="s">
        <v>38</v>
      </c>
      <c r="H85" s="1004">
        <v>20150000</v>
      </c>
      <c r="I85" s="33">
        <v>20150000</v>
      </c>
    </row>
    <row r="86" spans="1:9" ht="12.9" customHeight="1" x14ac:dyDescent="0.3">
      <c r="A86" s="12"/>
      <c r="B86" s="999">
        <f t="shared" si="2"/>
        <v>50</v>
      </c>
      <c r="C86" s="1020" t="s">
        <v>666</v>
      </c>
      <c r="D86" s="1015"/>
      <c r="E86" s="1003"/>
      <c r="F86" s="1005"/>
      <c r="G86" s="1006" t="s">
        <v>38</v>
      </c>
      <c r="H86" s="1007">
        <v>23285000</v>
      </c>
      <c r="I86" s="34">
        <v>23285000</v>
      </c>
    </row>
    <row r="87" spans="1:9" ht="12.9" customHeight="1" x14ac:dyDescent="0.3">
      <c r="A87" s="12"/>
      <c r="B87" s="999">
        <f t="shared" si="2"/>
        <v>51</v>
      </c>
      <c r="C87" s="1020" t="s">
        <v>667</v>
      </c>
      <c r="D87" s="1015"/>
      <c r="E87" s="1003"/>
      <c r="F87" s="1005"/>
      <c r="G87" s="1006" t="s">
        <v>38</v>
      </c>
      <c r="H87" s="1007">
        <v>33350000</v>
      </c>
      <c r="I87" s="34">
        <v>33350000</v>
      </c>
    </row>
    <row r="88" spans="1:9" ht="12.9" customHeight="1" x14ac:dyDescent="0.3">
      <c r="A88" s="12"/>
      <c r="B88" s="999">
        <f t="shared" si="2"/>
        <v>52</v>
      </c>
      <c r="C88" s="1020" t="s">
        <v>668</v>
      </c>
      <c r="D88" s="1015"/>
      <c r="E88" s="1003"/>
      <c r="F88" s="1005"/>
      <c r="G88" s="1006" t="s">
        <v>38</v>
      </c>
      <c r="H88" s="1007">
        <v>39540000</v>
      </c>
      <c r="I88" s="34">
        <v>39540000</v>
      </c>
    </row>
    <row r="89" spans="1:9" ht="12.9" customHeight="1" x14ac:dyDescent="0.3">
      <c r="A89" s="12"/>
      <c r="B89" s="999">
        <f t="shared" si="2"/>
        <v>53</v>
      </c>
      <c r="C89" s="1020" t="s">
        <v>669</v>
      </c>
      <c r="D89" s="1015"/>
      <c r="E89" s="1003"/>
      <c r="F89" s="1005"/>
      <c r="G89" s="1006" t="s">
        <v>38</v>
      </c>
      <c r="H89" s="1007">
        <v>58550000</v>
      </c>
      <c r="I89" s="34">
        <v>58550000</v>
      </c>
    </row>
    <row r="90" spans="1:9" ht="12.9" customHeight="1" x14ac:dyDescent="0.3">
      <c r="A90" s="12"/>
      <c r="B90" s="999">
        <f t="shared" si="2"/>
        <v>54</v>
      </c>
      <c r="C90" s="1020" t="s">
        <v>670</v>
      </c>
      <c r="D90" s="1015"/>
      <c r="E90" s="1003"/>
      <c r="F90" s="1005"/>
      <c r="G90" s="1006" t="s">
        <v>38</v>
      </c>
      <c r="H90" s="1007">
        <v>72140000</v>
      </c>
      <c r="I90" s="35">
        <v>72140000</v>
      </c>
    </row>
    <row r="91" spans="1:9" ht="12.9" customHeight="1" x14ac:dyDescent="0.3">
      <c r="A91" s="12"/>
      <c r="B91" s="999">
        <f t="shared" si="2"/>
        <v>55</v>
      </c>
      <c r="C91" s="1021" t="s">
        <v>191</v>
      </c>
      <c r="D91" s="1015"/>
      <c r="E91" s="1003"/>
      <c r="F91" s="1005"/>
      <c r="G91" s="1008" t="s">
        <v>38</v>
      </c>
      <c r="H91" s="1009">
        <v>500000</v>
      </c>
      <c r="I91" s="36">
        <v>500000</v>
      </c>
    </row>
    <row r="92" spans="1:9" ht="12.9" customHeight="1" x14ac:dyDescent="0.3">
      <c r="A92" s="12"/>
      <c r="B92" s="999">
        <f t="shared" si="2"/>
        <v>56</v>
      </c>
      <c r="C92" s="1021" t="s">
        <v>192</v>
      </c>
      <c r="D92" s="1015"/>
      <c r="E92" s="1003"/>
      <c r="F92" s="1005"/>
      <c r="G92" s="1008" t="s">
        <v>38</v>
      </c>
      <c r="H92" s="1010">
        <v>3000000</v>
      </c>
      <c r="I92" s="37">
        <v>3000000</v>
      </c>
    </row>
    <row r="93" spans="1:9" ht="12.9" customHeight="1" x14ac:dyDescent="0.3">
      <c r="A93" s="12"/>
      <c r="B93" s="999">
        <f t="shared" si="2"/>
        <v>57</v>
      </c>
      <c r="C93" s="1021" t="s">
        <v>193</v>
      </c>
      <c r="D93" s="1015"/>
      <c r="E93" s="1003"/>
      <c r="F93" s="1005"/>
      <c r="G93" s="1008" t="s">
        <v>38</v>
      </c>
      <c r="H93" s="1010">
        <v>3500000</v>
      </c>
      <c r="I93" s="37">
        <v>3500000</v>
      </c>
    </row>
    <row r="94" spans="1:9" ht="12.9" customHeight="1" x14ac:dyDescent="0.3">
      <c r="A94" s="12"/>
      <c r="B94" s="999">
        <f t="shared" si="2"/>
        <v>58</v>
      </c>
      <c r="C94" s="1021" t="s">
        <v>194</v>
      </c>
      <c r="D94" s="1015"/>
      <c r="E94" s="1003"/>
      <c r="F94" s="1005"/>
      <c r="G94" s="1008" t="s">
        <v>15</v>
      </c>
      <c r="H94" s="1010">
        <v>67500</v>
      </c>
      <c r="I94" s="38">
        <v>67500</v>
      </c>
    </row>
    <row r="95" spans="1:9" ht="12.9" customHeight="1" x14ac:dyDescent="0.3">
      <c r="A95" s="12"/>
      <c r="B95" s="999">
        <f t="shared" si="2"/>
        <v>59</v>
      </c>
      <c r="C95" s="1021" t="s">
        <v>195</v>
      </c>
      <c r="D95" s="1015"/>
      <c r="E95" s="1003"/>
      <c r="F95" s="1005"/>
      <c r="G95" s="1008" t="s">
        <v>15</v>
      </c>
      <c r="H95" s="1010">
        <v>25000</v>
      </c>
      <c r="I95" s="39">
        <v>25000</v>
      </c>
    </row>
    <row r="96" spans="1:9" ht="12.9" customHeight="1" x14ac:dyDescent="0.3">
      <c r="A96" s="12"/>
      <c r="B96" s="999">
        <f t="shared" si="2"/>
        <v>60</v>
      </c>
      <c r="C96" s="1017" t="s">
        <v>196</v>
      </c>
      <c r="D96" s="1015"/>
      <c r="E96" s="41"/>
      <c r="F96" s="41"/>
      <c r="G96" s="30" t="s">
        <v>53</v>
      </c>
      <c r="H96" s="303">
        <v>11500000</v>
      </c>
      <c r="I96" s="32">
        <v>10000000</v>
      </c>
    </row>
    <row r="97" spans="1:18" ht="12.9" customHeight="1" x14ac:dyDescent="0.3">
      <c r="A97" s="12"/>
      <c r="B97" s="999">
        <f t="shared" si="2"/>
        <v>61</v>
      </c>
      <c r="C97" s="1017" t="s">
        <v>197</v>
      </c>
      <c r="D97" s="1015"/>
      <c r="E97" s="41"/>
      <c r="F97" s="41"/>
      <c r="G97" s="1006" t="s">
        <v>86</v>
      </c>
      <c r="H97" s="1010">
        <f>60000-25000+5000+10000+5000</f>
        <v>55000</v>
      </c>
      <c r="I97" s="37">
        <f>60000-25000+5000+10000+5000</f>
        <v>55000</v>
      </c>
    </row>
    <row r="98" spans="1:18" ht="12.9" customHeight="1" x14ac:dyDescent="0.3">
      <c r="A98" s="12"/>
      <c r="B98" s="999">
        <f t="shared" si="2"/>
        <v>62</v>
      </c>
      <c r="C98" s="1017" t="s">
        <v>157</v>
      </c>
      <c r="D98" s="1015"/>
      <c r="E98" s="41"/>
      <c r="F98" s="41"/>
      <c r="G98" s="1006" t="s">
        <v>17</v>
      </c>
      <c r="H98" s="1010">
        <f>150000-25000+5000+10000+5000</f>
        <v>145000</v>
      </c>
      <c r="I98" s="38">
        <f>150000-25000+5000+10000+5000</f>
        <v>145000</v>
      </c>
    </row>
    <row r="99" spans="1:18" ht="12.9" customHeight="1" x14ac:dyDescent="0.3">
      <c r="A99" s="12"/>
      <c r="B99" s="999">
        <f t="shared" si="2"/>
        <v>63</v>
      </c>
      <c r="C99" s="1017" t="s">
        <v>198</v>
      </c>
      <c r="D99" s="1015"/>
      <c r="E99" s="41"/>
      <c r="F99" s="41"/>
      <c r="G99" s="1006" t="s">
        <v>199</v>
      </c>
      <c r="H99" s="1010">
        <f>35000-10000+2000+3000+2500</f>
        <v>32500</v>
      </c>
      <c r="I99" s="38">
        <f>35000-10000+2000+3000+2500</f>
        <v>32500</v>
      </c>
    </row>
    <row r="100" spans="1:18" ht="12.9" customHeight="1" x14ac:dyDescent="0.3">
      <c r="A100" s="12"/>
      <c r="B100" s="999">
        <f t="shared" si="2"/>
        <v>64</v>
      </c>
      <c r="C100" s="1017" t="s">
        <v>200</v>
      </c>
      <c r="D100" s="1015"/>
      <c r="E100" s="41"/>
      <c r="F100" s="41"/>
      <c r="G100" s="1006" t="s">
        <v>38</v>
      </c>
      <c r="H100" s="1010">
        <f>500000-200000+50000+50000+50000</f>
        <v>450000</v>
      </c>
      <c r="I100" s="38">
        <f>500000-200000+50000+50000+50000</f>
        <v>450000</v>
      </c>
    </row>
    <row r="101" spans="1:18" ht="12.9" customHeight="1" x14ac:dyDescent="0.3">
      <c r="A101" s="12"/>
      <c r="B101" s="999">
        <f t="shared" si="2"/>
        <v>65</v>
      </c>
      <c r="C101" s="1017" t="s">
        <v>201</v>
      </c>
      <c r="D101" s="1015"/>
      <c r="E101" s="41"/>
      <c r="F101" s="41"/>
      <c r="G101" s="1006" t="s">
        <v>53</v>
      </c>
      <c r="H101" s="1010">
        <v>350000</v>
      </c>
      <c r="I101" s="38">
        <v>350000</v>
      </c>
    </row>
    <row r="102" spans="1:18" ht="12.9" customHeight="1" x14ac:dyDescent="0.3">
      <c r="A102" s="12"/>
      <c r="B102" s="999">
        <f t="shared" si="2"/>
        <v>66</v>
      </c>
      <c r="C102" s="1017" t="s">
        <v>202</v>
      </c>
      <c r="D102" s="1015"/>
      <c r="E102" s="41"/>
      <c r="F102" s="41"/>
      <c r="G102" s="1006" t="s">
        <v>53</v>
      </c>
      <c r="H102" s="1010">
        <f>150000-50000+10000+15000+10000</f>
        <v>135000</v>
      </c>
      <c r="I102" s="38">
        <f>150000-50000+10000+15000+10000</f>
        <v>135000</v>
      </c>
    </row>
    <row r="103" spans="1:18" ht="12.9" customHeight="1" x14ac:dyDescent="0.3">
      <c r="A103" s="12"/>
      <c r="B103" s="999">
        <f t="shared" si="2"/>
        <v>67</v>
      </c>
      <c r="C103" s="1017" t="s">
        <v>203</v>
      </c>
      <c r="D103" s="1015"/>
      <c r="E103" s="41"/>
      <c r="F103" s="41"/>
      <c r="G103" s="1006" t="s">
        <v>53</v>
      </c>
      <c r="H103" s="1010">
        <v>98000</v>
      </c>
      <c r="I103" s="42">
        <v>98000</v>
      </c>
    </row>
    <row r="104" spans="1:18" ht="12.9" customHeight="1" x14ac:dyDescent="0.3">
      <c r="A104" s="12"/>
      <c r="B104" s="999">
        <f t="shared" si="2"/>
        <v>68</v>
      </c>
      <c r="C104" s="1017" t="s">
        <v>204</v>
      </c>
      <c r="D104" s="1015"/>
      <c r="E104" s="41"/>
      <c r="F104" s="41"/>
      <c r="G104" s="1006" t="s">
        <v>53</v>
      </c>
      <c r="H104" s="1010">
        <v>1050000</v>
      </c>
      <c r="I104" s="39">
        <v>1050000</v>
      </c>
      <c r="K104" s="43">
        <v>44197</v>
      </c>
      <c r="L104" s="44">
        <v>44291</v>
      </c>
    </row>
    <row r="105" spans="1:18" ht="12.9" customHeight="1" x14ac:dyDescent="0.3">
      <c r="A105" s="12"/>
      <c r="B105" s="999"/>
      <c r="C105" s="1022" t="s">
        <v>569</v>
      </c>
      <c r="D105" s="1023"/>
      <c r="E105" s="41"/>
      <c r="F105" s="41"/>
      <c r="G105" s="452"/>
      <c r="H105" s="453"/>
      <c r="I105" s="451"/>
      <c r="K105" s="43"/>
      <c r="L105" s="44"/>
    </row>
    <row r="106" spans="1:18" ht="12.9" customHeight="1" x14ac:dyDescent="0.3">
      <c r="A106" s="12"/>
      <c r="B106" s="999"/>
      <c r="C106" s="991" t="s">
        <v>704</v>
      </c>
      <c r="D106" s="41" t="s">
        <v>705</v>
      </c>
      <c r="E106" s="41"/>
      <c r="F106" s="41"/>
      <c r="G106" s="452" t="s">
        <v>38</v>
      </c>
      <c r="H106" s="453">
        <v>950000</v>
      </c>
      <c r="I106" s="451"/>
      <c r="K106" s="43"/>
      <c r="L106" s="44"/>
    </row>
    <row r="107" spans="1:18" ht="12.9" customHeight="1" x14ac:dyDescent="0.3">
      <c r="A107" s="12"/>
      <c r="B107" s="999"/>
      <c r="C107" s="991" t="s">
        <v>704</v>
      </c>
      <c r="D107" s="41" t="s">
        <v>706</v>
      </c>
      <c r="E107" s="41"/>
      <c r="F107" s="41"/>
      <c r="G107" s="452" t="s">
        <v>38</v>
      </c>
      <c r="H107" s="453">
        <v>1500000</v>
      </c>
      <c r="I107" s="451"/>
      <c r="K107" s="43"/>
      <c r="L107" s="44"/>
    </row>
    <row r="108" spans="1:18" ht="12.9" customHeight="1" x14ac:dyDescent="0.3">
      <c r="A108" s="12"/>
      <c r="B108" s="999"/>
      <c r="C108" s="991" t="s">
        <v>704</v>
      </c>
      <c r="D108" s="41" t="s">
        <v>707</v>
      </c>
      <c r="E108" s="41"/>
      <c r="F108" s="41"/>
      <c r="G108" s="452" t="s">
        <v>38</v>
      </c>
      <c r="H108" s="453">
        <v>2500000</v>
      </c>
      <c r="I108" s="451"/>
      <c r="K108" s="43"/>
      <c r="L108" s="44"/>
    </row>
    <row r="109" spans="1:18" ht="12.9" customHeight="1" x14ac:dyDescent="0.3">
      <c r="A109" s="12"/>
      <c r="B109" s="1157"/>
      <c r="C109" s="991" t="s">
        <v>704</v>
      </c>
      <c r="D109" s="1158" t="s">
        <v>941</v>
      </c>
      <c r="E109" s="1158"/>
      <c r="F109" s="1159"/>
      <c r="G109" s="1159" t="s">
        <v>38</v>
      </c>
      <c r="H109" s="1160">
        <v>3700000</v>
      </c>
      <c r="I109" s="451"/>
      <c r="K109" s="43"/>
      <c r="L109" s="44"/>
    </row>
    <row r="110" spans="1:18" ht="12.9" customHeight="1" x14ac:dyDescent="0.3">
      <c r="A110" s="12"/>
      <c r="B110" s="999"/>
      <c r="C110" s="991" t="s">
        <v>704</v>
      </c>
      <c r="D110" s="41" t="s">
        <v>700</v>
      </c>
      <c r="E110" s="41"/>
      <c r="F110" s="41"/>
      <c r="G110" s="452" t="s">
        <v>53</v>
      </c>
      <c r="H110" s="453">
        <v>173250</v>
      </c>
      <c r="I110" s="451"/>
      <c r="K110" s="43"/>
      <c r="L110" s="44"/>
    </row>
    <row r="111" spans="1:18" ht="15" customHeight="1" x14ac:dyDescent="0.3">
      <c r="A111" s="45"/>
      <c r="B111" s="999">
        <f>B104+1</f>
        <v>69</v>
      </c>
      <c r="C111" s="991"/>
      <c r="D111" s="25" t="s">
        <v>84</v>
      </c>
      <c r="E111" s="41"/>
      <c r="F111" s="41"/>
      <c r="G111" s="19"/>
      <c r="H111" s="293"/>
      <c r="I111" s="20"/>
      <c r="J111" s="46">
        <v>0.15</v>
      </c>
      <c r="K111" s="47" t="s">
        <v>205</v>
      </c>
      <c r="L111" s="47" t="s">
        <v>206</v>
      </c>
      <c r="M111" s="521"/>
      <c r="N111" s="67"/>
      <c r="O111" s="67"/>
      <c r="P111" s="67"/>
      <c r="Q111" s="67"/>
      <c r="R111" s="67"/>
    </row>
    <row r="112" spans="1:18" ht="15" customHeight="1" x14ac:dyDescent="0.3">
      <c r="A112" s="45"/>
      <c r="B112" s="999"/>
      <c r="C112" s="991" t="s">
        <v>704</v>
      </c>
      <c r="D112" s="1024" t="s">
        <v>863</v>
      </c>
      <c r="E112" s="41"/>
      <c r="F112" s="41"/>
      <c r="G112" s="19" t="s">
        <v>15</v>
      </c>
      <c r="H112" s="293">
        <v>263701</v>
      </c>
      <c r="I112" s="20"/>
      <c r="J112" s="46"/>
      <c r="K112" s="47"/>
      <c r="L112" s="47"/>
      <c r="M112" s="521"/>
      <c r="N112" s="67"/>
      <c r="O112" s="67"/>
      <c r="P112" s="67"/>
      <c r="Q112" s="67"/>
      <c r="R112" s="67"/>
    </row>
    <row r="113" spans="1:18" ht="15" customHeight="1" x14ac:dyDescent="0.3">
      <c r="A113" s="45"/>
      <c r="B113" s="999"/>
      <c r="C113" s="991" t="s">
        <v>704</v>
      </c>
      <c r="D113" s="1024" t="s">
        <v>864</v>
      </c>
      <c r="E113" s="41"/>
      <c r="F113" s="41"/>
      <c r="G113" s="19" t="s">
        <v>15</v>
      </c>
      <c r="H113" s="293">
        <v>131784</v>
      </c>
      <c r="I113" s="20"/>
      <c r="J113" s="46"/>
      <c r="K113" s="47"/>
      <c r="L113" s="47"/>
      <c r="M113" s="521"/>
      <c r="N113" s="67"/>
      <c r="O113" s="67"/>
      <c r="P113" s="67"/>
      <c r="Q113" s="67"/>
      <c r="R113" s="67"/>
    </row>
    <row r="114" spans="1:18" ht="15" customHeight="1" x14ac:dyDescent="0.3">
      <c r="A114" s="45"/>
      <c r="B114" s="999"/>
      <c r="C114" s="991" t="s">
        <v>704</v>
      </c>
      <c r="D114" s="1025" t="s">
        <v>865</v>
      </c>
      <c r="E114" s="41"/>
      <c r="F114" s="41"/>
      <c r="G114" s="19" t="s">
        <v>15</v>
      </c>
      <c r="H114" s="293">
        <v>93481</v>
      </c>
      <c r="I114" s="20"/>
      <c r="J114" s="46"/>
      <c r="K114" s="47"/>
      <c r="L114" s="47"/>
      <c r="M114" s="521"/>
      <c r="N114" s="67"/>
      <c r="O114" s="67"/>
      <c r="P114" s="67"/>
      <c r="Q114" s="67"/>
      <c r="R114" s="67"/>
    </row>
    <row r="115" spans="1:18" ht="15" customHeight="1" x14ac:dyDescent="0.3">
      <c r="A115" s="45"/>
      <c r="B115" s="51"/>
      <c r="C115" s="1001" t="s">
        <v>704</v>
      </c>
      <c r="D115" s="1025" t="s">
        <v>539</v>
      </c>
      <c r="E115" s="41"/>
      <c r="F115" s="41"/>
      <c r="G115" s="19" t="s">
        <v>15</v>
      </c>
      <c r="H115" s="293">
        <v>91500</v>
      </c>
      <c r="I115" s="48">
        <v>100500</v>
      </c>
      <c r="J115" s="49">
        <f>K115*1.15</f>
        <v>101884.24999999999</v>
      </c>
      <c r="K115" s="49">
        <v>88595</v>
      </c>
      <c r="L115" s="49">
        <f>698550/6</f>
        <v>116425</v>
      </c>
      <c r="M115" s="522"/>
      <c r="N115" s="523"/>
      <c r="O115" s="523"/>
      <c r="P115" s="523"/>
      <c r="Q115" s="523"/>
      <c r="R115" s="523"/>
    </row>
    <row r="116" spans="1:18" ht="15" customHeight="1" x14ac:dyDescent="0.3">
      <c r="A116" s="45"/>
      <c r="B116" s="51"/>
      <c r="C116" s="1001" t="s">
        <v>704</v>
      </c>
      <c r="D116" s="1025" t="s">
        <v>540</v>
      </c>
      <c r="E116" s="41"/>
      <c r="F116" s="41"/>
      <c r="G116" s="19" t="s">
        <v>15</v>
      </c>
      <c r="H116" s="293">
        <v>43900</v>
      </c>
      <c r="I116" s="48">
        <v>48802.170499999993</v>
      </c>
      <c r="J116" s="49">
        <f>K116*1.15</f>
        <v>48802.170499999993</v>
      </c>
      <c r="K116" s="49">
        <v>42436.67</v>
      </c>
      <c r="L116" s="50">
        <f>346150/6</f>
        <v>57691.666666666664</v>
      </c>
      <c r="M116" s="521"/>
      <c r="N116" s="523"/>
      <c r="O116" s="523"/>
      <c r="P116" s="523"/>
      <c r="Q116" s="523"/>
      <c r="R116" s="523"/>
    </row>
    <row r="117" spans="1:18" ht="15" customHeight="1" x14ac:dyDescent="0.3">
      <c r="A117" s="45"/>
      <c r="B117" s="51"/>
      <c r="C117" s="1001" t="s">
        <v>704</v>
      </c>
      <c r="D117" s="1025" t="s">
        <v>541</v>
      </c>
      <c r="E117" s="41"/>
      <c r="F117" s="41"/>
      <c r="G117" s="19" t="s">
        <v>15</v>
      </c>
      <c r="H117" s="293">
        <v>29100</v>
      </c>
      <c r="I117" s="48">
        <v>32383.999999999996</v>
      </c>
      <c r="J117" s="49">
        <f>K117*1.15</f>
        <v>32383.999999999996</v>
      </c>
      <c r="K117" s="49">
        <v>28160</v>
      </c>
      <c r="L117" s="50">
        <f>214800/6</f>
        <v>35800</v>
      </c>
      <c r="M117" s="521"/>
      <c r="N117" s="523"/>
      <c r="O117" s="523"/>
      <c r="P117" s="523"/>
      <c r="Q117" s="523"/>
      <c r="R117" s="523"/>
    </row>
    <row r="118" spans="1:18" ht="15" customHeight="1" x14ac:dyDescent="0.3">
      <c r="A118" s="45"/>
      <c r="B118" s="51"/>
      <c r="C118" s="1001" t="s">
        <v>704</v>
      </c>
      <c r="D118" s="1025" t="s">
        <v>542</v>
      </c>
      <c r="E118" s="41"/>
      <c r="F118" s="41"/>
      <c r="G118" s="19" t="s">
        <v>15</v>
      </c>
      <c r="H118" s="293">
        <v>21600</v>
      </c>
      <c r="I118" s="48">
        <v>24000</v>
      </c>
      <c r="J118" s="49">
        <f>K118*1.2</f>
        <v>20250</v>
      </c>
      <c r="K118" s="49">
        <v>16875</v>
      </c>
      <c r="L118" s="50">
        <f>107350/6</f>
        <v>17891.666666666668</v>
      </c>
      <c r="M118" s="521"/>
      <c r="N118" s="523"/>
      <c r="O118" s="523"/>
      <c r="P118" s="523"/>
      <c r="Q118" s="523"/>
      <c r="R118" s="523"/>
    </row>
    <row r="119" spans="1:18" ht="15" customHeight="1" x14ac:dyDescent="0.3">
      <c r="A119" s="45"/>
      <c r="B119" s="51"/>
      <c r="C119" s="1001" t="s">
        <v>704</v>
      </c>
      <c r="D119" s="1025" t="s">
        <v>708</v>
      </c>
      <c r="E119" s="41"/>
      <c r="F119" s="41"/>
      <c r="G119" s="19" t="s">
        <v>15</v>
      </c>
      <c r="H119" s="293">
        <v>9700</v>
      </c>
      <c r="I119" s="48"/>
      <c r="J119" s="49"/>
      <c r="K119" s="49"/>
      <c r="L119" s="50"/>
      <c r="M119" s="521"/>
      <c r="N119" s="523"/>
      <c r="O119" s="523"/>
      <c r="P119" s="523"/>
      <c r="Q119" s="523"/>
      <c r="R119" s="523"/>
    </row>
    <row r="120" spans="1:18" ht="15" customHeight="1" x14ac:dyDescent="0.3">
      <c r="A120" s="45"/>
      <c r="B120" s="51"/>
      <c r="C120" s="1001" t="s">
        <v>704</v>
      </c>
      <c r="D120" s="1024" t="s">
        <v>709</v>
      </c>
      <c r="E120" s="41"/>
      <c r="F120" s="41"/>
      <c r="G120" s="60" t="s">
        <v>15</v>
      </c>
      <c r="H120" s="293">
        <v>6750</v>
      </c>
      <c r="I120" s="48">
        <f>H120*4</f>
        <v>27000</v>
      </c>
      <c r="J120" s="49">
        <v>27000</v>
      </c>
      <c r="K120" s="49">
        <f>J120/4</f>
        <v>6750</v>
      </c>
      <c r="L120" s="50"/>
      <c r="M120" s="521">
        <f t="shared" ref="M120:M128" si="3">H120*4</f>
        <v>27000</v>
      </c>
      <c r="N120" s="523">
        <f>27000/4</f>
        <v>6750</v>
      </c>
      <c r="O120" s="523"/>
      <c r="P120" s="523"/>
      <c r="Q120" s="523" t="s">
        <v>15</v>
      </c>
      <c r="R120" s="523">
        <v>6050</v>
      </c>
    </row>
    <row r="121" spans="1:18" ht="15" customHeight="1" x14ac:dyDescent="0.3">
      <c r="A121" s="45"/>
      <c r="B121" s="51"/>
      <c r="C121" s="1001" t="s">
        <v>704</v>
      </c>
      <c r="D121" s="1024" t="s">
        <v>710</v>
      </c>
      <c r="E121" s="41"/>
      <c r="F121" s="41"/>
      <c r="G121" s="60" t="s">
        <v>15</v>
      </c>
      <c r="H121" s="293">
        <v>8500</v>
      </c>
      <c r="I121" s="48">
        <f t="shared" ref="I121:I128" si="4">H121*4</f>
        <v>34000</v>
      </c>
      <c r="J121" s="49">
        <v>36750</v>
      </c>
      <c r="K121" s="49">
        <f t="shared" ref="K121:K127" si="5">J121/4</f>
        <v>9187.5</v>
      </c>
      <c r="L121" s="50"/>
      <c r="M121" s="521">
        <f t="shared" si="3"/>
        <v>34000</v>
      </c>
      <c r="N121" s="515"/>
      <c r="O121" s="515"/>
      <c r="P121" s="515"/>
      <c r="Q121" s="515" t="s">
        <v>15</v>
      </c>
      <c r="R121" s="515">
        <v>7350</v>
      </c>
    </row>
    <row r="122" spans="1:18" ht="15" customHeight="1" x14ac:dyDescent="0.3">
      <c r="A122" s="45"/>
      <c r="B122" s="51"/>
      <c r="C122" s="1001" t="s">
        <v>704</v>
      </c>
      <c r="D122" s="1024" t="s">
        <v>711</v>
      </c>
      <c r="E122" s="41"/>
      <c r="F122" s="41"/>
      <c r="G122" s="60" t="s">
        <v>15</v>
      </c>
      <c r="H122" s="293">
        <v>9500</v>
      </c>
      <c r="I122" s="48">
        <f t="shared" si="4"/>
        <v>38000</v>
      </c>
      <c r="J122" s="49">
        <v>50000</v>
      </c>
      <c r="K122" s="49">
        <f t="shared" si="5"/>
        <v>12500</v>
      </c>
      <c r="L122" s="50"/>
      <c r="M122" s="521">
        <f t="shared" si="3"/>
        <v>38000</v>
      </c>
      <c r="N122" s="515"/>
      <c r="O122" s="515"/>
      <c r="P122" s="515"/>
      <c r="Q122" s="515" t="s">
        <v>15</v>
      </c>
      <c r="R122" s="515">
        <v>9350</v>
      </c>
    </row>
    <row r="123" spans="1:18" ht="15" customHeight="1" x14ac:dyDescent="0.3">
      <c r="A123" s="45"/>
      <c r="B123" s="51"/>
      <c r="C123" s="1001" t="s">
        <v>704</v>
      </c>
      <c r="D123" s="1024" t="s">
        <v>712</v>
      </c>
      <c r="E123" s="41"/>
      <c r="F123" s="41"/>
      <c r="G123" s="60" t="s">
        <v>15</v>
      </c>
      <c r="H123" s="293">
        <v>23000</v>
      </c>
      <c r="I123" s="48">
        <f t="shared" si="4"/>
        <v>92000</v>
      </c>
      <c r="J123" s="49">
        <v>86800</v>
      </c>
      <c r="K123" s="49">
        <f t="shared" si="5"/>
        <v>21700</v>
      </c>
      <c r="L123" s="50"/>
      <c r="M123" s="521">
        <f t="shared" si="3"/>
        <v>92000</v>
      </c>
      <c r="N123" s="515"/>
      <c r="O123" s="515"/>
      <c r="P123" s="515"/>
      <c r="Q123" s="515" t="s">
        <v>15</v>
      </c>
      <c r="R123" s="515">
        <v>17375</v>
      </c>
    </row>
    <row r="124" spans="1:18" ht="15" customHeight="1" x14ac:dyDescent="0.3">
      <c r="A124" s="45"/>
      <c r="B124" s="51"/>
      <c r="C124" s="1001" t="s">
        <v>704</v>
      </c>
      <c r="D124" s="1024" t="s">
        <v>713</v>
      </c>
      <c r="E124" s="41"/>
      <c r="F124" s="41"/>
      <c r="G124" s="60" t="s">
        <v>15</v>
      </c>
      <c r="H124" s="293">
        <v>27000</v>
      </c>
      <c r="I124" s="48">
        <f t="shared" si="4"/>
        <v>108000</v>
      </c>
      <c r="J124" s="49">
        <v>110000</v>
      </c>
      <c r="K124" s="49">
        <f t="shared" si="5"/>
        <v>27500</v>
      </c>
      <c r="L124" s="50"/>
      <c r="M124" s="521">
        <f t="shared" si="3"/>
        <v>108000</v>
      </c>
      <c r="N124" s="515"/>
      <c r="O124" s="515"/>
      <c r="P124" s="515"/>
      <c r="Q124" s="515" t="s">
        <v>15</v>
      </c>
      <c r="R124" s="515">
        <v>25300</v>
      </c>
    </row>
    <row r="125" spans="1:18" ht="15" customHeight="1" x14ac:dyDescent="0.3">
      <c r="A125" s="45"/>
      <c r="B125" s="51"/>
      <c r="C125" s="1001" t="s">
        <v>704</v>
      </c>
      <c r="D125" s="1024" t="s">
        <v>714</v>
      </c>
      <c r="E125" s="41"/>
      <c r="F125" s="41"/>
      <c r="G125" s="60" t="s">
        <v>15</v>
      </c>
      <c r="H125" s="293">
        <v>43800</v>
      </c>
      <c r="I125" s="48">
        <f t="shared" si="4"/>
        <v>175200</v>
      </c>
      <c r="J125" s="49"/>
      <c r="K125" s="49">
        <f t="shared" si="5"/>
        <v>0</v>
      </c>
      <c r="L125" s="50"/>
      <c r="M125" s="521">
        <f t="shared" si="3"/>
        <v>175200</v>
      </c>
      <c r="N125" s="515"/>
      <c r="O125" s="515"/>
      <c r="P125" s="515"/>
      <c r="Q125" s="515" t="s">
        <v>15</v>
      </c>
      <c r="R125" s="515">
        <v>35050</v>
      </c>
    </row>
    <row r="126" spans="1:18" ht="15" customHeight="1" x14ac:dyDescent="0.3">
      <c r="A126" s="45"/>
      <c r="B126" s="51"/>
      <c r="C126" s="1001" t="s">
        <v>704</v>
      </c>
      <c r="D126" s="1024" t="s">
        <v>715</v>
      </c>
      <c r="E126" s="41"/>
      <c r="F126" s="41"/>
      <c r="G126" s="60" t="s">
        <v>15</v>
      </c>
      <c r="H126" s="293">
        <v>52500</v>
      </c>
      <c r="I126" s="48">
        <f t="shared" si="4"/>
        <v>210000</v>
      </c>
      <c r="J126" s="49">
        <v>225750</v>
      </c>
      <c r="K126" s="49">
        <f t="shared" si="5"/>
        <v>56437.5</v>
      </c>
      <c r="L126" s="50"/>
      <c r="M126" s="521">
        <f t="shared" si="3"/>
        <v>210000</v>
      </c>
      <c r="N126" s="515"/>
      <c r="O126" s="515"/>
      <c r="P126" s="515"/>
      <c r="Q126" s="515" t="s">
        <v>15</v>
      </c>
      <c r="R126" s="515">
        <v>49900</v>
      </c>
    </row>
    <row r="127" spans="1:18" ht="15" customHeight="1" x14ac:dyDescent="0.3">
      <c r="A127" s="45"/>
      <c r="B127" s="51"/>
      <c r="C127" s="1001" t="s">
        <v>704</v>
      </c>
      <c r="D127" s="1024" t="s">
        <v>716</v>
      </c>
      <c r="E127" s="41"/>
      <c r="F127" s="41"/>
      <c r="G127" s="60" t="s">
        <v>15</v>
      </c>
      <c r="H127" s="293">
        <v>84000</v>
      </c>
      <c r="I127" s="48">
        <f t="shared" si="4"/>
        <v>336000</v>
      </c>
      <c r="J127" s="49">
        <v>377750</v>
      </c>
      <c r="K127" s="49">
        <f t="shared" si="5"/>
        <v>94437.5</v>
      </c>
      <c r="L127" s="50"/>
      <c r="M127" s="521">
        <f t="shared" si="3"/>
        <v>336000</v>
      </c>
      <c r="N127" s="515"/>
      <c r="O127" s="515"/>
      <c r="P127" s="515"/>
      <c r="Q127" s="515" t="s">
        <v>15</v>
      </c>
      <c r="R127" s="515">
        <f>377750/4</f>
        <v>94437.5</v>
      </c>
    </row>
    <row r="128" spans="1:18" ht="15" customHeight="1" x14ac:dyDescent="0.3">
      <c r="A128" s="45"/>
      <c r="B128" s="51"/>
      <c r="C128" s="1001" t="s">
        <v>704</v>
      </c>
      <c r="D128" s="1024" t="s">
        <v>717</v>
      </c>
      <c r="E128" s="41"/>
      <c r="F128" s="41"/>
      <c r="G128" s="60" t="s">
        <v>15</v>
      </c>
      <c r="H128" s="293">
        <v>185000</v>
      </c>
      <c r="I128" s="48">
        <f t="shared" si="4"/>
        <v>740000</v>
      </c>
      <c r="J128" s="49"/>
      <c r="K128" s="49"/>
      <c r="L128" s="50"/>
      <c r="M128" s="521">
        <f t="shared" si="3"/>
        <v>740000</v>
      </c>
      <c r="N128" s="515"/>
      <c r="O128" s="515"/>
      <c r="P128" s="515"/>
      <c r="Q128" s="515"/>
      <c r="R128" s="515"/>
    </row>
    <row r="129" spans="1:9" ht="15" customHeight="1" x14ac:dyDescent="0.3">
      <c r="A129" s="45"/>
      <c r="B129" s="51">
        <f>B111+1</f>
        <v>70</v>
      </c>
      <c r="C129" s="40" t="s">
        <v>85</v>
      </c>
      <c r="D129" s="1026"/>
      <c r="E129" s="41"/>
      <c r="F129" s="41"/>
      <c r="G129" s="19"/>
      <c r="H129" s="293"/>
      <c r="I129" s="20"/>
    </row>
    <row r="130" spans="1:9" ht="15" customHeight="1" x14ac:dyDescent="0.3">
      <c r="A130" s="45"/>
      <c r="B130" s="51"/>
      <c r="C130" s="40" t="s">
        <v>704</v>
      </c>
      <c r="D130" s="1025" t="s">
        <v>718</v>
      </c>
      <c r="E130" s="41"/>
      <c r="F130" s="41"/>
      <c r="G130" s="19" t="s">
        <v>86</v>
      </c>
      <c r="H130" s="293">
        <v>104020</v>
      </c>
      <c r="I130" s="48">
        <v>104020</v>
      </c>
    </row>
    <row r="131" spans="1:9" ht="15" customHeight="1" x14ac:dyDescent="0.3">
      <c r="A131" s="45"/>
      <c r="B131" s="51"/>
      <c r="C131" s="40" t="s">
        <v>704</v>
      </c>
      <c r="D131" s="1025" t="s">
        <v>719</v>
      </c>
      <c r="E131" s="41"/>
      <c r="F131" s="52"/>
      <c r="G131" s="19" t="s">
        <v>86</v>
      </c>
      <c r="H131" s="293">
        <v>47330</v>
      </c>
      <c r="I131" s="48">
        <v>47330</v>
      </c>
    </row>
    <row r="132" spans="1:9" ht="15" customHeight="1" x14ac:dyDescent="0.3">
      <c r="A132" s="45"/>
      <c r="B132" s="51"/>
      <c r="C132" s="40" t="s">
        <v>704</v>
      </c>
      <c r="D132" s="1025" t="s">
        <v>720</v>
      </c>
      <c r="E132" s="41"/>
      <c r="F132" s="52"/>
      <c r="G132" s="19" t="s">
        <v>86</v>
      </c>
      <c r="H132" s="293">
        <v>33180</v>
      </c>
      <c r="I132" s="48">
        <v>33180</v>
      </c>
    </row>
    <row r="133" spans="1:9" ht="15" customHeight="1" x14ac:dyDescent="0.3">
      <c r="A133" s="45"/>
      <c r="B133" s="51"/>
      <c r="C133" s="40" t="s">
        <v>704</v>
      </c>
      <c r="D133" s="1025" t="s">
        <v>721</v>
      </c>
      <c r="E133" s="41"/>
      <c r="F133" s="52"/>
      <c r="G133" s="19" t="s">
        <v>86</v>
      </c>
      <c r="H133" s="293">
        <v>18000</v>
      </c>
      <c r="I133" s="48">
        <v>18000</v>
      </c>
    </row>
    <row r="134" spans="1:9" ht="15" customHeight="1" x14ac:dyDescent="0.3">
      <c r="A134" s="45"/>
      <c r="B134" s="51"/>
      <c r="C134" s="40" t="s">
        <v>704</v>
      </c>
      <c r="D134" s="1033" t="s">
        <v>875</v>
      </c>
      <c r="E134" s="41"/>
      <c r="F134" s="52"/>
      <c r="G134" s="19" t="s">
        <v>86</v>
      </c>
      <c r="H134" s="293">
        <v>8250</v>
      </c>
      <c r="I134" s="48"/>
    </row>
    <row r="135" spans="1:9" ht="15" customHeight="1" x14ac:dyDescent="0.3">
      <c r="A135" s="45"/>
      <c r="B135" s="51"/>
      <c r="C135" s="40" t="s">
        <v>704</v>
      </c>
      <c r="D135" s="1033" t="s">
        <v>879</v>
      </c>
      <c r="E135" s="41"/>
      <c r="F135" s="52"/>
      <c r="G135" s="19" t="s">
        <v>86</v>
      </c>
      <c r="H135" s="293">
        <v>4500</v>
      </c>
      <c r="I135" s="48"/>
    </row>
    <row r="136" spans="1:9" ht="15" customHeight="1" x14ac:dyDescent="0.3">
      <c r="A136" s="45"/>
      <c r="B136" s="51">
        <f>B129+1</f>
        <v>71</v>
      </c>
      <c r="C136" s="40" t="s">
        <v>87</v>
      </c>
      <c r="D136" s="1026"/>
      <c r="E136" s="41"/>
      <c r="F136" s="52"/>
      <c r="G136" s="19"/>
      <c r="H136" s="294"/>
      <c r="I136" s="53"/>
    </row>
    <row r="137" spans="1:9" ht="15" customHeight="1" x14ac:dyDescent="0.3">
      <c r="B137" s="51"/>
      <c r="C137" s="40" t="s">
        <v>704</v>
      </c>
      <c r="D137" s="1025" t="s">
        <v>722</v>
      </c>
      <c r="E137" s="41"/>
      <c r="F137" s="52"/>
      <c r="G137" s="19" t="s">
        <v>86</v>
      </c>
      <c r="H137" s="293">
        <v>160770</v>
      </c>
      <c r="I137" s="48">
        <v>160770</v>
      </c>
    </row>
    <row r="138" spans="1:9" ht="15" customHeight="1" x14ac:dyDescent="0.3">
      <c r="A138" s="54"/>
      <c r="B138" s="51"/>
      <c r="C138" s="40" t="s">
        <v>704</v>
      </c>
      <c r="D138" s="1025" t="s">
        <v>723</v>
      </c>
      <c r="E138" s="41"/>
      <c r="F138" s="52"/>
      <c r="G138" s="19" t="s">
        <v>86</v>
      </c>
      <c r="H138" s="293">
        <v>113510</v>
      </c>
      <c r="I138" s="48">
        <v>113510</v>
      </c>
    </row>
    <row r="139" spans="1:9" ht="15" customHeight="1" x14ac:dyDescent="0.3">
      <c r="A139" s="54"/>
      <c r="B139" s="51"/>
      <c r="C139" s="40" t="s">
        <v>704</v>
      </c>
      <c r="D139" s="1025" t="s">
        <v>724</v>
      </c>
      <c r="E139" s="41"/>
      <c r="F139" s="52"/>
      <c r="G139" s="19" t="s">
        <v>86</v>
      </c>
      <c r="H139" s="293">
        <v>141860</v>
      </c>
      <c r="I139" s="48">
        <v>141860</v>
      </c>
    </row>
    <row r="140" spans="1:9" ht="15" customHeight="1" x14ac:dyDescent="0.3">
      <c r="A140" s="54"/>
      <c r="B140" s="51"/>
      <c r="C140" s="40" t="s">
        <v>704</v>
      </c>
      <c r="D140" s="1025" t="s">
        <v>725</v>
      </c>
      <c r="E140" s="41"/>
      <c r="F140" s="52"/>
      <c r="G140" s="19" t="s">
        <v>86</v>
      </c>
      <c r="H140" s="293">
        <v>29270</v>
      </c>
      <c r="I140" s="48">
        <v>29270</v>
      </c>
    </row>
    <row r="141" spans="1:9" ht="15" customHeight="1" x14ac:dyDescent="0.3">
      <c r="B141" s="51"/>
      <c r="C141" s="40" t="s">
        <v>704</v>
      </c>
      <c r="D141" s="1025" t="s">
        <v>726</v>
      </c>
      <c r="E141" s="41"/>
      <c r="F141" s="52"/>
      <c r="G141" s="19" t="s">
        <v>86</v>
      </c>
      <c r="H141" s="293">
        <v>27660</v>
      </c>
      <c r="I141" s="48">
        <v>27660</v>
      </c>
    </row>
    <row r="142" spans="1:9" ht="15" customHeight="1" x14ac:dyDescent="0.3">
      <c r="B142" s="51"/>
      <c r="C142" s="40" t="s">
        <v>704</v>
      </c>
      <c r="D142" s="1025" t="s">
        <v>727</v>
      </c>
      <c r="E142" s="41"/>
      <c r="F142" s="52"/>
      <c r="G142" s="19" t="s">
        <v>86</v>
      </c>
      <c r="H142" s="293">
        <v>15410</v>
      </c>
      <c r="I142" s="48">
        <v>15410</v>
      </c>
    </row>
    <row r="143" spans="1:9" ht="15" customHeight="1" x14ac:dyDescent="0.3">
      <c r="B143" s="51"/>
      <c r="C143" s="40" t="s">
        <v>704</v>
      </c>
      <c r="D143" s="1033" t="s">
        <v>876</v>
      </c>
      <c r="E143" s="41"/>
      <c r="F143" s="41"/>
      <c r="G143" s="19" t="s">
        <v>86</v>
      </c>
      <c r="H143" s="293">
        <v>14500</v>
      </c>
      <c r="I143" s="48"/>
    </row>
    <row r="144" spans="1:9" ht="15" customHeight="1" x14ac:dyDescent="0.3">
      <c r="B144" s="51"/>
      <c r="C144" s="40" t="s">
        <v>704</v>
      </c>
      <c r="D144" s="1033" t="s">
        <v>877</v>
      </c>
      <c r="E144" s="41"/>
      <c r="F144" s="41"/>
      <c r="G144" s="19" t="s">
        <v>86</v>
      </c>
      <c r="H144" s="293">
        <v>6900</v>
      </c>
      <c r="I144" s="48"/>
    </row>
    <row r="145" spans="2:9" ht="15" customHeight="1" x14ac:dyDescent="0.3">
      <c r="B145" s="51"/>
      <c r="C145" s="40" t="s">
        <v>704</v>
      </c>
      <c r="D145" s="1033" t="s">
        <v>878</v>
      </c>
      <c r="E145" s="41"/>
      <c r="F145" s="41"/>
      <c r="G145" s="19" t="s">
        <v>86</v>
      </c>
      <c r="H145" s="293">
        <v>6300</v>
      </c>
      <c r="I145" s="48"/>
    </row>
    <row r="146" spans="2:9" ht="15" customHeight="1" x14ac:dyDescent="0.3">
      <c r="B146" s="51">
        <f>B136+1</f>
        <v>72</v>
      </c>
      <c r="C146" s="40" t="s">
        <v>88</v>
      </c>
      <c r="D146" s="1026"/>
      <c r="E146" s="41"/>
      <c r="F146" s="41"/>
      <c r="G146" s="19"/>
      <c r="H146" s="293"/>
      <c r="I146" s="48"/>
    </row>
    <row r="147" spans="2:9" ht="15" customHeight="1" x14ac:dyDescent="0.3">
      <c r="B147" s="51"/>
      <c r="C147" s="40" t="s">
        <v>704</v>
      </c>
      <c r="D147" s="1025" t="s">
        <v>728</v>
      </c>
      <c r="E147" s="41"/>
      <c r="F147" s="41"/>
      <c r="G147" s="19" t="s">
        <v>86</v>
      </c>
      <c r="H147" s="293">
        <v>104020</v>
      </c>
      <c r="I147" s="48">
        <v>104020</v>
      </c>
    </row>
    <row r="148" spans="2:9" ht="15" customHeight="1" x14ac:dyDescent="0.3">
      <c r="B148" s="51"/>
      <c r="C148" s="40" t="s">
        <v>704</v>
      </c>
      <c r="D148" s="1025" t="s">
        <v>729</v>
      </c>
      <c r="E148" s="41"/>
      <c r="F148" s="52"/>
      <c r="G148" s="19" t="s">
        <v>86</v>
      </c>
      <c r="H148" s="293">
        <v>75670</v>
      </c>
      <c r="I148" s="48">
        <v>75670</v>
      </c>
    </row>
    <row r="149" spans="2:9" ht="15" customHeight="1" x14ac:dyDescent="0.3">
      <c r="B149" s="51"/>
      <c r="C149" s="40" t="s">
        <v>704</v>
      </c>
      <c r="D149" s="1025" t="s">
        <v>730</v>
      </c>
      <c r="E149" s="41"/>
      <c r="F149" s="52"/>
      <c r="G149" s="19" t="s">
        <v>86</v>
      </c>
      <c r="H149" s="293">
        <v>28410</v>
      </c>
      <c r="I149" s="48">
        <v>28410</v>
      </c>
    </row>
    <row r="150" spans="2:9" ht="15" customHeight="1" x14ac:dyDescent="0.3">
      <c r="B150" s="51"/>
      <c r="C150" s="40" t="s">
        <v>704</v>
      </c>
      <c r="D150" s="1025" t="s">
        <v>731</v>
      </c>
      <c r="E150" s="41"/>
      <c r="F150" s="52"/>
      <c r="G150" s="19" t="s">
        <v>86</v>
      </c>
      <c r="H150" s="293">
        <v>27490</v>
      </c>
      <c r="I150" s="48">
        <v>27490</v>
      </c>
    </row>
    <row r="151" spans="2:9" ht="15" customHeight="1" x14ac:dyDescent="0.3">
      <c r="B151" s="51"/>
      <c r="C151" s="40" t="s">
        <v>704</v>
      </c>
      <c r="D151" s="1025" t="s">
        <v>732</v>
      </c>
      <c r="E151" s="41"/>
      <c r="F151" s="52"/>
      <c r="G151" s="19" t="s">
        <v>86</v>
      </c>
      <c r="H151" s="293">
        <v>18920</v>
      </c>
      <c r="I151" s="48">
        <v>18920</v>
      </c>
    </row>
    <row r="152" spans="2:9" ht="15" customHeight="1" x14ac:dyDescent="0.3">
      <c r="B152" s="51"/>
      <c r="C152" s="40" t="s">
        <v>704</v>
      </c>
      <c r="D152" s="1025" t="s">
        <v>733</v>
      </c>
      <c r="E152" s="41"/>
      <c r="F152" s="52"/>
      <c r="G152" s="19" t="s">
        <v>86</v>
      </c>
      <c r="H152" s="293">
        <v>18000</v>
      </c>
      <c r="I152" s="48">
        <v>18000</v>
      </c>
    </row>
    <row r="153" spans="2:9" ht="15" customHeight="1" x14ac:dyDescent="0.3">
      <c r="B153" s="51"/>
      <c r="C153" s="40" t="s">
        <v>704</v>
      </c>
      <c r="D153" s="1025" t="s">
        <v>734</v>
      </c>
      <c r="E153" s="41"/>
      <c r="F153" s="52"/>
      <c r="G153" s="19" t="s">
        <v>86</v>
      </c>
      <c r="H153" s="293">
        <v>9490</v>
      </c>
      <c r="I153" s="48">
        <v>9490</v>
      </c>
    </row>
    <row r="154" spans="2:9" ht="15" customHeight="1" x14ac:dyDescent="0.3">
      <c r="B154" s="51">
        <f>B146+1</f>
        <v>73</v>
      </c>
      <c r="C154" s="40" t="s">
        <v>874</v>
      </c>
      <c r="D154" s="1028"/>
      <c r="E154" s="41"/>
      <c r="F154" s="52"/>
      <c r="G154" s="19"/>
      <c r="H154" s="293"/>
      <c r="I154" s="48"/>
    </row>
    <row r="155" spans="2:9" ht="15" customHeight="1" x14ac:dyDescent="0.3">
      <c r="B155" s="51"/>
      <c r="C155" s="40" t="s">
        <v>704</v>
      </c>
      <c r="D155" s="1033" t="s">
        <v>880</v>
      </c>
      <c r="E155" s="41"/>
      <c r="F155" s="52"/>
      <c r="G155" s="19" t="s">
        <v>86</v>
      </c>
      <c r="H155" s="293">
        <v>58000</v>
      </c>
      <c r="I155" s="48"/>
    </row>
    <row r="156" spans="2:9" ht="15" customHeight="1" x14ac:dyDescent="0.3">
      <c r="B156" s="51"/>
      <c r="C156" s="40" t="s">
        <v>704</v>
      </c>
      <c r="D156" s="1033" t="s">
        <v>881</v>
      </c>
      <c r="E156" s="41"/>
      <c r="F156" s="52"/>
      <c r="G156" s="19" t="s">
        <v>86</v>
      </c>
      <c r="H156" s="293">
        <v>31200</v>
      </c>
      <c r="I156" s="48"/>
    </row>
    <row r="157" spans="2:9" ht="15" customHeight="1" x14ac:dyDescent="0.3">
      <c r="B157" s="51"/>
      <c r="C157" s="40" t="s">
        <v>704</v>
      </c>
      <c r="D157" s="1033" t="s">
        <v>882</v>
      </c>
      <c r="E157" s="41"/>
      <c r="F157" s="52"/>
      <c r="G157" s="19" t="s">
        <v>86</v>
      </c>
      <c r="H157" s="293">
        <v>11800</v>
      </c>
      <c r="I157" s="48"/>
    </row>
    <row r="158" spans="2:9" ht="15" customHeight="1" x14ac:dyDescent="0.3">
      <c r="B158" s="51"/>
      <c r="C158" s="40" t="s">
        <v>704</v>
      </c>
      <c r="D158" s="1024" t="s">
        <v>883</v>
      </c>
      <c r="E158" s="41"/>
      <c r="F158" s="52"/>
      <c r="G158" s="19" t="s">
        <v>86</v>
      </c>
      <c r="H158" s="293">
        <v>8000</v>
      </c>
      <c r="I158" s="48"/>
    </row>
    <row r="159" spans="2:9" ht="15" customHeight="1" x14ac:dyDescent="0.3">
      <c r="B159" s="51"/>
      <c r="C159" s="40" t="s">
        <v>704</v>
      </c>
      <c r="D159" s="1033" t="s">
        <v>884</v>
      </c>
      <c r="E159" s="41"/>
      <c r="F159" s="52"/>
      <c r="G159" s="19" t="s">
        <v>86</v>
      </c>
      <c r="H159" s="293">
        <v>4700</v>
      </c>
      <c r="I159" s="48"/>
    </row>
    <row r="160" spans="2:9" ht="15" customHeight="1" x14ac:dyDescent="0.3">
      <c r="B160" s="51"/>
      <c r="C160" s="40" t="s">
        <v>704</v>
      </c>
      <c r="D160" s="1033" t="s">
        <v>885</v>
      </c>
      <c r="E160" s="41"/>
      <c r="F160" s="52"/>
      <c r="G160" s="19" t="s">
        <v>86</v>
      </c>
      <c r="H160" s="293">
        <v>2500</v>
      </c>
      <c r="I160" s="48"/>
    </row>
    <row r="161" spans="2:9" ht="15" customHeight="1" x14ac:dyDescent="0.3">
      <c r="B161" s="51">
        <f>B146+1</f>
        <v>73</v>
      </c>
      <c r="C161" s="40" t="s">
        <v>594</v>
      </c>
      <c r="D161" s="1027"/>
      <c r="E161" s="41"/>
      <c r="F161" s="52"/>
      <c r="G161" s="19" t="s">
        <v>86</v>
      </c>
      <c r="H161" s="293">
        <v>245000</v>
      </c>
      <c r="I161" s="48"/>
    </row>
    <row r="162" spans="2:9" ht="15" customHeight="1" x14ac:dyDescent="0.3">
      <c r="B162" s="51">
        <f>B161+1</f>
        <v>74</v>
      </c>
      <c r="C162" s="40" t="s">
        <v>89</v>
      </c>
      <c r="D162" s="1027"/>
      <c r="E162" s="41"/>
      <c r="F162" s="52"/>
      <c r="G162" s="19"/>
      <c r="H162" s="294"/>
      <c r="I162" s="53"/>
    </row>
    <row r="163" spans="2:9" ht="15" customHeight="1" x14ac:dyDescent="0.3">
      <c r="B163" s="51"/>
      <c r="C163" s="40" t="s">
        <v>704</v>
      </c>
      <c r="D163" s="1025" t="s">
        <v>735</v>
      </c>
      <c r="E163" s="41"/>
      <c r="F163" s="52"/>
      <c r="G163" s="19" t="s">
        <v>86</v>
      </c>
      <c r="H163" s="294">
        <v>3300000</v>
      </c>
      <c r="I163" s="53">
        <v>3300000</v>
      </c>
    </row>
    <row r="164" spans="2:9" ht="15" customHeight="1" x14ac:dyDescent="0.3">
      <c r="B164" s="51"/>
      <c r="C164" s="40" t="s">
        <v>704</v>
      </c>
      <c r="D164" s="1025" t="s">
        <v>736</v>
      </c>
      <c r="E164" s="41"/>
      <c r="F164" s="52"/>
      <c r="G164" s="19" t="s">
        <v>86</v>
      </c>
      <c r="H164" s="294">
        <v>2380000</v>
      </c>
      <c r="I164" s="53">
        <v>2380000</v>
      </c>
    </row>
    <row r="165" spans="2:9" ht="15" customHeight="1" x14ac:dyDescent="0.3">
      <c r="B165" s="51">
        <f>B162+1</f>
        <v>75</v>
      </c>
      <c r="C165" s="40" t="s">
        <v>90</v>
      </c>
      <c r="D165" s="1027"/>
      <c r="E165" s="41"/>
      <c r="F165" s="52"/>
      <c r="G165" s="19" t="s">
        <v>86</v>
      </c>
      <c r="H165" s="294">
        <v>3000000</v>
      </c>
      <c r="I165" s="53">
        <v>3000000</v>
      </c>
    </row>
    <row r="166" spans="2:9" ht="15" customHeight="1" x14ac:dyDescent="0.3">
      <c r="B166" s="51">
        <f>B165+1</f>
        <v>76</v>
      </c>
      <c r="C166" s="40" t="s">
        <v>92</v>
      </c>
      <c r="D166" s="1026"/>
      <c r="E166" s="41"/>
      <c r="F166" s="52"/>
      <c r="G166" s="19"/>
      <c r="H166" s="294"/>
      <c r="I166" s="53"/>
    </row>
    <row r="167" spans="2:9" ht="15" customHeight="1" x14ac:dyDescent="0.3">
      <c r="B167" s="51"/>
      <c r="C167" s="40" t="s">
        <v>704</v>
      </c>
      <c r="D167" s="1025" t="s">
        <v>735</v>
      </c>
      <c r="E167" s="41"/>
      <c r="F167" s="52"/>
      <c r="G167" s="19" t="s">
        <v>86</v>
      </c>
      <c r="H167" s="294">
        <v>661940</v>
      </c>
      <c r="I167" s="53">
        <v>661940</v>
      </c>
    </row>
    <row r="168" spans="2:9" ht="15" customHeight="1" x14ac:dyDescent="0.3">
      <c r="B168" s="51"/>
      <c r="C168" s="40" t="s">
        <v>704</v>
      </c>
      <c r="D168" s="1025" t="s">
        <v>736</v>
      </c>
      <c r="E168" s="41"/>
      <c r="F168" s="52"/>
      <c r="G168" s="19" t="s">
        <v>86</v>
      </c>
      <c r="H168" s="294">
        <v>425560</v>
      </c>
      <c r="I168" s="53">
        <v>425560</v>
      </c>
    </row>
    <row r="169" spans="2:9" ht="15" customHeight="1" x14ac:dyDescent="0.3">
      <c r="B169" s="51">
        <f>B166+1</f>
        <v>77</v>
      </c>
      <c r="C169" s="40" t="s">
        <v>93</v>
      </c>
      <c r="D169" s="1026"/>
      <c r="E169" s="41"/>
      <c r="F169" s="52"/>
      <c r="G169" s="19"/>
      <c r="H169" s="294"/>
      <c r="I169" s="53"/>
    </row>
    <row r="170" spans="2:9" ht="15" customHeight="1" x14ac:dyDescent="0.3">
      <c r="B170" s="51"/>
      <c r="C170" s="40" t="s">
        <v>704</v>
      </c>
      <c r="D170" s="1025" t="s">
        <v>735</v>
      </c>
      <c r="E170" s="41"/>
      <c r="F170" s="52"/>
      <c r="G170" s="19" t="s">
        <v>86</v>
      </c>
      <c r="H170" s="294">
        <v>1700000</v>
      </c>
      <c r="I170" s="53">
        <v>1700000</v>
      </c>
    </row>
    <row r="171" spans="2:9" ht="15" customHeight="1" x14ac:dyDescent="0.3">
      <c r="B171" s="51"/>
      <c r="C171" s="40" t="s">
        <v>704</v>
      </c>
      <c r="D171" s="1025" t="s">
        <v>736</v>
      </c>
      <c r="E171" s="41"/>
      <c r="F171" s="52"/>
      <c r="G171" s="19" t="s">
        <v>86</v>
      </c>
      <c r="H171" s="294">
        <v>625000</v>
      </c>
      <c r="I171" s="53">
        <v>625000</v>
      </c>
    </row>
    <row r="172" spans="2:9" ht="15" customHeight="1" x14ac:dyDescent="0.3">
      <c r="B172" s="51"/>
      <c r="C172" s="40" t="s">
        <v>704</v>
      </c>
      <c r="D172" s="1025" t="s">
        <v>737</v>
      </c>
      <c r="E172" s="41"/>
      <c r="F172" s="52"/>
      <c r="G172" s="19" t="s">
        <v>86</v>
      </c>
      <c r="H172" s="294">
        <v>365000</v>
      </c>
      <c r="I172" s="53">
        <v>365000</v>
      </c>
    </row>
    <row r="173" spans="2:9" ht="15" customHeight="1" x14ac:dyDescent="0.3">
      <c r="B173" s="51"/>
      <c r="C173" s="40" t="s">
        <v>704</v>
      </c>
      <c r="D173" s="1025" t="s">
        <v>738</v>
      </c>
      <c r="E173" s="41"/>
      <c r="F173" s="52"/>
      <c r="G173" s="19" t="s">
        <v>86</v>
      </c>
      <c r="H173" s="294">
        <v>180000</v>
      </c>
      <c r="I173" s="53">
        <v>180000</v>
      </c>
    </row>
    <row r="174" spans="2:9" ht="15" customHeight="1" x14ac:dyDescent="0.3">
      <c r="B174" s="51"/>
      <c r="C174" s="40" t="s">
        <v>704</v>
      </c>
      <c r="D174" s="1025" t="s">
        <v>739</v>
      </c>
      <c r="E174" s="41"/>
      <c r="F174" s="52"/>
      <c r="G174" s="19" t="s">
        <v>86</v>
      </c>
      <c r="H174" s="294">
        <v>88000</v>
      </c>
      <c r="I174" s="53"/>
    </row>
    <row r="175" spans="2:9" ht="15" customHeight="1" x14ac:dyDescent="0.3">
      <c r="B175" s="51"/>
      <c r="C175" s="40" t="s">
        <v>704</v>
      </c>
      <c r="D175" s="1025" t="s">
        <v>740</v>
      </c>
      <c r="E175" s="41"/>
      <c r="F175" s="52"/>
      <c r="G175" s="19" t="s">
        <v>86</v>
      </c>
      <c r="H175" s="294">
        <v>55800</v>
      </c>
      <c r="I175" s="53"/>
    </row>
    <row r="176" spans="2:9" ht="15" customHeight="1" x14ac:dyDescent="0.3">
      <c r="B176" s="51">
        <f>B169+1</f>
        <v>78</v>
      </c>
      <c r="C176" s="40" t="s">
        <v>94</v>
      </c>
      <c r="D176" s="1026"/>
      <c r="E176" s="41"/>
      <c r="F176" s="52"/>
      <c r="G176" s="19"/>
      <c r="H176" s="294"/>
      <c r="I176" s="53"/>
    </row>
    <row r="177" spans="2:9" ht="15" customHeight="1" x14ac:dyDescent="0.3">
      <c r="B177" s="51"/>
      <c r="C177" s="40" t="s">
        <v>704</v>
      </c>
      <c r="D177" s="1025" t="s">
        <v>741</v>
      </c>
      <c r="E177" s="41"/>
      <c r="F177" s="52"/>
      <c r="G177" s="19" t="s">
        <v>86</v>
      </c>
      <c r="H177" s="294">
        <v>74550</v>
      </c>
      <c r="I177" s="53">
        <v>74550</v>
      </c>
    </row>
    <row r="178" spans="2:9" ht="15" customHeight="1" x14ac:dyDescent="0.3">
      <c r="B178" s="51"/>
      <c r="C178" s="40" t="s">
        <v>704</v>
      </c>
      <c r="D178" s="1025" t="s">
        <v>742</v>
      </c>
      <c r="E178" s="41"/>
      <c r="F178" s="52"/>
      <c r="G178" s="19" t="s">
        <v>86</v>
      </c>
      <c r="H178" s="294">
        <v>70000</v>
      </c>
      <c r="I178" s="53">
        <v>70000</v>
      </c>
    </row>
    <row r="179" spans="2:9" ht="15" customHeight="1" x14ac:dyDescent="0.3">
      <c r="B179" s="51"/>
      <c r="C179" s="40" t="s">
        <v>704</v>
      </c>
      <c r="D179" s="1025" t="s">
        <v>743</v>
      </c>
      <c r="E179" s="41"/>
      <c r="F179" s="52"/>
      <c r="G179" s="19" t="s">
        <v>86</v>
      </c>
      <c r="H179" s="294">
        <v>31850</v>
      </c>
      <c r="I179" s="53">
        <v>31850</v>
      </c>
    </row>
    <row r="180" spans="2:9" ht="15" customHeight="1" x14ac:dyDescent="0.3">
      <c r="B180" s="51"/>
      <c r="C180" s="40" t="s">
        <v>704</v>
      </c>
      <c r="D180" s="1025" t="s">
        <v>744</v>
      </c>
      <c r="E180" s="41"/>
      <c r="F180" s="52"/>
      <c r="G180" s="19" t="s">
        <v>86</v>
      </c>
      <c r="H180" s="294">
        <v>20900</v>
      </c>
      <c r="I180" s="53">
        <v>20900</v>
      </c>
    </row>
    <row r="181" spans="2:9" ht="15" customHeight="1" x14ac:dyDescent="0.3">
      <c r="B181" s="51"/>
      <c r="C181" s="40" t="s">
        <v>704</v>
      </c>
      <c r="D181" s="1025" t="s">
        <v>886</v>
      </c>
      <c r="E181" s="41"/>
      <c r="F181" s="52"/>
      <c r="G181" s="19" t="s">
        <v>86</v>
      </c>
      <c r="H181" s="294">
        <v>4200</v>
      </c>
      <c r="I181" s="53"/>
    </row>
    <row r="182" spans="2:9" ht="15" customHeight="1" x14ac:dyDescent="0.3">
      <c r="B182" s="51"/>
      <c r="C182" s="40" t="s">
        <v>704</v>
      </c>
      <c r="D182" s="1025" t="s">
        <v>887</v>
      </c>
      <c r="E182" s="41"/>
      <c r="F182" s="52"/>
      <c r="G182" s="19" t="s">
        <v>86</v>
      </c>
      <c r="H182" s="294">
        <v>4000</v>
      </c>
      <c r="I182" s="53"/>
    </row>
    <row r="183" spans="2:9" ht="15" customHeight="1" x14ac:dyDescent="0.3">
      <c r="B183" s="51"/>
      <c r="C183" s="40" t="s">
        <v>704</v>
      </c>
      <c r="D183" s="1025" t="s">
        <v>888</v>
      </c>
      <c r="E183" s="41"/>
      <c r="F183" s="52"/>
      <c r="G183" s="19" t="s">
        <v>86</v>
      </c>
      <c r="H183" s="294">
        <v>3000</v>
      </c>
      <c r="I183" s="53"/>
    </row>
    <row r="184" spans="2:9" ht="15" customHeight="1" x14ac:dyDescent="0.3">
      <c r="B184" s="51"/>
      <c r="C184" s="40" t="s">
        <v>704</v>
      </c>
      <c r="D184" s="1025" t="s">
        <v>889</v>
      </c>
      <c r="E184" s="41"/>
      <c r="F184" s="52"/>
      <c r="G184" s="19" t="s">
        <v>86</v>
      </c>
      <c r="H184" s="294">
        <v>4265</v>
      </c>
      <c r="I184" s="53"/>
    </row>
    <row r="185" spans="2:9" ht="15" customHeight="1" x14ac:dyDescent="0.3">
      <c r="B185" s="51"/>
      <c r="C185" s="40" t="s">
        <v>704</v>
      </c>
      <c r="D185" s="1025" t="s">
        <v>890</v>
      </c>
      <c r="E185" s="41"/>
      <c r="F185" s="52"/>
      <c r="G185" s="19" t="s">
        <v>86</v>
      </c>
      <c r="H185" s="294">
        <v>4200</v>
      </c>
      <c r="I185" s="53"/>
    </row>
    <row r="186" spans="2:9" ht="15" customHeight="1" x14ac:dyDescent="0.3">
      <c r="B186" s="51"/>
      <c r="C186" s="40" t="s">
        <v>704</v>
      </c>
      <c r="D186" s="1025" t="s">
        <v>891</v>
      </c>
      <c r="E186" s="41"/>
      <c r="F186" s="52"/>
      <c r="G186" s="19" t="s">
        <v>86</v>
      </c>
      <c r="H186" s="294">
        <v>4000</v>
      </c>
      <c r="I186" s="53"/>
    </row>
    <row r="187" spans="2:9" ht="15" customHeight="1" x14ac:dyDescent="0.3">
      <c r="B187" s="51"/>
      <c r="C187" s="40" t="s">
        <v>704</v>
      </c>
      <c r="D187" s="1025" t="s">
        <v>892</v>
      </c>
      <c r="E187" s="41"/>
      <c r="F187" s="52"/>
      <c r="G187" s="19" t="s">
        <v>86</v>
      </c>
      <c r="H187" s="294">
        <v>3000</v>
      </c>
      <c r="I187" s="53"/>
    </row>
    <row r="188" spans="2:9" ht="15" customHeight="1" x14ac:dyDescent="0.3">
      <c r="B188" s="51">
        <f>B176+1</f>
        <v>79</v>
      </c>
      <c r="C188" s="40" t="s">
        <v>95</v>
      </c>
      <c r="D188" s="1026"/>
      <c r="E188" s="41"/>
      <c r="F188" s="52"/>
      <c r="G188" s="19"/>
      <c r="H188" s="294"/>
      <c r="I188" s="53"/>
    </row>
    <row r="189" spans="2:9" ht="15" customHeight="1" x14ac:dyDescent="0.3">
      <c r="B189" s="51"/>
      <c r="C189" s="40" t="s">
        <v>704</v>
      </c>
      <c r="D189" s="1025" t="s">
        <v>743</v>
      </c>
      <c r="E189" s="41"/>
      <c r="F189" s="52"/>
      <c r="G189" s="19" t="s">
        <v>86</v>
      </c>
      <c r="H189" s="294">
        <v>16730</v>
      </c>
      <c r="I189" s="53">
        <v>16730</v>
      </c>
    </row>
    <row r="190" spans="2:9" ht="15" customHeight="1" x14ac:dyDescent="0.3">
      <c r="B190" s="51"/>
      <c r="C190" s="40" t="s">
        <v>704</v>
      </c>
      <c r="D190" s="1025" t="s">
        <v>744</v>
      </c>
      <c r="E190" s="41"/>
      <c r="F190" s="52"/>
      <c r="G190" s="19" t="s">
        <v>86</v>
      </c>
      <c r="H190" s="294">
        <v>14000</v>
      </c>
      <c r="I190" s="53">
        <v>14000</v>
      </c>
    </row>
    <row r="191" spans="2:9" ht="15" customHeight="1" x14ac:dyDescent="0.3">
      <c r="B191" s="51"/>
      <c r="C191" s="40" t="s">
        <v>704</v>
      </c>
      <c r="D191" s="1024" t="s">
        <v>893</v>
      </c>
      <c r="E191" s="41"/>
      <c r="F191" s="52"/>
      <c r="G191" s="19" t="s">
        <v>86</v>
      </c>
      <c r="H191" s="294">
        <v>27300</v>
      </c>
      <c r="I191" s="53"/>
    </row>
    <row r="192" spans="2:9" ht="15" customHeight="1" x14ac:dyDescent="0.3">
      <c r="B192" s="51"/>
      <c r="C192" s="40" t="s">
        <v>704</v>
      </c>
      <c r="D192" s="1024" t="s">
        <v>894</v>
      </c>
      <c r="E192" s="41"/>
      <c r="F192" s="52"/>
      <c r="G192" s="19" t="s">
        <v>86</v>
      </c>
      <c r="H192" s="294">
        <v>22800</v>
      </c>
      <c r="I192" s="53"/>
    </row>
    <row r="193" spans="2:11" ht="15" customHeight="1" x14ac:dyDescent="0.3">
      <c r="B193" s="51"/>
      <c r="C193" s="40" t="s">
        <v>704</v>
      </c>
      <c r="D193" s="1024" t="s">
        <v>895</v>
      </c>
      <c r="E193" s="41"/>
      <c r="F193" s="52"/>
      <c r="G193" s="19" t="s">
        <v>86</v>
      </c>
      <c r="H193" s="294">
        <v>1500</v>
      </c>
      <c r="I193" s="53"/>
    </row>
    <row r="194" spans="2:11" ht="15" customHeight="1" x14ac:dyDescent="0.3">
      <c r="B194" s="51"/>
      <c r="C194" s="40" t="s">
        <v>704</v>
      </c>
      <c r="D194" s="1024" t="s">
        <v>896</v>
      </c>
      <c r="E194" s="41"/>
      <c r="F194" s="52"/>
      <c r="G194" s="19" t="s">
        <v>86</v>
      </c>
      <c r="H194" s="294">
        <v>1000</v>
      </c>
      <c r="I194" s="53"/>
    </row>
    <row r="195" spans="2:11" ht="15" customHeight="1" x14ac:dyDescent="0.3">
      <c r="B195" s="51">
        <f>B188+1</f>
        <v>80</v>
      </c>
      <c r="C195" s="40" t="s">
        <v>96</v>
      </c>
      <c r="D195" s="1026"/>
      <c r="E195" s="41"/>
      <c r="F195" s="52"/>
      <c r="G195" s="19"/>
      <c r="H195" s="294"/>
      <c r="I195" s="53"/>
      <c r="K195" s="312"/>
    </row>
    <row r="196" spans="2:11" ht="15" customHeight="1" x14ac:dyDescent="0.3">
      <c r="B196" s="51"/>
      <c r="C196" s="40" t="s">
        <v>704</v>
      </c>
      <c r="D196" s="1025" t="s">
        <v>745</v>
      </c>
      <c r="E196" s="41"/>
      <c r="F196" s="52"/>
      <c r="G196" s="19" t="s">
        <v>86</v>
      </c>
      <c r="H196" s="294">
        <v>60000</v>
      </c>
      <c r="I196" s="53">
        <v>60000</v>
      </c>
      <c r="K196" s="312"/>
    </row>
    <row r="197" spans="2:11" ht="15" customHeight="1" x14ac:dyDescent="0.3">
      <c r="B197" s="51"/>
      <c r="C197" s="40" t="s">
        <v>704</v>
      </c>
      <c r="D197" s="1025" t="s">
        <v>746</v>
      </c>
      <c r="E197" s="41"/>
      <c r="F197" s="52"/>
      <c r="G197" s="19" t="s">
        <v>86</v>
      </c>
      <c r="H197" s="294">
        <v>50000</v>
      </c>
      <c r="I197" s="53">
        <v>50000</v>
      </c>
      <c r="K197" s="312"/>
    </row>
    <row r="198" spans="2:11" ht="15" customHeight="1" x14ac:dyDescent="0.3">
      <c r="B198" s="51">
        <f>B195+1</f>
        <v>81</v>
      </c>
      <c r="C198" s="40" t="s">
        <v>97</v>
      </c>
      <c r="D198" s="1026"/>
      <c r="E198" s="41"/>
      <c r="F198" s="52"/>
      <c r="G198" s="19" t="s">
        <v>86</v>
      </c>
      <c r="H198" s="294">
        <v>125000</v>
      </c>
      <c r="I198" s="53">
        <v>125000</v>
      </c>
      <c r="K198" s="312"/>
    </row>
    <row r="199" spans="2:11" ht="15" customHeight="1" x14ac:dyDescent="0.3">
      <c r="B199" s="51">
        <f>B198+1</f>
        <v>82</v>
      </c>
      <c r="C199" s="40" t="s">
        <v>98</v>
      </c>
      <c r="D199" s="1026"/>
      <c r="E199" s="41"/>
      <c r="F199" s="52"/>
      <c r="G199" s="19" t="s">
        <v>86</v>
      </c>
      <c r="H199" s="294">
        <v>409000</v>
      </c>
      <c r="I199" s="53">
        <v>409000</v>
      </c>
      <c r="K199" s="312"/>
    </row>
    <row r="200" spans="2:11" x14ac:dyDescent="0.3">
      <c r="B200" s="51">
        <f t="shared" ref="B200:B237" si="6">B199+1</f>
        <v>83</v>
      </c>
      <c r="C200" s="40" t="s">
        <v>99</v>
      </c>
      <c r="D200" s="1026"/>
      <c r="E200" s="41"/>
      <c r="F200" s="52"/>
      <c r="G200" s="19" t="s">
        <v>100</v>
      </c>
      <c r="H200" s="295">
        <v>55000</v>
      </c>
      <c r="I200" s="55">
        <v>94590</v>
      </c>
      <c r="K200" s="312"/>
    </row>
    <row r="201" spans="2:11" x14ac:dyDescent="0.3">
      <c r="B201" s="51">
        <f t="shared" si="6"/>
        <v>84</v>
      </c>
      <c r="C201" s="1502" t="s">
        <v>1035</v>
      </c>
      <c r="D201" s="1262"/>
      <c r="E201" s="1158"/>
      <c r="F201" s="1498"/>
      <c r="G201" s="1499" t="s">
        <v>100</v>
      </c>
      <c r="H201" s="1500">
        <v>12000</v>
      </c>
      <c r="I201" s="1501"/>
      <c r="K201" s="312"/>
    </row>
    <row r="202" spans="2:11" x14ac:dyDescent="0.3">
      <c r="B202" s="51">
        <f t="shared" si="6"/>
        <v>85</v>
      </c>
      <c r="C202" s="40" t="s">
        <v>101</v>
      </c>
      <c r="D202" s="1029"/>
      <c r="E202" s="58"/>
      <c r="F202" s="59"/>
      <c r="G202" s="311" t="s">
        <v>15</v>
      </c>
      <c r="H202" s="57">
        <v>47400</v>
      </c>
      <c r="I202" s="57">
        <v>34000</v>
      </c>
      <c r="J202" s="292"/>
      <c r="K202" s="312"/>
    </row>
    <row r="203" spans="2:11" x14ac:dyDescent="0.3">
      <c r="B203" s="51">
        <f t="shared" si="6"/>
        <v>86</v>
      </c>
      <c r="C203" s="40" t="s">
        <v>515</v>
      </c>
      <c r="D203" s="1030"/>
      <c r="E203" s="58"/>
      <c r="F203" s="59"/>
      <c r="G203" s="311" t="s">
        <v>15</v>
      </c>
      <c r="H203" s="57">
        <v>63000</v>
      </c>
      <c r="I203" s="57"/>
      <c r="J203" s="292"/>
      <c r="K203" s="312"/>
    </row>
    <row r="204" spans="2:11" x14ac:dyDescent="0.3">
      <c r="B204" s="51">
        <f t="shared" si="6"/>
        <v>87</v>
      </c>
      <c r="C204" s="40" t="s">
        <v>516</v>
      </c>
      <c r="D204" s="1030"/>
      <c r="E204" s="58"/>
      <c r="F204" s="59"/>
      <c r="G204" s="311" t="s">
        <v>15</v>
      </c>
      <c r="H204" s="57">
        <v>77540</v>
      </c>
      <c r="I204" s="57"/>
      <c r="J204" s="292"/>
      <c r="K204" s="312"/>
    </row>
    <row r="205" spans="2:11" x14ac:dyDescent="0.3">
      <c r="B205" s="51">
        <f t="shared" si="6"/>
        <v>88</v>
      </c>
      <c r="C205" s="40" t="s">
        <v>517</v>
      </c>
      <c r="D205" s="1030"/>
      <c r="E205" s="58"/>
      <c r="F205" s="59"/>
      <c r="G205" s="311" t="s">
        <v>15</v>
      </c>
      <c r="H205" s="57">
        <v>101700</v>
      </c>
      <c r="I205" s="57"/>
      <c r="J205" s="292"/>
      <c r="K205" s="312"/>
    </row>
    <row r="206" spans="2:11" x14ac:dyDescent="0.3">
      <c r="B206" s="51">
        <f t="shared" si="6"/>
        <v>89</v>
      </c>
      <c r="C206" s="40" t="s">
        <v>596</v>
      </c>
      <c r="D206" s="1030"/>
      <c r="E206" s="58"/>
      <c r="F206" s="59"/>
      <c r="G206" s="311" t="s">
        <v>15</v>
      </c>
      <c r="H206" s="57">
        <v>183500</v>
      </c>
      <c r="I206" s="57"/>
      <c r="J206" s="292"/>
      <c r="K206" s="312"/>
    </row>
    <row r="207" spans="2:11" x14ac:dyDescent="0.3">
      <c r="B207" s="51">
        <f t="shared" si="6"/>
        <v>90</v>
      </c>
      <c r="C207" s="40" t="s">
        <v>102</v>
      </c>
      <c r="D207" s="1029"/>
      <c r="E207" s="58"/>
      <c r="F207" s="59"/>
      <c r="G207" s="56" t="s">
        <v>86</v>
      </c>
      <c r="H207" s="57">
        <v>68000</v>
      </c>
      <c r="I207" s="57">
        <v>68000</v>
      </c>
    </row>
    <row r="208" spans="2:11" x14ac:dyDescent="0.3">
      <c r="B208" s="51">
        <f t="shared" si="6"/>
        <v>91</v>
      </c>
      <c r="C208" s="40" t="s">
        <v>103</v>
      </c>
      <c r="D208" s="1029"/>
      <c r="E208" s="58"/>
      <c r="F208" s="59"/>
      <c r="G208" s="56" t="s">
        <v>86</v>
      </c>
      <c r="H208" s="57">
        <v>56000</v>
      </c>
      <c r="I208" s="57">
        <v>56000</v>
      </c>
    </row>
    <row r="209" spans="2:15" x14ac:dyDescent="0.3">
      <c r="B209" s="51">
        <f t="shared" si="6"/>
        <v>92</v>
      </c>
      <c r="C209" s="40" t="s">
        <v>104</v>
      </c>
      <c r="D209" s="1029"/>
      <c r="E209" s="58"/>
      <c r="F209" s="59"/>
      <c r="G209" s="56" t="s">
        <v>86</v>
      </c>
      <c r="H209" s="57">
        <v>27000</v>
      </c>
      <c r="I209" s="57">
        <v>9000</v>
      </c>
    </row>
    <row r="210" spans="2:15" x14ac:dyDescent="0.3">
      <c r="B210" s="51">
        <f t="shared" si="6"/>
        <v>93</v>
      </c>
      <c r="C210" s="40" t="s">
        <v>105</v>
      </c>
      <c r="D210" s="1029"/>
      <c r="E210" s="58"/>
      <c r="F210" s="59"/>
      <c r="G210" s="56" t="s">
        <v>86</v>
      </c>
      <c r="H210" s="57">
        <v>8500</v>
      </c>
      <c r="I210" s="57">
        <v>8500</v>
      </c>
    </row>
    <row r="211" spans="2:15" x14ac:dyDescent="0.3">
      <c r="B211" s="51">
        <f t="shared" si="6"/>
        <v>94</v>
      </c>
      <c r="C211" s="40" t="s">
        <v>106</v>
      </c>
      <c r="D211" s="1029"/>
      <c r="E211" s="58"/>
      <c r="F211" s="59"/>
      <c r="G211" s="56" t="s">
        <v>86</v>
      </c>
      <c r="H211" s="57">
        <v>6500</v>
      </c>
      <c r="I211" s="57">
        <v>6500</v>
      </c>
    </row>
    <row r="212" spans="2:15" x14ac:dyDescent="0.3">
      <c r="B212" s="51">
        <f t="shared" si="6"/>
        <v>95</v>
      </c>
      <c r="C212" s="40" t="s">
        <v>107</v>
      </c>
      <c r="D212" s="1029"/>
      <c r="E212" s="58"/>
      <c r="F212" s="59"/>
      <c r="G212" s="56" t="s">
        <v>86</v>
      </c>
      <c r="H212" s="57">
        <v>8100</v>
      </c>
      <c r="I212" s="57">
        <v>9000</v>
      </c>
    </row>
    <row r="213" spans="2:15" x14ac:dyDescent="0.3">
      <c r="B213" s="51">
        <f t="shared" si="6"/>
        <v>96</v>
      </c>
      <c r="C213" s="40" t="s">
        <v>108</v>
      </c>
      <c r="D213" s="1029"/>
      <c r="E213" s="58"/>
      <c r="F213" s="59"/>
      <c r="G213" s="56" t="s">
        <v>86</v>
      </c>
      <c r="H213" s="57">
        <v>5500</v>
      </c>
      <c r="I213" s="57">
        <v>5500</v>
      </c>
    </row>
    <row r="214" spans="2:15" x14ac:dyDescent="0.3">
      <c r="B214" s="51">
        <f t="shared" si="6"/>
        <v>97</v>
      </c>
      <c r="C214" s="40" t="s">
        <v>351</v>
      </c>
      <c r="D214" s="1029"/>
      <c r="E214" s="58"/>
      <c r="F214" s="59"/>
      <c r="G214" s="56" t="s">
        <v>86</v>
      </c>
      <c r="H214" s="57">
        <v>36000</v>
      </c>
      <c r="I214" s="57"/>
    </row>
    <row r="215" spans="2:15" x14ac:dyDescent="0.3">
      <c r="B215" s="51">
        <f t="shared" si="6"/>
        <v>98</v>
      </c>
      <c r="C215" s="40" t="s">
        <v>565</v>
      </c>
      <c r="D215" s="1030"/>
      <c r="E215" s="58"/>
      <c r="F215" s="59"/>
      <c r="G215" s="56" t="s">
        <v>86</v>
      </c>
      <c r="H215" s="57">
        <v>3600</v>
      </c>
      <c r="I215" s="57"/>
    </row>
    <row r="216" spans="2:15" x14ac:dyDescent="0.3">
      <c r="B216" s="51">
        <f t="shared" si="6"/>
        <v>99</v>
      </c>
      <c r="C216" s="40" t="s">
        <v>109</v>
      </c>
      <c r="D216" s="1029"/>
      <c r="E216" s="58"/>
      <c r="F216" s="59"/>
      <c r="G216" s="56" t="s">
        <v>86</v>
      </c>
      <c r="H216" s="57">
        <v>13500</v>
      </c>
      <c r="I216" s="57">
        <v>13500</v>
      </c>
    </row>
    <row r="217" spans="2:15" x14ac:dyDescent="0.3">
      <c r="B217" s="51">
        <f t="shared" si="6"/>
        <v>100</v>
      </c>
      <c r="C217" s="40" t="s">
        <v>110</v>
      </c>
      <c r="D217" s="1029"/>
      <c r="E217" s="58"/>
      <c r="F217" s="59"/>
      <c r="G217" s="56" t="s">
        <v>86</v>
      </c>
      <c r="H217" s="57">
        <v>6700</v>
      </c>
      <c r="I217" s="57">
        <v>14000</v>
      </c>
      <c r="O217" s="312"/>
    </row>
    <row r="218" spans="2:15" x14ac:dyDescent="0.3">
      <c r="B218" s="51">
        <f t="shared" si="6"/>
        <v>101</v>
      </c>
      <c r="C218" s="40" t="s">
        <v>597</v>
      </c>
      <c r="D218" s="1029"/>
      <c r="E218" s="58"/>
      <c r="F218" s="59"/>
      <c r="G218" s="56" t="s">
        <v>86</v>
      </c>
      <c r="H218" s="57">
        <v>18000</v>
      </c>
      <c r="I218" s="57"/>
      <c r="O218" s="312"/>
    </row>
    <row r="219" spans="2:15" x14ac:dyDescent="0.3">
      <c r="B219" s="51">
        <f t="shared" si="6"/>
        <v>102</v>
      </c>
      <c r="C219" s="40" t="s">
        <v>595</v>
      </c>
      <c r="D219" s="1029"/>
      <c r="E219" s="58"/>
      <c r="F219" s="59"/>
      <c r="G219" s="56" t="s">
        <v>86</v>
      </c>
      <c r="H219" s="57">
        <v>27300</v>
      </c>
      <c r="I219" s="57"/>
      <c r="O219" s="312"/>
    </row>
    <row r="220" spans="2:15" x14ac:dyDescent="0.3">
      <c r="B220" s="51">
        <f t="shared" si="6"/>
        <v>103</v>
      </c>
      <c r="C220" s="40" t="s">
        <v>623</v>
      </c>
      <c r="D220" s="1031"/>
      <c r="E220" s="58"/>
      <c r="F220" s="59"/>
      <c r="G220" s="56" t="s">
        <v>86</v>
      </c>
      <c r="H220" s="57">
        <v>96000</v>
      </c>
      <c r="I220" s="57"/>
      <c r="O220" s="312"/>
    </row>
    <row r="221" spans="2:15" x14ac:dyDescent="0.3">
      <c r="B221" s="51">
        <f t="shared" si="6"/>
        <v>104</v>
      </c>
      <c r="C221" s="40" t="s">
        <v>868</v>
      </c>
      <c r="D221" s="1031"/>
      <c r="E221" s="58"/>
      <c r="F221" s="59"/>
      <c r="G221" s="56" t="s">
        <v>86</v>
      </c>
      <c r="H221" s="57">
        <v>105117</v>
      </c>
      <c r="I221" s="57"/>
      <c r="O221" s="312"/>
    </row>
    <row r="222" spans="2:15" x14ac:dyDescent="0.3">
      <c r="B222" s="51">
        <f t="shared" si="6"/>
        <v>105</v>
      </c>
      <c r="C222" s="40" t="s">
        <v>111</v>
      </c>
      <c r="D222" s="1029"/>
      <c r="E222" s="58"/>
      <c r="F222" s="59"/>
      <c r="G222" s="56" t="s">
        <v>86</v>
      </c>
      <c r="H222" s="57">
        <v>92000</v>
      </c>
      <c r="I222" s="57">
        <v>52000</v>
      </c>
      <c r="O222" s="312"/>
    </row>
    <row r="223" spans="2:15" x14ac:dyDescent="0.3">
      <c r="B223" s="51">
        <f t="shared" si="6"/>
        <v>106</v>
      </c>
      <c r="C223" s="40" t="s">
        <v>112</v>
      </c>
      <c r="D223" s="1029"/>
      <c r="E223" s="58"/>
      <c r="F223" s="59"/>
      <c r="G223" s="56" t="s">
        <v>86</v>
      </c>
      <c r="H223" s="57">
        <v>197000</v>
      </c>
      <c r="I223" s="57">
        <v>137500</v>
      </c>
      <c r="O223" s="312"/>
    </row>
    <row r="224" spans="2:15" x14ac:dyDescent="0.3">
      <c r="B224" s="51">
        <f t="shared" si="6"/>
        <v>107</v>
      </c>
      <c r="C224" s="40" t="s">
        <v>113</v>
      </c>
      <c r="D224" s="1029"/>
      <c r="E224" s="58"/>
      <c r="F224" s="59"/>
      <c r="G224" s="56" t="s">
        <v>86</v>
      </c>
      <c r="H224" s="57">
        <v>320000</v>
      </c>
      <c r="I224" s="57">
        <v>240000</v>
      </c>
      <c r="M224" s="291">
        <v>270000</v>
      </c>
      <c r="O224" s="312"/>
    </row>
    <row r="225" spans="2:15" x14ac:dyDescent="0.3">
      <c r="B225" s="51">
        <f t="shared" si="6"/>
        <v>108</v>
      </c>
      <c r="C225" s="40" t="s">
        <v>114</v>
      </c>
      <c r="D225" s="1029"/>
      <c r="E225" s="58"/>
      <c r="F225" s="59"/>
      <c r="G225" s="56" t="s">
        <v>86</v>
      </c>
      <c r="H225" s="57">
        <v>15800</v>
      </c>
      <c r="I225" s="57">
        <v>10000</v>
      </c>
      <c r="O225" s="312"/>
    </row>
    <row r="226" spans="2:15" x14ac:dyDescent="0.3">
      <c r="B226" s="51">
        <f t="shared" si="6"/>
        <v>109</v>
      </c>
      <c r="C226" s="40" t="s">
        <v>115</v>
      </c>
      <c r="D226" s="1029"/>
      <c r="E226" s="58"/>
      <c r="F226" s="59"/>
      <c r="G226" s="56" t="s">
        <v>86</v>
      </c>
      <c r="H226" s="57">
        <v>4500</v>
      </c>
      <c r="I226" s="57">
        <v>4500</v>
      </c>
    </row>
    <row r="227" spans="2:15" x14ac:dyDescent="0.3">
      <c r="B227" s="51">
        <f t="shared" si="6"/>
        <v>110</v>
      </c>
      <c r="C227" s="40" t="s">
        <v>116</v>
      </c>
      <c r="D227" s="1029"/>
      <c r="E227" s="58"/>
      <c r="F227" s="59"/>
      <c r="G227" s="56" t="s">
        <v>86</v>
      </c>
      <c r="H227" s="57">
        <v>65000</v>
      </c>
      <c r="I227" s="57">
        <v>45000</v>
      </c>
    </row>
    <row r="228" spans="2:15" x14ac:dyDescent="0.3">
      <c r="B228" s="51">
        <f t="shared" si="6"/>
        <v>111</v>
      </c>
      <c r="C228" s="40" t="s">
        <v>117</v>
      </c>
      <c r="D228" s="1029"/>
      <c r="E228" s="58"/>
      <c r="F228" s="59"/>
      <c r="G228" s="56" t="s">
        <v>86</v>
      </c>
      <c r="H228" s="57">
        <v>4600</v>
      </c>
      <c r="I228" s="57">
        <v>8000</v>
      </c>
    </row>
    <row r="229" spans="2:15" x14ac:dyDescent="0.3">
      <c r="B229" s="51">
        <f t="shared" si="6"/>
        <v>112</v>
      </c>
      <c r="C229" s="40" t="s">
        <v>118</v>
      </c>
      <c r="D229" s="1029"/>
      <c r="E229" s="58"/>
      <c r="F229" s="59"/>
      <c r="G229" s="56" t="s">
        <v>86</v>
      </c>
      <c r="H229" s="57">
        <v>77000</v>
      </c>
      <c r="I229" s="57">
        <v>75000</v>
      </c>
    </row>
    <row r="230" spans="2:15" x14ac:dyDescent="0.3">
      <c r="B230" s="51">
        <f t="shared" si="6"/>
        <v>113</v>
      </c>
      <c r="C230" s="40" t="s">
        <v>119</v>
      </c>
      <c r="D230" s="1029"/>
      <c r="E230" s="58"/>
      <c r="F230" s="59"/>
      <c r="G230" s="56" t="s">
        <v>86</v>
      </c>
      <c r="H230" s="57">
        <v>30000</v>
      </c>
      <c r="I230" s="57">
        <v>30000</v>
      </c>
    </row>
    <row r="231" spans="2:15" x14ac:dyDescent="0.3">
      <c r="B231" s="51">
        <f t="shared" si="6"/>
        <v>114</v>
      </c>
      <c r="C231" s="40" t="s">
        <v>120</v>
      </c>
      <c r="D231" s="1026"/>
      <c r="E231" s="25"/>
      <c r="F231" s="59"/>
      <c r="G231" s="60" t="s">
        <v>86</v>
      </c>
      <c r="H231" s="304">
        <v>758500</v>
      </c>
      <c r="I231" s="61">
        <v>758500</v>
      </c>
    </row>
    <row r="232" spans="2:15" x14ac:dyDescent="0.3">
      <c r="B232" s="51">
        <f t="shared" si="6"/>
        <v>115</v>
      </c>
      <c r="C232" s="40" t="s">
        <v>121</v>
      </c>
      <c r="D232" s="1026"/>
      <c r="E232" s="25"/>
      <c r="F232" s="59"/>
      <c r="G232" s="60" t="s">
        <v>15</v>
      </c>
      <c r="H232" s="304">
        <v>35000</v>
      </c>
      <c r="I232" s="61">
        <v>35000</v>
      </c>
    </row>
    <row r="233" spans="2:15" x14ac:dyDescent="0.3">
      <c r="B233" s="51">
        <f t="shared" si="6"/>
        <v>116</v>
      </c>
      <c r="C233" s="40" t="s">
        <v>122</v>
      </c>
      <c r="D233" s="1026"/>
      <c r="E233" s="25"/>
      <c r="F233" s="59"/>
      <c r="G233" s="60" t="s">
        <v>86</v>
      </c>
      <c r="H233" s="304">
        <v>45000</v>
      </c>
      <c r="I233" s="61">
        <v>45000</v>
      </c>
    </row>
    <row r="234" spans="2:15" x14ac:dyDescent="0.3">
      <c r="B234" s="51">
        <f t="shared" si="6"/>
        <v>117</v>
      </c>
      <c r="C234" s="1261" t="s">
        <v>1012</v>
      </c>
      <c r="D234" s="1262"/>
      <c r="E234" s="1263"/>
      <c r="F234" s="1264"/>
      <c r="G234" s="1265" t="s">
        <v>86</v>
      </c>
      <c r="H234" s="1266">
        <v>6200</v>
      </c>
      <c r="I234" s="1267"/>
    </row>
    <row r="235" spans="2:15" x14ac:dyDescent="0.3">
      <c r="B235" s="51">
        <f t="shared" si="6"/>
        <v>118</v>
      </c>
      <c r="C235" s="40" t="s">
        <v>207</v>
      </c>
      <c r="D235" s="1026"/>
      <c r="E235" s="25"/>
      <c r="F235" s="59"/>
      <c r="G235" s="60" t="s">
        <v>86</v>
      </c>
      <c r="H235" s="304">
        <v>53000</v>
      </c>
      <c r="I235" s="61">
        <v>53000</v>
      </c>
    </row>
    <row r="236" spans="2:15" x14ac:dyDescent="0.3">
      <c r="B236" s="51">
        <f t="shared" si="6"/>
        <v>119</v>
      </c>
      <c r="C236" s="40" t="s">
        <v>123</v>
      </c>
      <c r="D236" s="1026"/>
      <c r="E236" s="25"/>
      <c r="F236" s="59"/>
      <c r="G236" s="60" t="s">
        <v>86</v>
      </c>
      <c r="H236" s="304">
        <v>70000</v>
      </c>
      <c r="I236" s="61">
        <v>70000</v>
      </c>
    </row>
    <row r="237" spans="2:15" x14ac:dyDescent="0.3">
      <c r="B237" s="51">
        <f t="shared" si="6"/>
        <v>120</v>
      </c>
      <c r="C237" s="40" t="s">
        <v>624</v>
      </c>
      <c r="D237" s="1032"/>
      <c r="E237" s="25"/>
      <c r="F237" s="59"/>
      <c r="G237" s="60" t="s">
        <v>86</v>
      </c>
      <c r="H237" s="304">
        <v>350000</v>
      </c>
      <c r="I237" s="588"/>
      <c r="M237" s="291">
        <v>325000</v>
      </c>
    </row>
    <row r="238" spans="2:15" ht="14.4" thickBot="1" x14ac:dyDescent="0.35">
      <c r="B238" s="630"/>
      <c r="C238" s="62"/>
      <c r="D238" s="63"/>
      <c r="E238" s="63"/>
      <c r="F238" s="64"/>
      <c r="G238" s="65"/>
      <c r="H238" s="305"/>
      <c r="I238" s="66"/>
    </row>
    <row r="239" spans="2:15" x14ac:dyDescent="0.3">
      <c r="B239" s="977"/>
      <c r="C239" s="996"/>
      <c r="D239" s="1"/>
      <c r="E239" s="1"/>
      <c r="F239" s="1"/>
      <c r="G239" s="1"/>
      <c r="H239" s="306"/>
    </row>
  </sheetData>
  <mergeCells count="4">
    <mergeCell ref="B13:B15"/>
    <mergeCell ref="G13:G15"/>
    <mergeCell ref="H13:H14"/>
    <mergeCell ref="C13:F15"/>
  </mergeCells>
  <phoneticPr fontId="16" type="noConversion"/>
  <printOptions horizontalCentered="1"/>
  <pageMargins left="0.59055118110236227" right="0.59055118110236227" top="0.39370078740157483" bottom="1.5748031496062993" header="0" footer="0"/>
  <pageSetup paperSize="5" scale="6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0B14-7CA3-482C-956A-03C1A2967C33}">
  <dimension ref="B3:AC41"/>
  <sheetViews>
    <sheetView view="pageBreakPreview" topLeftCell="A16" zoomScale="85" zoomScaleNormal="100" zoomScaleSheetLayoutView="85" workbookViewId="0">
      <selection activeCell="E34" sqref="E34"/>
    </sheetView>
  </sheetViews>
  <sheetFormatPr defaultColWidth="9.375" defaultRowHeight="13.8" x14ac:dyDescent="0.3"/>
  <cols>
    <col min="1" max="1" width="7.125" style="10" customWidth="1"/>
    <col min="2" max="2" width="6.125" style="10" customWidth="1"/>
    <col min="3" max="3" width="14.125" style="11" customWidth="1"/>
    <col min="4" max="4" width="3.875" style="10" customWidth="1"/>
    <col min="5" max="5" width="53.875" style="10" customWidth="1"/>
    <col min="6" max="7" width="7.125" style="10" customWidth="1"/>
    <col min="8" max="9" width="12.375" style="10" customWidth="1"/>
    <col min="10" max="10" width="8" style="10" customWidth="1"/>
    <col min="11" max="28" width="6.375" style="560" customWidth="1"/>
    <col min="29" max="29" width="9.5" style="560" bestFit="1" customWidth="1"/>
    <col min="30" max="256" width="9.375" style="10"/>
    <col min="257" max="257" width="7.125" style="10" customWidth="1"/>
    <col min="258" max="258" width="6.125" style="10" customWidth="1"/>
    <col min="259" max="259" width="14.125" style="10" customWidth="1"/>
    <col min="260" max="260" width="3.875" style="10" customWidth="1"/>
    <col min="261" max="261" width="53.875" style="10" customWidth="1"/>
    <col min="262" max="263" width="7.125" style="10" customWidth="1"/>
    <col min="264" max="265" width="13.375" style="10" customWidth="1"/>
    <col min="266" max="266" width="8" style="10" customWidth="1"/>
    <col min="267" max="284" width="5.625" style="10" customWidth="1"/>
    <col min="285" max="285" width="9.5" style="10" bestFit="1" customWidth="1"/>
    <col min="286" max="512" width="9.375" style="10"/>
    <col min="513" max="513" width="7.125" style="10" customWidth="1"/>
    <col min="514" max="514" width="6.125" style="10" customWidth="1"/>
    <col min="515" max="515" width="14.125" style="10" customWidth="1"/>
    <col min="516" max="516" width="3.875" style="10" customWidth="1"/>
    <col min="517" max="517" width="53.875" style="10" customWidth="1"/>
    <col min="518" max="519" width="7.125" style="10" customWidth="1"/>
    <col min="520" max="521" width="13.375" style="10" customWidth="1"/>
    <col min="522" max="522" width="8" style="10" customWidth="1"/>
    <col min="523" max="540" width="5.625" style="10" customWidth="1"/>
    <col min="541" max="541" width="9.5" style="10" bestFit="1" customWidth="1"/>
    <col min="542" max="768" width="9.375" style="10"/>
    <col min="769" max="769" width="7.125" style="10" customWidth="1"/>
    <col min="770" max="770" width="6.125" style="10" customWidth="1"/>
    <col min="771" max="771" width="14.125" style="10" customWidth="1"/>
    <col min="772" max="772" width="3.875" style="10" customWidth="1"/>
    <col min="773" max="773" width="53.875" style="10" customWidth="1"/>
    <col min="774" max="775" width="7.125" style="10" customWidth="1"/>
    <col min="776" max="777" width="13.375" style="10" customWidth="1"/>
    <col min="778" max="778" width="8" style="10" customWidth="1"/>
    <col min="779" max="796" width="5.625" style="10" customWidth="1"/>
    <col min="797" max="797" width="9.5" style="10" bestFit="1" customWidth="1"/>
    <col min="798" max="1024" width="9.375" style="10"/>
    <col min="1025" max="1025" width="7.125" style="10" customWidth="1"/>
    <col min="1026" max="1026" width="6.125" style="10" customWidth="1"/>
    <col min="1027" max="1027" width="14.125" style="10" customWidth="1"/>
    <col min="1028" max="1028" width="3.875" style="10" customWidth="1"/>
    <col min="1029" max="1029" width="53.875" style="10" customWidth="1"/>
    <col min="1030" max="1031" width="7.125" style="10" customWidth="1"/>
    <col min="1032" max="1033" width="13.375" style="10" customWidth="1"/>
    <col min="1034" max="1034" width="8" style="10" customWidth="1"/>
    <col min="1035" max="1052" width="5.625" style="10" customWidth="1"/>
    <col min="1053" max="1053" width="9.5" style="10" bestFit="1" customWidth="1"/>
    <col min="1054" max="1280" width="9.375" style="10"/>
    <col min="1281" max="1281" width="7.125" style="10" customWidth="1"/>
    <col min="1282" max="1282" width="6.125" style="10" customWidth="1"/>
    <col min="1283" max="1283" width="14.125" style="10" customWidth="1"/>
    <col min="1284" max="1284" width="3.875" style="10" customWidth="1"/>
    <col min="1285" max="1285" width="53.875" style="10" customWidth="1"/>
    <col min="1286" max="1287" width="7.125" style="10" customWidth="1"/>
    <col min="1288" max="1289" width="13.375" style="10" customWidth="1"/>
    <col min="1290" max="1290" width="8" style="10" customWidth="1"/>
    <col min="1291" max="1308" width="5.625" style="10" customWidth="1"/>
    <col min="1309" max="1309" width="9.5" style="10" bestFit="1" customWidth="1"/>
    <col min="1310" max="1536" width="9.375" style="10"/>
    <col min="1537" max="1537" width="7.125" style="10" customWidth="1"/>
    <col min="1538" max="1538" width="6.125" style="10" customWidth="1"/>
    <col min="1539" max="1539" width="14.125" style="10" customWidth="1"/>
    <col min="1540" max="1540" width="3.875" style="10" customWidth="1"/>
    <col min="1541" max="1541" width="53.875" style="10" customWidth="1"/>
    <col min="1542" max="1543" width="7.125" style="10" customWidth="1"/>
    <col min="1544" max="1545" width="13.375" style="10" customWidth="1"/>
    <col min="1546" max="1546" width="8" style="10" customWidth="1"/>
    <col min="1547" max="1564" width="5.625" style="10" customWidth="1"/>
    <col min="1565" max="1565" width="9.5" style="10" bestFit="1" customWidth="1"/>
    <col min="1566" max="1792" width="9.375" style="10"/>
    <col min="1793" max="1793" width="7.125" style="10" customWidth="1"/>
    <col min="1794" max="1794" width="6.125" style="10" customWidth="1"/>
    <col min="1795" max="1795" width="14.125" style="10" customWidth="1"/>
    <col min="1796" max="1796" width="3.875" style="10" customWidth="1"/>
    <col min="1797" max="1797" width="53.875" style="10" customWidth="1"/>
    <col min="1798" max="1799" width="7.125" style="10" customWidth="1"/>
    <col min="1800" max="1801" width="13.375" style="10" customWidth="1"/>
    <col min="1802" max="1802" width="8" style="10" customWidth="1"/>
    <col min="1803" max="1820" width="5.625" style="10" customWidth="1"/>
    <col min="1821" max="1821" width="9.5" style="10" bestFit="1" customWidth="1"/>
    <col min="1822" max="2048" width="9.375" style="10"/>
    <col min="2049" max="2049" width="7.125" style="10" customWidth="1"/>
    <col min="2050" max="2050" width="6.125" style="10" customWidth="1"/>
    <col min="2051" max="2051" width="14.125" style="10" customWidth="1"/>
    <col min="2052" max="2052" width="3.875" style="10" customWidth="1"/>
    <col min="2053" max="2053" width="53.875" style="10" customWidth="1"/>
    <col min="2054" max="2055" width="7.125" style="10" customWidth="1"/>
    <col min="2056" max="2057" width="13.375" style="10" customWidth="1"/>
    <col min="2058" max="2058" width="8" style="10" customWidth="1"/>
    <col min="2059" max="2076" width="5.625" style="10" customWidth="1"/>
    <col min="2077" max="2077" width="9.5" style="10" bestFit="1" customWidth="1"/>
    <col min="2078" max="2304" width="9.375" style="10"/>
    <col min="2305" max="2305" width="7.125" style="10" customWidth="1"/>
    <col min="2306" max="2306" width="6.125" style="10" customWidth="1"/>
    <col min="2307" max="2307" width="14.125" style="10" customWidth="1"/>
    <col min="2308" max="2308" width="3.875" style="10" customWidth="1"/>
    <col min="2309" max="2309" width="53.875" style="10" customWidth="1"/>
    <col min="2310" max="2311" width="7.125" style="10" customWidth="1"/>
    <col min="2312" max="2313" width="13.375" style="10" customWidth="1"/>
    <col min="2314" max="2314" width="8" style="10" customWidth="1"/>
    <col min="2315" max="2332" width="5.625" style="10" customWidth="1"/>
    <col min="2333" max="2333" width="9.5" style="10" bestFit="1" customWidth="1"/>
    <col min="2334" max="2560" width="9.375" style="10"/>
    <col min="2561" max="2561" width="7.125" style="10" customWidth="1"/>
    <col min="2562" max="2562" width="6.125" style="10" customWidth="1"/>
    <col min="2563" max="2563" width="14.125" style="10" customWidth="1"/>
    <col min="2564" max="2564" width="3.875" style="10" customWidth="1"/>
    <col min="2565" max="2565" width="53.875" style="10" customWidth="1"/>
    <col min="2566" max="2567" width="7.125" style="10" customWidth="1"/>
    <col min="2568" max="2569" width="13.375" style="10" customWidth="1"/>
    <col min="2570" max="2570" width="8" style="10" customWidth="1"/>
    <col min="2571" max="2588" width="5.625" style="10" customWidth="1"/>
    <col min="2589" max="2589" width="9.5" style="10" bestFit="1" customWidth="1"/>
    <col min="2590" max="2816" width="9.375" style="10"/>
    <col min="2817" max="2817" width="7.125" style="10" customWidth="1"/>
    <col min="2818" max="2818" width="6.125" style="10" customWidth="1"/>
    <col min="2819" max="2819" width="14.125" style="10" customWidth="1"/>
    <col min="2820" max="2820" width="3.875" style="10" customWidth="1"/>
    <col min="2821" max="2821" width="53.875" style="10" customWidth="1"/>
    <col min="2822" max="2823" width="7.125" style="10" customWidth="1"/>
    <col min="2824" max="2825" width="13.375" style="10" customWidth="1"/>
    <col min="2826" max="2826" width="8" style="10" customWidth="1"/>
    <col min="2827" max="2844" width="5.625" style="10" customWidth="1"/>
    <col min="2845" max="2845" width="9.5" style="10" bestFit="1" customWidth="1"/>
    <col min="2846" max="3072" width="9.375" style="10"/>
    <col min="3073" max="3073" width="7.125" style="10" customWidth="1"/>
    <col min="3074" max="3074" width="6.125" style="10" customWidth="1"/>
    <col min="3075" max="3075" width="14.125" style="10" customWidth="1"/>
    <col min="3076" max="3076" width="3.875" style="10" customWidth="1"/>
    <col min="3077" max="3077" width="53.875" style="10" customWidth="1"/>
    <col min="3078" max="3079" width="7.125" style="10" customWidth="1"/>
    <col min="3080" max="3081" width="13.375" style="10" customWidth="1"/>
    <col min="3082" max="3082" width="8" style="10" customWidth="1"/>
    <col min="3083" max="3100" width="5.625" style="10" customWidth="1"/>
    <col min="3101" max="3101" width="9.5" style="10" bestFit="1" customWidth="1"/>
    <col min="3102" max="3328" width="9.375" style="10"/>
    <col min="3329" max="3329" width="7.125" style="10" customWidth="1"/>
    <col min="3330" max="3330" width="6.125" style="10" customWidth="1"/>
    <col min="3331" max="3331" width="14.125" style="10" customWidth="1"/>
    <col min="3332" max="3332" width="3.875" style="10" customWidth="1"/>
    <col min="3333" max="3333" width="53.875" style="10" customWidth="1"/>
    <col min="3334" max="3335" width="7.125" style="10" customWidth="1"/>
    <col min="3336" max="3337" width="13.375" style="10" customWidth="1"/>
    <col min="3338" max="3338" width="8" style="10" customWidth="1"/>
    <col min="3339" max="3356" width="5.625" style="10" customWidth="1"/>
    <col min="3357" max="3357" width="9.5" style="10" bestFit="1" customWidth="1"/>
    <col min="3358" max="3584" width="9.375" style="10"/>
    <col min="3585" max="3585" width="7.125" style="10" customWidth="1"/>
    <col min="3586" max="3586" width="6.125" style="10" customWidth="1"/>
    <col min="3587" max="3587" width="14.125" style="10" customWidth="1"/>
    <col min="3588" max="3588" width="3.875" style="10" customWidth="1"/>
    <col min="3589" max="3589" width="53.875" style="10" customWidth="1"/>
    <col min="3590" max="3591" width="7.125" style="10" customWidth="1"/>
    <col min="3592" max="3593" width="13.375" style="10" customWidth="1"/>
    <col min="3594" max="3594" width="8" style="10" customWidth="1"/>
    <col min="3595" max="3612" width="5.625" style="10" customWidth="1"/>
    <col min="3613" max="3613" width="9.5" style="10" bestFit="1" customWidth="1"/>
    <col min="3614" max="3840" width="9.375" style="10"/>
    <col min="3841" max="3841" width="7.125" style="10" customWidth="1"/>
    <col min="3842" max="3842" width="6.125" style="10" customWidth="1"/>
    <col min="3843" max="3843" width="14.125" style="10" customWidth="1"/>
    <col min="3844" max="3844" width="3.875" style="10" customWidth="1"/>
    <col min="3845" max="3845" width="53.875" style="10" customWidth="1"/>
    <col min="3846" max="3847" width="7.125" style="10" customWidth="1"/>
    <col min="3848" max="3849" width="13.375" style="10" customWidth="1"/>
    <col min="3850" max="3850" width="8" style="10" customWidth="1"/>
    <col min="3851" max="3868" width="5.625" style="10" customWidth="1"/>
    <col min="3869" max="3869" width="9.5" style="10" bestFit="1" customWidth="1"/>
    <col min="3870" max="4096" width="9.375" style="10"/>
    <col min="4097" max="4097" width="7.125" style="10" customWidth="1"/>
    <col min="4098" max="4098" width="6.125" style="10" customWidth="1"/>
    <col min="4099" max="4099" width="14.125" style="10" customWidth="1"/>
    <col min="4100" max="4100" width="3.875" style="10" customWidth="1"/>
    <col min="4101" max="4101" width="53.875" style="10" customWidth="1"/>
    <col min="4102" max="4103" width="7.125" style="10" customWidth="1"/>
    <col min="4104" max="4105" width="13.375" style="10" customWidth="1"/>
    <col min="4106" max="4106" width="8" style="10" customWidth="1"/>
    <col min="4107" max="4124" width="5.625" style="10" customWidth="1"/>
    <col min="4125" max="4125" width="9.5" style="10" bestFit="1" customWidth="1"/>
    <col min="4126" max="4352" width="9.375" style="10"/>
    <col min="4353" max="4353" width="7.125" style="10" customWidth="1"/>
    <col min="4354" max="4354" width="6.125" style="10" customWidth="1"/>
    <col min="4355" max="4355" width="14.125" style="10" customWidth="1"/>
    <col min="4356" max="4356" width="3.875" style="10" customWidth="1"/>
    <col min="4357" max="4357" width="53.875" style="10" customWidth="1"/>
    <col min="4358" max="4359" width="7.125" style="10" customWidth="1"/>
    <col min="4360" max="4361" width="13.375" style="10" customWidth="1"/>
    <col min="4362" max="4362" width="8" style="10" customWidth="1"/>
    <col min="4363" max="4380" width="5.625" style="10" customWidth="1"/>
    <col min="4381" max="4381" width="9.5" style="10" bestFit="1" customWidth="1"/>
    <col min="4382" max="4608" width="9.375" style="10"/>
    <col min="4609" max="4609" width="7.125" style="10" customWidth="1"/>
    <col min="4610" max="4610" width="6.125" style="10" customWidth="1"/>
    <col min="4611" max="4611" width="14.125" style="10" customWidth="1"/>
    <col min="4612" max="4612" width="3.875" style="10" customWidth="1"/>
    <col min="4613" max="4613" width="53.875" style="10" customWidth="1"/>
    <col min="4614" max="4615" width="7.125" style="10" customWidth="1"/>
    <col min="4616" max="4617" width="13.375" style="10" customWidth="1"/>
    <col min="4618" max="4618" width="8" style="10" customWidth="1"/>
    <col min="4619" max="4636" width="5.625" style="10" customWidth="1"/>
    <col min="4637" max="4637" width="9.5" style="10" bestFit="1" customWidth="1"/>
    <col min="4638" max="4864" width="9.375" style="10"/>
    <col min="4865" max="4865" width="7.125" style="10" customWidth="1"/>
    <col min="4866" max="4866" width="6.125" style="10" customWidth="1"/>
    <col min="4867" max="4867" width="14.125" style="10" customWidth="1"/>
    <col min="4868" max="4868" width="3.875" style="10" customWidth="1"/>
    <col min="4869" max="4869" width="53.875" style="10" customWidth="1"/>
    <col min="4870" max="4871" width="7.125" style="10" customWidth="1"/>
    <col min="4872" max="4873" width="13.375" style="10" customWidth="1"/>
    <col min="4874" max="4874" width="8" style="10" customWidth="1"/>
    <col min="4875" max="4892" width="5.625" style="10" customWidth="1"/>
    <col min="4893" max="4893" width="9.5" style="10" bestFit="1" customWidth="1"/>
    <col min="4894" max="5120" width="9.375" style="10"/>
    <col min="5121" max="5121" width="7.125" style="10" customWidth="1"/>
    <col min="5122" max="5122" width="6.125" style="10" customWidth="1"/>
    <col min="5123" max="5123" width="14.125" style="10" customWidth="1"/>
    <col min="5124" max="5124" width="3.875" style="10" customWidth="1"/>
    <col min="5125" max="5125" width="53.875" style="10" customWidth="1"/>
    <col min="5126" max="5127" width="7.125" style="10" customWidth="1"/>
    <col min="5128" max="5129" width="13.375" style="10" customWidth="1"/>
    <col min="5130" max="5130" width="8" style="10" customWidth="1"/>
    <col min="5131" max="5148" width="5.625" style="10" customWidth="1"/>
    <col min="5149" max="5149" width="9.5" style="10" bestFit="1" customWidth="1"/>
    <col min="5150" max="5376" width="9.375" style="10"/>
    <col min="5377" max="5377" width="7.125" style="10" customWidth="1"/>
    <col min="5378" max="5378" width="6.125" style="10" customWidth="1"/>
    <col min="5379" max="5379" width="14.125" style="10" customWidth="1"/>
    <col min="5380" max="5380" width="3.875" style="10" customWidth="1"/>
    <col min="5381" max="5381" width="53.875" style="10" customWidth="1"/>
    <col min="5382" max="5383" width="7.125" style="10" customWidth="1"/>
    <col min="5384" max="5385" width="13.375" style="10" customWidth="1"/>
    <col min="5386" max="5386" width="8" style="10" customWidth="1"/>
    <col min="5387" max="5404" width="5.625" style="10" customWidth="1"/>
    <col min="5405" max="5405" width="9.5" style="10" bestFit="1" customWidth="1"/>
    <col min="5406" max="5632" width="9.375" style="10"/>
    <col min="5633" max="5633" width="7.125" style="10" customWidth="1"/>
    <col min="5634" max="5634" width="6.125" style="10" customWidth="1"/>
    <col min="5635" max="5635" width="14.125" style="10" customWidth="1"/>
    <col min="5636" max="5636" width="3.875" style="10" customWidth="1"/>
    <col min="5637" max="5637" width="53.875" style="10" customWidth="1"/>
    <col min="5638" max="5639" width="7.125" style="10" customWidth="1"/>
    <col min="5640" max="5641" width="13.375" style="10" customWidth="1"/>
    <col min="5642" max="5642" width="8" style="10" customWidth="1"/>
    <col min="5643" max="5660" width="5.625" style="10" customWidth="1"/>
    <col min="5661" max="5661" width="9.5" style="10" bestFit="1" customWidth="1"/>
    <col min="5662" max="5888" width="9.375" style="10"/>
    <col min="5889" max="5889" width="7.125" style="10" customWidth="1"/>
    <col min="5890" max="5890" width="6.125" style="10" customWidth="1"/>
    <col min="5891" max="5891" width="14.125" style="10" customWidth="1"/>
    <col min="5892" max="5892" width="3.875" style="10" customWidth="1"/>
    <col min="5893" max="5893" width="53.875" style="10" customWidth="1"/>
    <col min="5894" max="5895" width="7.125" style="10" customWidth="1"/>
    <col min="5896" max="5897" width="13.375" style="10" customWidth="1"/>
    <col min="5898" max="5898" width="8" style="10" customWidth="1"/>
    <col min="5899" max="5916" width="5.625" style="10" customWidth="1"/>
    <col min="5917" max="5917" width="9.5" style="10" bestFit="1" customWidth="1"/>
    <col min="5918" max="6144" width="9.375" style="10"/>
    <col min="6145" max="6145" width="7.125" style="10" customWidth="1"/>
    <col min="6146" max="6146" width="6.125" style="10" customWidth="1"/>
    <col min="6147" max="6147" width="14.125" style="10" customWidth="1"/>
    <col min="6148" max="6148" width="3.875" style="10" customWidth="1"/>
    <col min="6149" max="6149" width="53.875" style="10" customWidth="1"/>
    <col min="6150" max="6151" width="7.125" style="10" customWidth="1"/>
    <col min="6152" max="6153" width="13.375" style="10" customWidth="1"/>
    <col min="6154" max="6154" width="8" style="10" customWidth="1"/>
    <col min="6155" max="6172" width="5.625" style="10" customWidth="1"/>
    <col min="6173" max="6173" width="9.5" style="10" bestFit="1" customWidth="1"/>
    <col min="6174" max="6400" width="9.375" style="10"/>
    <col min="6401" max="6401" width="7.125" style="10" customWidth="1"/>
    <col min="6402" max="6402" width="6.125" style="10" customWidth="1"/>
    <col min="6403" max="6403" width="14.125" style="10" customWidth="1"/>
    <col min="6404" max="6404" width="3.875" style="10" customWidth="1"/>
    <col min="6405" max="6405" width="53.875" style="10" customWidth="1"/>
    <col min="6406" max="6407" width="7.125" style="10" customWidth="1"/>
    <col min="6408" max="6409" width="13.375" style="10" customWidth="1"/>
    <col min="6410" max="6410" width="8" style="10" customWidth="1"/>
    <col min="6411" max="6428" width="5.625" style="10" customWidth="1"/>
    <col min="6429" max="6429" width="9.5" style="10" bestFit="1" customWidth="1"/>
    <col min="6430" max="6656" width="9.375" style="10"/>
    <col min="6657" max="6657" width="7.125" style="10" customWidth="1"/>
    <col min="6658" max="6658" width="6.125" style="10" customWidth="1"/>
    <col min="6659" max="6659" width="14.125" style="10" customWidth="1"/>
    <col min="6660" max="6660" width="3.875" style="10" customWidth="1"/>
    <col min="6661" max="6661" width="53.875" style="10" customWidth="1"/>
    <col min="6662" max="6663" width="7.125" style="10" customWidth="1"/>
    <col min="6664" max="6665" width="13.375" style="10" customWidth="1"/>
    <col min="6666" max="6666" width="8" style="10" customWidth="1"/>
    <col min="6667" max="6684" width="5.625" style="10" customWidth="1"/>
    <col min="6685" max="6685" width="9.5" style="10" bestFit="1" customWidth="1"/>
    <col min="6686" max="6912" width="9.375" style="10"/>
    <col min="6913" max="6913" width="7.125" style="10" customWidth="1"/>
    <col min="6914" max="6914" width="6.125" style="10" customWidth="1"/>
    <col min="6915" max="6915" width="14.125" style="10" customWidth="1"/>
    <col min="6916" max="6916" width="3.875" style="10" customWidth="1"/>
    <col min="6917" max="6917" width="53.875" style="10" customWidth="1"/>
    <col min="6918" max="6919" width="7.125" style="10" customWidth="1"/>
    <col min="6920" max="6921" width="13.375" style="10" customWidth="1"/>
    <col min="6922" max="6922" width="8" style="10" customWidth="1"/>
    <col min="6923" max="6940" width="5.625" style="10" customWidth="1"/>
    <col min="6941" max="6941" width="9.5" style="10" bestFit="1" customWidth="1"/>
    <col min="6942" max="7168" width="9.375" style="10"/>
    <col min="7169" max="7169" width="7.125" style="10" customWidth="1"/>
    <col min="7170" max="7170" width="6.125" style="10" customWidth="1"/>
    <col min="7171" max="7171" width="14.125" style="10" customWidth="1"/>
    <col min="7172" max="7172" width="3.875" style="10" customWidth="1"/>
    <col min="7173" max="7173" width="53.875" style="10" customWidth="1"/>
    <col min="7174" max="7175" width="7.125" style="10" customWidth="1"/>
    <col min="7176" max="7177" width="13.375" style="10" customWidth="1"/>
    <col min="7178" max="7178" width="8" style="10" customWidth="1"/>
    <col min="7179" max="7196" width="5.625" style="10" customWidth="1"/>
    <col min="7197" max="7197" width="9.5" style="10" bestFit="1" customWidth="1"/>
    <col min="7198" max="7424" width="9.375" style="10"/>
    <col min="7425" max="7425" width="7.125" style="10" customWidth="1"/>
    <col min="7426" max="7426" width="6.125" style="10" customWidth="1"/>
    <col min="7427" max="7427" width="14.125" style="10" customWidth="1"/>
    <col min="7428" max="7428" width="3.875" style="10" customWidth="1"/>
    <col min="7429" max="7429" width="53.875" style="10" customWidth="1"/>
    <col min="7430" max="7431" width="7.125" style="10" customWidth="1"/>
    <col min="7432" max="7433" width="13.375" style="10" customWidth="1"/>
    <col min="7434" max="7434" width="8" style="10" customWidth="1"/>
    <col min="7435" max="7452" width="5.625" style="10" customWidth="1"/>
    <col min="7453" max="7453" width="9.5" style="10" bestFit="1" customWidth="1"/>
    <col min="7454" max="7680" width="9.375" style="10"/>
    <col min="7681" max="7681" width="7.125" style="10" customWidth="1"/>
    <col min="7682" max="7682" width="6.125" style="10" customWidth="1"/>
    <col min="7683" max="7683" width="14.125" style="10" customWidth="1"/>
    <col min="7684" max="7684" width="3.875" style="10" customWidth="1"/>
    <col min="7685" max="7685" width="53.875" style="10" customWidth="1"/>
    <col min="7686" max="7687" width="7.125" style="10" customWidth="1"/>
    <col min="7688" max="7689" width="13.375" style="10" customWidth="1"/>
    <col min="7690" max="7690" width="8" style="10" customWidth="1"/>
    <col min="7691" max="7708" width="5.625" style="10" customWidth="1"/>
    <col min="7709" max="7709" width="9.5" style="10" bestFit="1" customWidth="1"/>
    <col min="7710" max="7936" width="9.375" style="10"/>
    <col min="7937" max="7937" width="7.125" style="10" customWidth="1"/>
    <col min="7938" max="7938" width="6.125" style="10" customWidth="1"/>
    <col min="7939" max="7939" width="14.125" style="10" customWidth="1"/>
    <col min="7940" max="7940" width="3.875" style="10" customWidth="1"/>
    <col min="7941" max="7941" width="53.875" style="10" customWidth="1"/>
    <col min="7942" max="7943" width="7.125" style="10" customWidth="1"/>
    <col min="7944" max="7945" width="13.375" style="10" customWidth="1"/>
    <col min="7946" max="7946" width="8" style="10" customWidth="1"/>
    <col min="7947" max="7964" width="5.625" style="10" customWidth="1"/>
    <col min="7965" max="7965" width="9.5" style="10" bestFit="1" customWidth="1"/>
    <col min="7966" max="8192" width="9.375" style="10"/>
    <col min="8193" max="8193" width="7.125" style="10" customWidth="1"/>
    <col min="8194" max="8194" width="6.125" style="10" customWidth="1"/>
    <col min="8195" max="8195" width="14.125" style="10" customWidth="1"/>
    <col min="8196" max="8196" width="3.875" style="10" customWidth="1"/>
    <col min="8197" max="8197" width="53.875" style="10" customWidth="1"/>
    <col min="8198" max="8199" width="7.125" style="10" customWidth="1"/>
    <col min="8200" max="8201" width="13.375" style="10" customWidth="1"/>
    <col min="8202" max="8202" width="8" style="10" customWidth="1"/>
    <col min="8203" max="8220" width="5.625" style="10" customWidth="1"/>
    <col min="8221" max="8221" width="9.5" style="10" bestFit="1" customWidth="1"/>
    <col min="8222" max="8448" width="9.375" style="10"/>
    <col min="8449" max="8449" width="7.125" style="10" customWidth="1"/>
    <col min="8450" max="8450" width="6.125" style="10" customWidth="1"/>
    <col min="8451" max="8451" width="14.125" style="10" customWidth="1"/>
    <col min="8452" max="8452" width="3.875" style="10" customWidth="1"/>
    <col min="8453" max="8453" width="53.875" style="10" customWidth="1"/>
    <col min="8454" max="8455" width="7.125" style="10" customWidth="1"/>
    <col min="8456" max="8457" width="13.375" style="10" customWidth="1"/>
    <col min="8458" max="8458" width="8" style="10" customWidth="1"/>
    <col min="8459" max="8476" width="5.625" style="10" customWidth="1"/>
    <col min="8477" max="8477" width="9.5" style="10" bestFit="1" customWidth="1"/>
    <col min="8478" max="8704" width="9.375" style="10"/>
    <col min="8705" max="8705" width="7.125" style="10" customWidth="1"/>
    <col min="8706" max="8706" width="6.125" style="10" customWidth="1"/>
    <col min="8707" max="8707" width="14.125" style="10" customWidth="1"/>
    <col min="8708" max="8708" width="3.875" style="10" customWidth="1"/>
    <col min="8709" max="8709" width="53.875" style="10" customWidth="1"/>
    <col min="8710" max="8711" width="7.125" style="10" customWidth="1"/>
    <col min="8712" max="8713" width="13.375" style="10" customWidth="1"/>
    <col min="8714" max="8714" width="8" style="10" customWidth="1"/>
    <col min="8715" max="8732" width="5.625" style="10" customWidth="1"/>
    <col min="8733" max="8733" width="9.5" style="10" bestFit="1" customWidth="1"/>
    <col min="8734" max="8960" width="9.375" style="10"/>
    <col min="8961" max="8961" width="7.125" style="10" customWidth="1"/>
    <col min="8962" max="8962" width="6.125" style="10" customWidth="1"/>
    <col min="8963" max="8963" width="14.125" style="10" customWidth="1"/>
    <col min="8964" max="8964" width="3.875" style="10" customWidth="1"/>
    <col min="8965" max="8965" width="53.875" style="10" customWidth="1"/>
    <col min="8966" max="8967" width="7.125" style="10" customWidth="1"/>
    <col min="8968" max="8969" width="13.375" style="10" customWidth="1"/>
    <col min="8970" max="8970" width="8" style="10" customWidth="1"/>
    <col min="8971" max="8988" width="5.625" style="10" customWidth="1"/>
    <col min="8989" max="8989" width="9.5" style="10" bestFit="1" customWidth="1"/>
    <col min="8990" max="9216" width="9.375" style="10"/>
    <col min="9217" max="9217" width="7.125" style="10" customWidth="1"/>
    <col min="9218" max="9218" width="6.125" style="10" customWidth="1"/>
    <col min="9219" max="9219" width="14.125" style="10" customWidth="1"/>
    <col min="9220" max="9220" width="3.875" style="10" customWidth="1"/>
    <col min="9221" max="9221" width="53.875" style="10" customWidth="1"/>
    <col min="9222" max="9223" width="7.125" style="10" customWidth="1"/>
    <col min="9224" max="9225" width="13.375" style="10" customWidth="1"/>
    <col min="9226" max="9226" width="8" style="10" customWidth="1"/>
    <col min="9227" max="9244" width="5.625" style="10" customWidth="1"/>
    <col min="9245" max="9245" width="9.5" style="10" bestFit="1" customWidth="1"/>
    <col min="9246" max="9472" width="9.375" style="10"/>
    <col min="9473" max="9473" width="7.125" style="10" customWidth="1"/>
    <col min="9474" max="9474" width="6.125" style="10" customWidth="1"/>
    <col min="9475" max="9475" width="14.125" style="10" customWidth="1"/>
    <col min="9476" max="9476" width="3.875" style="10" customWidth="1"/>
    <col min="9477" max="9477" width="53.875" style="10" customWidth="1"/>
    <col min="9478" max="9479" width="7.125" style="10" customWidth="1"/>
    <col min="9480" max="9481" width="13.375" style="10" customWidth="1"/>
    <col min="9482" max="9482" width="8" style="10" customWidth="1"/>
    <col min="9483" max="9500" width="5.625" style="10" customWidth="1"/>
    <col min="9501" max="9501" width="9.5" style="10" bestFit="1" customWidth="1"/>
    <col min="9502" max="9728" width="9.375" style="10"/>
    <col min="9729" max="9729" width="7.125" style="10" customWidth="1"/>
    <col min="9730" max="9730" width="6.125" style="10" customWidth="1"/>
    <col min="9731" max="9731" width="14.125" style="10" customWidth="1"/>
    <col min="9732" max="9732" width="3.875" style="10" customWidth="1"/>
    <col min="9733" max="9733" width="53.875" style="10" customWidth="1"/>
    <col min="9734" max="9735" width="7.125" style="10" customWidth="1"/>
    <col min="9736" max="9737" width="13.375" style="10" customWidth="1"/>
    <col min="9738" max="9738" width="8" style="10" customWidth="1"/>
    <col min="9739" max="9756" width="5.625" style="10" customWidth="1"/>
    <col min="9757" max="9757" width="9.5" style="10" bestFit="1" customWidth="1"/>
    <col min="9758" max="9984" width="9.375" style="10"/>
    <col min="9985" max="9985" width="7.125" style="10" customWidth="1"/>
    <col min="9986" max="9986" width="6.125" style="10" customWidth="1"/>
    <col min="9987" max="9987" width="14.125" style="10" customWidth="1"/>
    <col min="9988" max="9988" width="3.875" style="10" customWidth="1"/>
    <col min="9989" max="9989" width="53.875" style="10" customWidth="1"/>
    <col min="9990" max="9991" width="7.125" style="10" customWidth="1"/>
    <col min="9992" max="9993" width="13.375" style="10" customWidth="1"/>
    <col min="9994" max="9994" width="8" style="10" customWidth="1"/>
    <col min="9995" max="10012" width="5.625" style="10" customWidth="1"/>
    <col min="10013" max="10013" width="9.5" style="10" bestFit="1" customWidth="1"/>
    <col min="10014" max="10240" width="9.375" style="10"/>
    <col min="10241" max="10241" width="7.125" style="10" customWidth="1"/>
    <col min="10242" max="10242" width="6.125" style="10" customWidth="1"/>
    <col min="10243" max="10243" width="14.125" style="10" customWidth="1"/>
    <col min="10244" max="10244" width="3.875" style="10" customWidth="1"/>
    <col min="10245" max="10245" width="53.875" style="10" customWidth="1"/>
    <col min="10246" max="10247" width="7.125" style="10" customWidth="1"/>
    <col min="10248" max="10249" width="13.375" style="10" customWidth="1"/>
    <col min="10250" max="10250" width="8" style="10" customWidth="1"/>
    <col min="10251" max="10268" width="5.625" style="10" customWidth="1"/>
    <col min="10269" max="10269" width="9.5" style="10" bestFit="1" customWidth="1"/>
    <col min="10270" max="10496" width="9.375" style="10"/>
    <col min="10497" max="10497" width="7.125" style="10" customWidth="1"/>
    <col min="10498" max="10498" width="6.125" style="10" customWidth="1"/>
    <col min="10499" max="10499" width="14.125" style="10" customWidth="1"/>
    <col min="10500" max="10500" width="3.875" style="10" customWidth="1"/>
    <col min="10501" max="10501" width="53.875" style="10" customWidth="1"/>
    <col min="10502" max="10503" width="7.125" style="10" customWidth="1"/>
    <col min="10504" max="10505" width="13.375" style="10" customWidth="1"/>
    <col min="10506" max="10506" width="8" style="10" customWidth="1"/>
    <col min="10507" max="10524" width="5.625" style="10" customWidth="1"/>
    <col min="10525" max="10525" width="9.5" style="10" bestFit="1" customWidth="1"/>
    <col min="10526" max="10752" width="9.375" style="10"/>
    <col min="10753" max="10753" width="7.125" style="10" customWidth="1"/>
    <col min="10754" max="10754" width="6.125" style="10" customWidth="1"/>
    <col min="10755" max="10755" width="14.125" style="10" customWidth="1"/>
    <col min="10756" max="10756" width="3.875" style="10" customWidth="1"/>
    <col min="10757" max="10757" width="53.875" style="10" customWidth="1"/>
    <col min="10758" max="10759" width="7.125" style="10" customWidth="1"/>
    <col min="10760" max="10761" width="13.375" style="10" customWidth="1"/>
    <col min="10762" max="10762" width="8" style="10" customWidth="1"/>
    <col min="10763" max="10780" width="5.625" style="10" customWidth="1"/>
    <col min="10781" max="10781" width="9.5" style="10" bestFit="1" customWidth="1"/>
    <col min="10782" max="11008" width="9.375" style="10"/>
    <col min="11009" max="11009" width="7.125" style="10" customWidth="1"/>
    <col min="11010" max="11010" width="6.125" style="10" customWidth="1"/>
    <col min="11011" max="11011" width="14.125" style="10" customWidth="1"/>
    <col min="11012" max="11012" width="3.875" style="10" customWidth="1"/>
    <col min="11013" max="11013" width="53.875" style="10" customWidth="1"/>
    <col min="11014" max="11015" width="7.125" style="10" customWidth="1"/>
    <col min="11016" max="11017" width="13.375" style="10" customWidth="1"/>
    <col min="11018" max="11018" width="8" style="10" customWidth="1"/>
    <col min="11019" max="11036" width="5.625" style="10" customWidth="1"/>
    <col min="11037" max="11037" width="9.5" style="10" bestFit="1" customWidth="1"/>
    <col min="11038" max="11264" width="9.375" style="10"/>
    <col min="11265" max="11265" width="7.125" style="10" customWidth="1"/>
    <col min="11266" max="11266" width="6.125" style="10" customWidth="1"/>
    <col min="11267" max="11267" width="14.125" style="10" customWidth="1"/>
    <col min="11268" max="11268" width="3.875" style="10" customWidth="1"/>
    <col min="11269" max="11269" width="53.875" style="10" customWidth="1"/>
    <col min="11270" max="11271" width="7.125" style="10" customWidth="1"/>
    <col min="11272" max="11273" width="13.375" style="10" customWidth="1"/>
    <col min="11274" max="11274" width="8" style="10" customWidth="1"/>
    <col min="11275" max="11292" width="5.625" style="10" customWidth="1"/>
    <col min="11293" max="11293" width="9.5" style="10" bestFit="1" customWidth="1"/>
    <col min="11294" max="11520" width="9.375" style="10"/>
    <col min="11521" max="11521" width="7.125" style="10" customWidth="1"/>
    <col min="11522" max="11522" width="6.125" style="10" customWidth="1"/>
    <col min="11523" max="11523" width="14.125" style="10" customWidth="1"/>
    <col min="11524" max="11524" width="3.875" style="10" customWidth="1"/>
    <col min="11525" max="11525" width="53.875" style="10" customWidth="1"/>
    <col min="11526" max="11527" width="7.125" style="10" customWidth="1"/>
    <col min="11528" max="11529" width="13.375" style="10" customWidth="1"/>
    <col min="11530" max="11530" width="8" style="10" customWidth="1"/>
    <col min="11531" max="11548" width="5.625" style="10" customWidth="1"/>
    <col min="11549" max="11549" width="9.5" style="10" bestFit="1" customWidth="1"/>
    <col min="11550" max="11776" width="9.375" style="10"/>
    <col min="11777" max="11777" width="7.125" style="10" customWidth="1"/>
    <col min="11778" max="11778" width="6.125" style="10" customWidth="1"/>
    <col min="11779" max="11779" width="14.125" style="10" customWidth="1"/>
    <col min="11780" max="11780" width="3.875" style="10" customWidth="1"/>
    <col min="11781" max="11781" width="53.875" style="10" customWidth="1"/>
    <col min="11782" max="11783" width="7.125" style="10" customWidth="1"/>
    <col min="11784" max="11785" width="13.375" style="10" customWidth="1"/>
    <col min="11786" max="11786" width="8" style="10" customWidth="1"/>
    <col min="11787" max="11804" width="5.625" style="10" customWidth="1"/>
    <col min="11805" max="11805" width="9.5" style="10" bestFit="1" customWidth="1"/>
    <col min="11806" max="12032" width="9.375" style="10"/>
    <col min="12033" max="12033" width="7.125" style="10" customWidth="1"/>
    <col min="12034" max="12034" width="6.125" style="10" customWidth="1"/>
    <col min="12035" max="12035" width="14.125" style="10" customWidth="1"/>
    <col min="12036" max="12036" width="3.875" style="10" customWidth="1"/>
    <col min="12037" max="12037" width="53.875" style="10" customWidth="1"/>
    <col min="12038" max="12039" width="7.125" style="10" customWidth="1"/>
    <col min="12040" max="12041" width="13.375" style="10" customWidth="1"/>
    <col min="12042" max="12042" width="8" style="10" customWidth="1"/>
    <col min="12043" max="12060" width="5.625" style="10" customWidth="1"/>
    <col min="12061" max="12061" width="9.5" style="10" bestFit="1" customWidth="1"/>
    <col min="12062" max="12288" width="9.375" style="10"/>
    <col min="12289" max="12289" width="7.125" style="10" customWidth="1"/>
    <col min="12290" max="12290" width="6.125" style="10" customWidth="1"/>
    <col min="12291" max="12291" width="14.125" style="10" customWidth="1"/>
    <col min="12292" max="12292" width="3.875" style="10" customWidth="1"/>
    <col min="12293" max="12293" width="53.875" style="10" customWidth="1"/>
    <col min="12294" max="12295" width="7.125" style="10" customWidth="1"/>
    <col min="12296" max="12297" width="13.375" style="10" customWidth="1"/>
    <col min="12298" max="12298" width="8" style="10" customWidth="1"/>
    <col min="12299" max="12316" width="5.625" style="10" customWidth="1"/>
    <col min="12317" max="12317" width="9.5" style="10" bestFit="1" customWidth="1"/>
    <col min="12318" max="12544" width="9.375" style="10"/>
    <col min="12545" max="12545" width="7.125" style="10" customWidth="1"/>
    <col min="12546" max="12546" width="6.125" style="10" customWidth="1"/>
    <col min="12547" max="12547" width="14.125" style="10" customWidth="1"/>
    <col min="12548" max="12548" width="3.875" style="10" customWidth="1"/>
    <col min="12549" max="12549" width="53.875" style="10" customWidth="1"/>
    <col min="12550" max="12551" width="7.125" style="10" customWidth="1"/>
    <col min="12552" max="12553" width="13.375" style="10" customWidth="1"/>
    <col min="12554" max="12554" width="8" style="10" customWidth="1"/>
    <col min="12555" max="12572" width="5.625" style="10" customWidth="1"/>
    <col min="12573" max="12573" width="9.5" style="10" bestFit="1" customWidth="1"/>
    <col min="12574" max="12800" width="9.375" style="10"/>
    <col min="12801" max="12801" width="7.125" style="10" customWidth="1"/>
    <col min="12802" max="12802" width="6.125" style="10" customWidth="1"/>
    <col min="12803" max="12803" width="14.125" style="10" customWidth="1"/>
    <col min="12804" max="12804" width="3.875" style="10" customWidth="1"/>
    <col min="12805" max="12805" width="53.875" style="10" customWidth="1"/>
    <col min="12806" max="12807" width="7.125" style="10" customWidth="1"/>
    <col min="12808" max="12809" width="13.375" style="10" customWidth="1"/>
    <col min="12810" max="12810" width="8" style="10" customWidth="1"/>
    <col min="12811" max="12828" width="5.625" style="10" customWidth="1"/>
    <col min="12829" max="12829" width="9.5" style="10" bestFit="1" customWidth="1"/>
    <col min="12830" max="13056" width="9.375" style="10"/>
    <col min="13057" max="13057" width="7.125" style="10" customWidth="1"/>
    <col min="13058" max="13058" width="6.125" style="10" customWidth="1"/>
    <col min="13059" max="13059" width="14.125" style="10" customWidth="1"/>
    <col min="13060" max="13060" width="3.875" style="10" customWidth="1"/>
    <col min="13061" max="13061" width="53.875" style="10" customWidth="1"/>
    <col min="13062" max="13063" width="7.125" style="10" customWidth="1"/>
    <col min="13064" max="13065" width="13.375" style="10" customWidth="1"/>
    <col min="13066" max="13066" width="8" style="10" customWidth="1"/>
    <col min="13067" max="13084" width="5.625" style="10" customWidth="1"/>
    <col min="13085" max="13085" width="9.5" style="10" bestFit="1" customWidth="1"/>
    <col min="13086" max="13312" width="9.375" style="10"/>
    <col min="13313" max="13313" width="7.125" style="10" customWidth="1"/>
    <col min="13314" max="13314" width="6.125" style="10" customWidth="1"/>
    <col min="13315" max="13315" width="14.125" style="10" customWidth="1"/>
    <col min="13316" max="13316" width="3.875" style="10" customWidth="1"/>
    <col min="13317" max="13317" width="53.875" style="10" customWidth="1"/>
    <col min="13318" max="13319" width="7.125" style="10" customWidth="1"/>
    <col min="13320" max="13321" width="13.375" style="10" customWidth="1"/>
    <col min="13322" max="13322" width="8" style="10" customWidth="1"/>
    <col min="13323" max="13340" width="5.625" style="10" customWidth="1"/>
    <col min="13341" max="13341" width="9.5" style="10" bestFit="1" customWidth="1"/>
    <col min="13342" max="13568" width="9.375" style="10"/>
    <col min="13569" max="13569" width="7.125" style="10" customWidth="1"/>
    <col min="13570" max="13570" width="6.125" style="10" customWidth="1"/>
    <col min="13571" max="13571" width="14.125" style="10" customWidth="1"/>
    <col min="13572" max="13572" width="3.875" style="10" customWidth="1"/>
    <col min="13573" max="13573" width="53.875" style="10" customWidth="1"/>
    <col min="13574" max="13575" width="7.125" style="10" customWidth="1"/>
    <col min="13576" max="13577" width="13.375" style="10" customWidth="1"/>
    <col min="13578" max="13578" width="8" style="10" customWidth="1"/>
    <col min="13579" max="13596" width="5.625" style="10" customWidth="1"/>
    <col min="13597" max="13597" width="9.5" style="10" bestFit="1" customWidth="1"/>
    <col min="13598" max="13824" width="9.375" style="10"/>
    <col min="13825" max="13825" width="7.125" style="10" customWidth="1"/>
    <col min="13826" max="13826" width="6.125" style="10" customWidth="1"/>
    <col min="13827" max="13827" width="14.125" style="10" customWidth="1"/>
    <col min="13828" max="13828" width="3.875" style="10" customWidth="1"/>
    <col min="13829" max="13829" width="53.875" style="10" customWidth="1"/>
    <col min="13830" max="13831" width="7.125" style="10" customWidth="1"/>
    <col min="13832" max="13833" width="13.375" style="10" customWidth="1"/>
    <col min="13834" max="13834" width="8" style="10" customWidth="1"/>
    <col min="13835" max="13852" width="5.625" style="10" customWidth="1"/>
    <col min="13853" max="13853" width="9.5" style="10" bestFit="1" customWidth="1"/>
    <col min="13854" max="14080" width="9.375" style="10"/>
    <col min="14081" max="14081" width="7.125" style="10" customWidth="1"/>
    <col min="14082" max="14082" width="6.125" style="10" customWidth="1"/>
    <col min="14083" max="14083" width="14.125" style="10" customWidth="1"/>
    <col min="14084" max="14084" width="3.875" style="10" customWidth="1"/>
    <col min="14085" max="14085" width="53.875" style="10" customWidth="1"/>
    <col min="14086" max="14087" width="7.125" style="10" customWidth="1"/>
    <col min="14088" max="14089" width="13.375" style="10" customWidth="1"/>
    <col min="14090" max="14090" width="8" style="10" customWidth="1"/>
    <col min="14091" max="14108" width="5.625" style="10" customWidth="1"/>
    <col min="14109" max="14109" width="9.5" style="10" bestFit="1" customWidth="1"/>
    <col min="14110" max="14336" width="9.375" style="10"/>
    <col min="14337" max="14337" width="7.125" style="10" customWidth="1"/>
    <col min="14338" max="14338" width="6.125" style="10" customWidth="1"/>
    <col min="14339" max="14339" width="14.125" style="10" customWidth="1"/>
    <col min="14340" max="14340" width="3.875" style="10" customWidth="1"/>
    <col min="14341" max="14341" width="53.875" style="10" customWidth="1"/>
    <col min="14342" max="14343" width="7.125" style="10" customWidth="1"/>
    <col min="14344" max="14345" width="13.375" style="10" customWidth="1"/>
    <col min="14346" max="14346" width="8" style="10" customWidth="1"/>
    <col min="14347" max="14364" width="5.625" style="10" customWidth="1"/>
    <col min="14365" max="14365" width="9.5" style="10" bestFit="1" customWidth="1"/>
    <col min="14366" max="14592" width="9.375" style="10"/>
    <col min="14593" max="14593" width="7.125" style="10" customWidth="1"/>
    <col min="14594" max="14594" width="6.125" style="10" customWidth="1"/>
    <col min="14595" max="14595" width="14.125" style="10" customWidth="1"/>
    <col min="14596" max="14596" width="3.875" style="10" customWidth="1"/>
    <col min="14597" max="14597" width="53.875" style="10" customWidth="1"/>
    <col min="14598" max="14599" width="7.125" style="10" customWidth="1"/>
    <col min="14600" max="14601" width="13.375" style="10" customWidth="1"/>
    <col min="14602" max="14602" width="8" style="10" customWidth="1"/>
    <col min="14603" max="14620" width="5.625" style="10" customWidth="1"/>
    <col min="14621" max="14621" width="9.5" style="10" bestFit="1" customWidth="1"/>
    <col min="14622" max="14848" width="9.375" style="10"/>
    <col min="14849" max="14849" width="7.125" style="10" customWidth="1"/>
    <col min="14850" max="14850" width="6.125" style="10" customWidth="1"/>
    <col min="14851" max="14851" width="14.125" style="10" customWidth="1"/>
    <col min="14852" max="14852" width="3.875" style="10" customWidth="1"/>
    <col min="14853" max="14853" width="53.875" style="10" customWidth="1"/>
    <col min="14854" max="14855" width="7.125" style="10" customWidth="1"/>
    <col min="14856" max="14857" width="13.375" style="10" customWidth="1"/>
    <col min="14858" max="14858" width="8" style="10" customWidth="1"/>
    <col min="14859" max="14876" width="5.625" style="10" customWidth="1"/>
    <col min="14877" max="14877" width="9.5" style="10" bestFit="1" customWidth="1"/>
    <col min="14878" max="15104" width="9.375" style="10"/>
    <col min="15105" max="15105" width="7.125" style="10" customWidth="1"/>
    <col min="15106" max="15106" width="6.125" style="10" customWidth="1"/>
    <col min="15107" max="15107" width="14.125" style="10" customWidth="1"/>
    <col min="15108" max="15108" width="3.875" style="10" customWidth="1"/>
    <col min="15109" max="15109" width="53.875" style="10" customWidth="1"/>
    <col min="15110" max="15111" width="7.125" style="10" customWidth="1"/>
    <col min="15112" max="15113" width="13.375" style="10" customWidth="1"/>
    <col min="15114" max="15114" width="8" style="10" customWidth="1"/>
    <col min="15115" max="15132" width="5.625" style="10" customWidth="1"/>
    <col min="15133" max="15133" width="9.5" style="10" bestFit="1" customWidth="1"/>
    <col min="15134" max="15360" width="9.375" style="10"/>
    <col min="15361" max="15361" width="7.125" style="10" customWidth="1"/>
    <col min="15362" max="15362" width="6.125" style="10" customWidth="1"/>
    <col min="15363" max="15363" width="14.125" style="10" customWidth="1"/>
    <col min="15364" max="15364" width="3.875" style="10" customWidth="1"/>
    <col min="15365" max="15365" width="53.875" style="10" customWidth="1"/>
    <col min="15366" max="15367" width="7.125" style="10" customWidth="1"/>
    <col min="15368" max="15369" width="13.375" style="10" customWidth="1"/>
    <col min="15370" max="15370" width="8" style="10" customWidth="1"/>
    <col min="15371" max="15388" width="5.625" style="10" customWidth="1"/>
    <col min="15389" max="15389" width="9.5" style="10" bestFit="1" customWidth="1"/>
    <col min="15390" max="15616" width="9.375" style="10"/>
    <col min="15617" max="15617" width="7.125" style="10" customWidth="1"/>
    <col min="15618" max="15618" width="6.125" style="10" customWidth="1"/>
    <col min="15619" max="15619" width="14.125" style="10" customWidth="1"/>
    <col min="15620" max="15620" width="3.875" style="10" customWidth="1"/>
    <col min="15621" max="15621" width="53.875" style="10" customWidth="1"/>
    <col min="15622" max="15623" width="7.125" style="10" customWidth="1"/>
    <col min="15624" max="15625" width="13.375" style="10" customWidth="1"/>
    <col min="15626" max="15626" width="8" style="10" customWidth="1"/>
    <col min="15627" max="15644" width="5.625" style="10" customWidth="1"/>
    <col min="15645" max="15645" width="9.5" style="10" bestFit="1" customWidth="1"/>
    <col min="15646" max="15872" width="9.375" style="10"/>
    <col min="15873" max="15873" width="7.125" style="10" customWidth="1"/>
    <col min="15874" max="15874" width="6.125" style="10" customWidth="1"/>
    <col min="15875" max="15875" width="14.125" style="10" customWidth="1"/>
    <col min="15876" max="15876" width="3.875" style="10" customWidth="1"/>
    <col min="15877" max="15877" width="53.875" style="10" customWidth="1"/>
    <col min="15878" max="15879" width="7.125" style="10" customWidth="1"/>
    <col min="15880" max="15881" width="13.375" style="10" customWidth="1"/>
    <col min="15882" max="15882" width="8" style="10" customWidth="1"/>
    <col min="15883" max="15900" width="5.625" style="10" customWidth="1"/>
    <col min="15901" max="15901" width="9.5" style="10" bestFit="1" customWidth="1"/>
    <col min="15902" max="16128" width="9.375" style="10"/>
    <col min="16129" max="16129" width="7.125" style="10" customWidth="1"/>
    <col min="16130" max="16130" width="6.125" style="10" customWidth="1"/>
    <col min="16131" max="16131" width="14.125" style="10" customWidth="1"/>
    <col min="16132" max="16132" width="3.875" style="10" customWidth="1"/>
    <col min="16133" max="16133" width="53.875" style="10" customWidth="1"/>
    <col min="16134" max="16135" width="7.125" style="10" customWidth="1"/>
    <col min="16136" max="16137" width="13.375" style="10" customWidth="1"/>
    <col min="16138" max="16138" width="8" style="10" customWidth="1"/>
    <col min="16139" max="16156" width="5.625" style="10" customWidth="1"/>
    <col min="16157" max="16157" width="9.5" style="10" bestFit="1" customWidth="1"/>
    <col min="16158" max="16384" width="9.375" style="10"/>
  </cols>
  <sheetData>
    <row r="3" spans="2:29" ht="18" x14ac:dyDescent="0.35">
      <c r="B3" s="670" t="s">
        <v>611</v>
      </c>
      <c r="C3" s="670"/>
      <c r="D3" s="670"/>
      <c r="E3" s="670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670"/>
      <c r="Q3" s="670"/>
      <c r="R3" s="670"/>
      <c r="S3" s="670"/>
      <c r="T3" s="670"/>
      <c r="U3" s="670"/>
      <c r="V3" s="670"/>
      <c r="W3" s="670"/>
      <c r="X3" s="670"/>
      <c r="Y3" s="10"/>
      <c r="Z3" s="10"/>
      <c r="AA3" s="10"/>
      <c r="AB3" s="10"/>
      <c r="AC3" s="10"/>
    </row>
    <row r="4" spans="2:29" x14ac:dyDescent="0.3">
      <c r="B4" s="552"/>
      <c r="C4" s="553"/>
      <c r="D4" s="552"/>
      <c r="E4" s="552"/>
      <c r="F4" s="552"/>
      <c r="G4" s="552"/>
      <c r="H4" s="552"/>
      <c r="I4" s="552"/>
      <c r="J4" s="552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54"/>
      <c r="W4" s="554"/>
      <c r="X4" s="554"/>
      <c r="Y4" s="554"/>
      <c r="Z4" s="554"/>
      <c r="AA4" s="554"/>
      <c r="AB4" s="554"/>
      <c r="AC4" s="554"/>
    </row>
    <row r="5" spans="2:29" x14ac:dyDescent="0.3">
      <c r="B5" s="346" t="str">
        <f>RAB!B7</f>
        <v>UNIT KERJA</v>
      </c>
      <c r="C5" s="555"/>
      <c r="D5" s="562" t="s">
        <v>2</v>
      </c>
      <c r="E5" s="3" t="str">
        <f>RAB!G7</f>
        <v>DINAS PERUMAHAN DAN KAWASAN PERMUKIMAN KABUPATEN CIANJUR</v>
      </c>
      <c r="F5" s="557"/>
      <c r="G5" s="557"/>
      <c r="H5" s="45"/>
      <c r="I5" s="556"/>
      <c r="J5" s="556"/>
      <c r="K5" s="558"/>
      <c r="L5" s="558"/>
      <c r="M5" s="558"/>
      <c r="N5" s="558"/>
      <c r="O5" s="558"/>
      <c r="P5" s="558"/>
      <c r="Q5" s="558"/>
      <c r="R5" s="558"/>
      <c r="S5" s="558"/>
      <c r="T5" s="558"/>
      <c r="U5" s="558"/>
      <c r="V5" s="558"/>
      <c r="W5" s="558"/>
      <c r="X5" s="558"/>
      <c r="Y5" s="558"/>
      <c r="Z5" s="558"/>
      <c r="AA5" s="558"/>
      <c r="AB5" s="558"/>
      <c r="AC5" s="558"/>
    </row>
    <row r="6" spans="2:29" x14ac:dyDescent="0.3">
      <c r="B6" s="346" t="str">
        <f>RAB!B8</f>
        <v>PROGRAM</v>
      </c>
      <c r="C6" s="555"/>
      <c r="D6" s="562" t="s">
        <v>2</v>
      </c>
      <c r="E6" s="3" t="str">
        <f>RAB!G8</f>
        <v>PROGRAM PENGELOLAAN DAN PENGEMBANGAN SISTEM PENYEDIAAN AIR MINUM</v>
      </c>
      <c r="F6" s="557"/>
      <c r="G6" s="557"/>
      <c r="H6" s="45"/>
      <c r="I6" s="556"/>
      <c r="J6" s="556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</row>
    <row r="7" spans="2:29" x14ac:dyDescent="0.3">
      <c r="B7" s="346" t="str">
        <f>RAB!B9</f>
        <v>KEGIATAN</v>
      </c>
      <c r="C7" s="555"/>
      <c r="D7" s="562" t="s">
        <v>2</v>
      </c>
      <c r="E7" s="3" t="str">
        <f>RAB!G9</f>
        <v>PENGELOLAAN DAN PENGEMBANGAN SISTEM PENYEDIAAN AIR MINUM (SPAM) DI DAERAH KABUPATEN/KOTA</v>
      </c>
      <c r="F7" s="557"/>
      <c r="G7" s="557"/>
      <c r="H7" s="45"/>
      <c r="I7" s="556"/>
      <c r="J7" s="556"/>
      <c r="K7" s="558"/>
      <c r="L7" s="558"/>
      <c r="M7" s="558"/>
      <c r="N7" s="558"/>
      <c r="O7" s="558"/>
      <c r="P7" s="558"/>
      <c r="Q7" s="558"/>
      <c r="R7" s="558"/>
      <c r="S7" s="558"/>
      <c r="T7" s="558"/>
      <c r="U7" s="558"/>
      <c r="V7" s="558"/>
      <c r="W7" s="558"/>
      <c r="X7" s="558"/>
      <c r="Y7" s="558"/>
      <c r="Z7" s="558"/>
      <c r="AA7" s="558"/>
      <c r="AB7" s="558"/>
      <c r="AC7" s="558"/>
    </row>
    <row r="8" spans="2:29" x14ac:dyDescent="0.3">
      <c r="B8" s="346" t="str">
        <f>RAB!B10</f>
        <v>SUB KEGIATAN</v>
      </c>
      <c r="C8" s="555"/>
      <c r="D8" s="562" t="s">
        <v>2</v>
      </c>
      <c r="E8" s="3" t="str">
        <f>RAB!G10</f>
        <v>PEMBANGUNAN SPAM BUKAN JARINGAN PERPIPAAN DI KAWASAN PERDESAAN</v>
      </c>
      <c r="F8" s="557"/>
      <c r="G8" s="557"/>
      <c r="H8" s="45"/>
      <c r="I8" s="556"/>
      <c r="J8" s="556"/>
      <c r="K8" s="558"/>
      <c r="L8" s="558"/>
      <c r="M8" s="558"/>
      <c r="N8" s="558"/>
      <c r="O8" s="558"/>
      <c r="P8" s="558"/>
      <c r="Q8" s="558"/>
      <c r="R8" s="558"/>
      <c r="S8" s="558"/>
      <c r="T8" s="558"/>
      <c r="U8" s="558"/>
      <c r="V8" s="558"/>
      <c r="W8" s="558"/>
      <c r="X8" s="558"/>
      <c r="Y8" s="558"/>
      <c r="Z8" s="558"/>
      <c r="AA8" s="558"/>
      <c r="AB8" s="558"/>
      <c r="AC8" s="558"/>
    </row>
    <row r="9" spans="2:29" x14ac:dyDescent="0.3">
      <c r="B9" s="346" t="str">
        <f>RAB!B11</f>
        <v>PEKERJAAN</v>
      </c>
      <c r="C9" s="555"/>
      <c r="D9" s="562" t="s">
        <v>2</v>
      </c>
      <c r="E9" s="3" t="str">
        <f>RAB!G11</f>
        <v>KURANGYA AIR BERSIH PESANTREN AL MARUF RT.03 RW.01 KP.BOBOJONG DESA BOBOJONG KECAMATAN MANDE</v>
      </c>
      <c r="F9" s="557"/>
      <c r="G9" s="557"/>
      <c r="H9" s="45"/>
      <c r="I9" s="556"/>
      <c r="J9" s="556"/>
      <c r="K9" s="558"/>
      <c r="L9" s="558"/>
      <c r="M9" s="558"/>
      <c r="N9" s="558"/>
      <c r="O9" s="558"/>
      <c r="P9" s="558"/>
      <c r="Q9" s="558"/>
      <c r="R9" s="558"/>
      <c r="S9" s="558"/>
      <c r="T9" s="558"/>
      <c r="U9" s="558"/>
      <c r="V9" s="558"/>
      <c r="W9" s="558"/>
      <c r="X9" s="558"/>
      <c r="Y9" s="558"/>
      <c r="Z9" s="558"/>
      <c r="AA9" s="558"/>
      <c r="AB9" s="558"/>
      <c r="AC9" s="558"/>
    </row>
    <row r="10" spans="2:29" x14ac:dyDescent="0.3">
      <c r="B10" s="346" t="str">
        <f>RAB!B12</f>
        <v>LOKASI</v>
      </c>
      <c r="C10" s="555"/>
      <c r="D10" s="562" t="s">
        <v>2</v>
      </c>
      <c r="E10" s="3" t="str">
        <f>RAB!G12</f>
        <v>PESANTREN AL MARUF RT.03 RW.01 KP.BOBOJONG DESA BOBOJONG KECAMATAN MANDE</v>
      </c>
      <c r="F10" s="1"/>
      <c r="G10" s="1"/>
      <c r="H10" s="1"/>
      <c r="I10" s="556"/>
      <c r="J10" s="556"/>
      <c r="K10" s="558"/>
      <c r="L10" s="558"/>
      <c r="M10" s="558"/>
      <c r="N10" s="558"/>
      <c r="O10" s="558"/>
      <c r="P10" s="558"/>
      <c r="Q10" s="558"/>
      <c r="R10" s="558"/>
      <c r="S10" s="558"/>
      <c r="T10" s="558"/>
      <c r="U10" s="558"/>
      <c r="V10" s="558"/>
      <c r="W10" s="558"/>
      <c r="X10" s="558"/>
      <c r="Y10" s="558"/>
      <c r="Z10" s="558"/>
      <c r="AA10" s="558"/>
      <c r="AB10" s="558"/>
      <c r="AC10" s="558"/>
    </row>
    <row r="11" spans="2:29" x14ac:dyDescent="0.3">
      <c r="B11" s="346" t="str">
        <f>RAB!B13</f>
        <v>SUMBER DANA</v>
      </c>
      <c r="C11" s="555"/>
      <c r="D11" s="562" t="s">
        <v>2</v>
      </c>
      <c r="E11" s="3" t="str">
        <f>RAB!G13</f>
        <v>DAU</v>
      </c>
      <c r="F11" s="3"/>
      <c r="G11" s="3"/>
      <c r="H11" s="3"/>
      <c r="I11" s="556"/>
      <c r="J11" s="556"/>
      <c r="K11" s="558"/>
      <c r="L11" s="558"/>
      <c r="M11" s="558"/>
      <c r="N11" s="558"/>
      <c r="O11" s="558"/>
      <c r="P11" s="558"/>
      <c r="Q11" s="558"/>
      <c r="R11" s="558"/>
      <c r="S11" s="558"/>
      <c r="T11" s="558"/>
      <c r="U11" s="558"/>
      <c r="V11" s="558"/>
      <c r="W11" s="558"/>
      <c r="X11" s="558"/>
      <c r="Y11" s="558"/>
      <c r="Z11" s="558"/>
      <c r="AA11" s="558"/>
      <c r="AB11" s="558"/>
      <c r="AC11" s="558"/>
    </row>
    <row r="12" spans="2:29" x14ac:dyDescent="0.3">
      <c r="B12" s="346" t="str">
        <f>RAB!B14</f>
        <v>TAHUN ANGGARAN</v>
      </c>
      <c r="C12" s="555"/>
      <c r="D12" s="562" t="s">
        <v>2</v>
      </c>
      <c r="E12" s="3">
        <f>RAB!G14</f>
        <v>2026</v>
      </c>
      <c r="F12" s="3"/>
      <c r="G12" s="3"/>
      <c r="H12" s="3"/>
      <c r="I12" s="556"/>
      <c r="J12" s="556"/>
      <c r="K12" s="558"/>
      <c r="L12" s="558"/>
      <c r="M12" s="558"/>
      <c r="N12" s="558"/>
      <c r="O12" s="558"/>
      <c r="P12" s="558"/>
      <c r="Q12" s="558"/>
      <c r="R12" s="558"/>
      <c r="S12" s="558"/>
      <c r="T12" s="558"/>
      <c r="U12" s="558"/>
      <c r="V12" s="558"/>
      <c r="W12" s="558"/>
      <c r="X12" s="558"/>
      <c r="Y12" s="558"/>
      <c r="Z12" s="558"/>
      <c r="AA12" s="558"/>
      <c r="AB12" s="558"/>
      <c r="AC12" s="558"/>
    </row>
    <row r="13" spans="2:29" ht="14.4" thickBot="1" x14ac:dyDescent="0.35">
      <c r="B13" s="559"/>
      <c r="C13" s="555"/>
      <c r="D13" s="559"/>
      <c r="E13" s="559"/>
      <c r="F13" s="559"/>
      <c r="G13" s="559"/>
      <c r="H13" s="559"/>
      <c r="I13" s="559"/>
      <c r="J13" s="559"/>
    </row>
    <row r="14" spans="2:29" x14ac:dyDescent="0.3">
      <c r="B14" s="636"/>
      <c r="C14" s="637"/>
      <c r="D14" s="638"/>
      <c r="E14" s="639"/>
      <c r="F14" s="639"/>
      <c r="G14" s="639"/>
      <c r="H14" s="639" t="s">
        <v>212</v>
      </c>
      <c r="I14" s="639" t="s">
        <v>522</v>
      </c>
      <c r="J14" s="1617" t="s">
        <v>612</v>
      </c>
      <c r="K14" s="1619" t="s">
        <v>613</v>
      </c>
      <c r="L14" s="1619"/>
      <c r="M14" s="1619"/>
      <c r="N14" s="1619"/>
      <c r="O14" s="1619"/>
      <c r="P14" s="1619"/>
      <c r="Q14" s="1619"/>
      <c r="R14" s="1619"/>
      <c r="S14" s="1619"/>
      <c r="T14" s="1619"/>
      <c r="U14" s="1619"/>
      <c r="V14" s="1619"/>
      <c r="W14" s="1619"/>
      <c r="X14" s="1619"/>
      <c r="Y14" s="1619"/>
      <c r="Z14" s="1619"/>
      <c r="AA14" s="1619"/>
      <c r="AB14" s="1620"/>
      <c r="AC14" s="1621" t="s">
        <v>614</v>
      </c>
    </row>
    <row r="15" spans="2:29" x14ac:dyDescent="0.3">
      <c r="B15" s="640" t="s">
        <v>9</v>
      </c>
      <c r="C15" s="1624" t="s">
        <v>10</v>
      </c>
      <c r="D15" s="1625"/>
      <c r="E15" s="1626"/>
      <c r="F15" s="641" t="s">
        <v>615</v>
      </c>
      <c r="G15" s="642" t="s">
        <v>210</v>
      </c>
      <c r="H15" s="642" t="s">
        <v>11</v>
      </c>
      <c r="I15" s="642" t="s">
        <v>212</v>
      </c>
      <c r="J15" s="1618"/>
      <c r="K15" s="1627" t="s">
        <v>616</v>
      </c>
      <c r="L15" s="1627"/>
      <c r="M15" s="1627"/>
      <c r="N15" s="1627"/>
      <c r="O15" s="1627"/>
      <c r="P15" s="1627"/>
      <c r="Q15" s="1627"/>
      <c r="R15" s="1627"/>
      <c r="S15" s="1627"/>
      <c r="T15" s="1627"/>
      <c r="U15" s="1627"/>
      <c r="V15" s="1627"/>
      <c r="W15" s="1627"/>
      <c r="X15" s="1627"/>
      <c r="Y15" s="1627"/>
      <c r="Z15" s="1627"/>
      <c r="AA15" s="1627"/>
      <c r="AB15" s="1628"/>
      <c r="AC15" s="1622"/>
    </row>
    <row r="16" spans="2:29" x14ac:dyDescent="0.3">
      <c r="B16" s="643"/>
      <c r="C16" s="644"/>
      <c r="D16" s="645"/>
      <c r="E16" s="646"/>
      <c r="F16" s="646"/>
      <c r="G16" s="646"/>
      <c r="H16" s="647" t="s">
        <v>617</v>
      </c>
      <c r="I16" s="647" t="s">
        <v>617</v>
      </c>
      <c r="J16" s="647" t="s">
        <v>618</v>
      </c>
      <c r="K16" s="648">
        <v>1</v>
      </c>
      <c r="L16" s="648">
        <v>2</v>
      </c>
      <c r="M16" s="648">
        <v>3</v>
      </c>
      <c r="N16" s="648">
        <v>4</v>
      </c>
      <c r="O16" s="648">
        <v>5</v>
      </c>
      <c r="P16" s="648">
        <v>6</v>
      </c>
      <c r="Q16" s="648">
        <v>7</v>
      </c>
      <c r="R16" s="648">
        <v>8</v>
      </c>
      <c r="S16" s="648">
        <v>9</v>
      </c>
      <c r="T16" s="648">
        <v>10</v>
      </c>
      <c r="U16" s="648">
        <v>11</v>
      </c>
      <c r="V16" s="648">
        <v>12</v>
      </c>
      <c r="W16" s="648">
        <v>13</v>
      </c>
      <c r="X16" s="648">
        <v>14</v>
      </c>
      <c r="Y16" s="648">
        <v>15</v>
      </c>
      <c r="Z16" s="648">
        <v>16</v>
      </c>
      <c r="AA16" s="648">
        <v>17</v>
      </c>
      <c r="AB16" s="648">
        <v>18</v>
      </c>
      <c r="AC16" s="1623"/>
    </row>
    <row r="17" spans="2:29" x14ac:dyDescent="0.3">
      <c r="B17" s="561"/>
      <c r="C17" s="555"/>
      <c r="D17" s="559"/>
      <c r="E17" s="565"/>
      <c r="F17" s="566"/>
      <c r="G17" s="565"/>
      <c r="H17" s="567"/>
      <c r="I17" s="567"/>
      <c r="J17" s="567"/>
      <c r="K17" s="568"/>
      <c r="L17" s="568"/>
      <c r="M17" s="568"/>
      <c r="N17" s="568"/>
      <c r="O17" s="568"/>
      <c r="P17" s="568"/>
      <c r="Q17" s="568"/>
      <c r="R17" s="568"/>
      <c r="S17" s="568"/>
      <c r="T17" s="568"/>
      <c r="U17" s="568"/>
      <c r="V17" s="568"/>
      <c r="W17" s="568"/>
      <c r="X17" s="568"/>
      <c r="Y17" s="568"/>
      <c r="Z17" s="568"/>
      <c r="AA17" s="568"/>
      <c r="AB17" s="568"/>
      <c r="AC17" s="569"/>
    </row>
    <row r="18" spans="2:29" ht="20.100000000000001" customHeight="1" thickBot="1" x14ac:dyDescent="0.35">
      <c r="B18" s="570" t="str">
        <f>RAB!B22</f>
        <v>I</v>
      </c>
      <c r="C18" s="555" t="str">
        <f>RAB!C22</f>
        <v>PEKERJAAN PERSIAPAN</v>
      </c>
      <c r="D18" s="559"/>
      <c r="E18" s="565"/>
      <c r="F18" s="571">
        <f>RAB!I22</f>
        <v>1</v>
      </c>
      <c r="G18" s="825" t="str">
        <f>RAB!H22</f>
        <v>Pkt</v>
      </c>
      <c r="H18" s="567">
        <f>RAB!K22</f>
        <v>3750000</v>
      </c>
      <c r="I18" s="567">
        <f>H18</f>
        <v>3750000</v>
      </c>
      <c r="J18" s="567">
        <f t="shared" ref="J18:J24" si="0">I18/$I$26*100</f>
        <v>4.6285897355172638</v>
      </c>
      <c r="K18" s="572">
        <f>+J18/18</f>
        <v>0.25714387419540352</v>
      </c>
      <c r="L18" s="573">
        <f t="shared" ref="L18:AA18" si="1">+K18</f>
        <v>0.25714387419540352</v>
      </c>
      <c r="M18" s="573">
        <f t="shared" si="1"/>
        <v>0.25714387419540352</v>
      </c>
      <c r="N18" s="573">
        <f t="shared" si="1"/>
        <v>0.25714387419540352</v>
      </c>
      <c r="O18" s="573">
        <f t="shared" si="1"/>
        <v>0.25714387419540352</v>
      </c>
      <c r="P18" s="573">
        <f t="shared" si="1"/>
        <v>0.25714387419540352</v>
      </c>
      <c r="Q18" s="573">
        <f t="shared" si="1"/>
        <v>0.25714387419540352</v>
      </c>
      <c r="R18" s="573">
        <f t="shared" si="1"/>
        <v>0.25714387419540352</v>
      </c>
      <c r="S18" s="573">
        <f t="shared" si="1"/>
        <v>0.25714387419540352</v>
      </c>
      <c r="T18" s="573">
        <f t="shared" si="1"/>
        <v>0.25714387419540352</v>
      </c>
      <c r="U18" s="573">
        <f t="shared" si="1"/>
        <v>0.25714387419540352</v>
      </c>
      <c r="V18" s="573">
        <f t="shared" si="1"/>
        <v>0.25714387419540352</v>
      </c>
      <c r="W18" s="573">
        <f t="shared" si="1"/>
        <v>0.25714387419540352</v>
      </c>
      <c r="X18" s="573">
        <f t="shared" si="1"/>
        <v>0.25714387419540352</v>
      </c>
      <c r="Y18" s="573">
        <f t="shared" si="1"/>
        <v>0.25714387419540352</v>
      </c>
      <c r="Z18" s="573">
        <f t="shared" si="1"/>
        <v>0.25714387419540352</v>
      </c>
      <c r="AA18" s="573">
        <f t="shared" si="1"/>
        <v>0.25714387419540352</v>
      </c>
      <c r="AB18" s="573">
        <f t="shared" ref="L18:AB19" si="2">+AA18</f>
        <v>0.25714387419540352</v>
      </c>
      <c r="AC18" s="569"/>
    </row>
    <row r="19" spans="2:29" ht="20.100000000000001" customHeight="1" thickTop="1" thickBot="1" x14ac:dyDescent="0.35">
      <c r="B19" s="570" t="str">
        <f>RAB!B38</f>
        <v>VI</v>
      </c>
      <c r="C19" s="555" t="str">
        <f>RAB!C38</f>
        <v>PENYELENGGARAAN SISTEM MANAJEMEN KESELAMATAN KONSTRUKSI (SMKK)</v>
      </c>
      <c r="D19" s="559"/>
      <c r="E19" s="565"/>
      <c r="F19" s="571">
        <f>RAB!I24</f>
        <v>1</v>
      </c>
      <c r="G19" s="825" t="str">
        <f>RAB!H24</f>
        <v>Unit</v>
      </c>
      <c r="H19" s="567">
        <f>RAB!K24</f>
        <v>73904004.159989282</v>
      </c>
      <c r="I19" s="567">
        <f t="shared" ref="I19:I24" si="3">H19</f>
        <v>73904004.159989282</v>
      </c>
      <c r="J19" s="567">
        <f t="shared" si="0"/>
        <v>91.219017351613758</v>
      </c>
      <c r="K19" s="572">
        <f>+J19/18</f>
        <v>5.0677231862007641</v>
      </c>
      <c r="L19" s="573">
        <f t="shared" si="2"/>
        <v>5.0677231862007641</v>
      </c>
      <c r="M19" s="573">
        <f t="shared" si="2"/>
        <v>5.0677231862007641</v>
      </c>
      <c r="N19" s="573">
        <f t="shared" si="2"/>
        <v>5.0677231862007641</v>
      </c>
      <c r="O19" s="573">
        <f t="shared" si="2"/>
        <v>5.0677231862007641</v>
      </c>
      <c r="P19" s="573">
        <f t="shared" si="2"/>
        <v>5.0677231862007641</v>
      </c>
      <c r="Q19" s="573">
        <f t="shared" si="2"/>
        <v>5.0677231862007641</v>
      </c>
      <c r="R19" s="573">
        <f t="shared" si="2"/>
        <v>5.0677231862007641</v>
      </c>
      <c r="S19" s="573">
        <f t="shared" si="2"/>
        <v>5.0677231862007641</v>
      </c>
      <c r="T19" s="573">
        <f t="shared" si="2"/>
        <v>5.0677231862007641</v>
      </c>
      <c r="U19" s="573">
        <f t="shared" si="2"/>
        <v>5.0677231862007641</v>
      </c>
      <c r="V19" s="573">
        <f t="shared" si="2"/>
        <v>5.0677231862007641</v>
      </c>
      <c r="W19" s="573">
        <f t="shared" si="2"/>
        <v>5.0677231862007641</v>
      </c>
      <c r="X19" s="573">
        <f t="shared" si="2"/>
        <v>5.0677231862007641</v>
      </c>
      <c r="Y19" s="573">
        <f t="shared" si="2"/>
        <v>5.0677231862007641</v>
      </c>
      <c r="Z19" s="573">
        <f t="shared" si="2"/>
        <v>5.0677231862007641</v>
      </c>
      <c r="AA19" s="573">
        <f t="shared" si="2"/>
        <v>5.0677231862007641</v>
      </c>
      <c r="AB19" s="573">
        <f t="shared" si="2"/>
        <v>5.0677231862007641</v>
      </c>
      <c r="AC19" s="569"/>
    </row>
    <row r="20" spans="2:29" ht="20.100000000000001" customHeight="1" thickTop="1" thickBot="1" x14ac:dyDescent="0.35">
      <c r="B20" s="570" t="str">
        <f>RAB!B28</f>
        <v>IV</v>
      </c>
      <c r="C20" s="555" t="str">
        <f>RAB!C28</f>
        <v>PENGADAAN DAN PEMASANGAN PIPA DAN ASESORIS</v>
      </c>
      <c r="D20" s="559"/>
      <c r="E20" s="565"/>
      <c r="F20" s="571">
        <f>RAB!I28</f>
        <v>1</v>
      </c>
      <c r="G20" s="825" t="str">
        <f>RAB!H28</f>
        <v>Pkt</v>
      </c>
      <c r="H20" s="567">
        <f>RAB!K28</f>
        <v>2364193.915</v>
      </c>
      <c r="I20" s="567">
        <f t="shared" si="3"/>
        <v>2364193.915</v>
      </c>
      <c r="J20" s="567">
        <f t="shared" si="0"/>
        <v>2.9181023167310336</v>
      </c>
      <c r="K20" s="574"/>
      <c r="L20" s="575"/>
      <c r="M20" s="575"/>
      <c r="N20" s="575"/>
      <c r="O20" s="575"/>
      <c r="P20" s="828">
        <f>J20/7</f>
        <v>0.41687175953300482</v>
      </c>
      <c r="Q20" s="828">
        <f>P20</f>
        <v>0.41687175953300482</v>
      </c>
      <c r="R20" s="828">
        <f t="shared" ref="R20:V20" si="4">Q20</f>
        <v>0.41687175953300482</v>
      </c>
      <c r="S20" s="828">
        <f t="shared" si="4"/>
        <v>0.41687175953300482</v>
      </c>
      <c r="T20" s="828">
        <f t="shared" si="4"/>
        <v>0.41687175953300482</v>
      </c>
      <c r="U20" s="828">
        <f t="shared" si="4"/>
        <v>0.41687175953300482</v>
      </c>
      <c r="V20" s="828">
        <f t="shared" si="4"/>
        <v>0.41687175953300482</v>
      </c>
      <c r="W20" s="575"/>
      <c r="X20" s="575"/>
      <c r="Y20" s="575"/>
      <c r="Z20" s="575"/>
      <c r="AA20" s="575"/>
      <c r="AB20" s="575"/>
      <c r="AC20" s="569"/>
    </row>
    <row r="21" spans="2:29" ht="20.100000000000001" customHeight="1" thickTop="1" thickBot="1" x14ac:dyDescent="0.35">
      <c r="B21" s="570" t="str">
        <f>RAB!B32</f>
        <v>V</v>
      </c>
      <c r="C21" s="555" t="str">
        <f>RAB!C32</f>
        <v xml:space="preserve">PEKERJAAN SAMBUNGAN RUMAH </v>
      </c>
      <c r="D21" s="559"/>
      <c r="E21" s="565"/>
      <c r="F21" s="571">
        <f>RAB!I32</f>
        <v>0</v>
      </c>
      <c r="G21" s="825" t="str">
        <f>RAB!H32</f>
        <v>Unit</v>
      </c>
      <c r="H21" s="567">
        <f>RAB!K32</f>
        <v>0</v>
      </c>
      <c r="I21" s="567">
        <f t="shared" si="3"/>
        <v>0</v>
      </c>
      <c r="J21" s="567">
        <f t="shared" si="0"/>
        <v>0</v>
      </c>
      <c r="K21" s="576"/>
      <c r="L21" s="577"/>
      <c r="M21" s="827"/>
      <c r="N21" s="827"/>
      <c r="O21" s="827"/>
      <c r="P21" s="577"/>
      <c r="Q21" s="577"/>
      <c r="R21" s="577"/>
      <c r="S21" s="578"/>
      <c r="T21" s="575"/>
      <c r="U21" s="575"/>
      <c r="V21" s="575"/>
      <c r="W21" s="573">
        <f>J21/5</f>
        <v>0</v>
      </c>
      <c r="X21" s="573">
        <f>W21</f>
        <v>0</v>
      </c>
      <c r="Y21" s="573">
        <f>+X21</f>
        <v>0</v>
      </c>
      <c r="Z21" s="573">
        <f>+Y21</f>
        <v>0</v>
      </c>
      <c r="AA21" s="573">
        <f>+Z21</f>
        <v>0</v>
      </c>
      <c r="AB21" s="575"/>
      <c r="AC21" s="569"/>
    </row>
    <row r="22" spans="2:29" ht="20.100000000000001" customHeight="1" thickTop="1" thickBot="1" x14ac:dyDescent="0.35">
      <c r="B22" s="570" t="str">
        <f>RAB!B34</f>
        <v>V</v>
      </c>
      <c r="C22" s="555" t="str">
        <f>RAB!C34</f>
        <v>PEMBUATAN RESERVOIR 25 M3</v>
      </c>
      <c r="D22" s="559"/>
      <c r="E22" s="565"/>
      <c r="F22" s="571">
        <f>RAB!I34</f>
        <v>1</v>
      </c>
      <c r="G22" s="825" t="str">
        <f>RAB!H34</f>
        <v>Unit</v>
      </c>
      <c r="H22" s="567">
        <f>RAB!K34</f>
        <v>0</v>
      </c>
      <c r="I22" s="567">
        <f t="shared" si="3"/>
        <v>0</v>
      </c>
      <c r="J22" s="567">
        <f t="shared" si="0"/>
        <v>0</v>
      </c>
      <c r="K22" s="827"/>
      <c r="L22" s="827"/>
      <c r="M22" s="826">
        <f>J22/3</f>
        <v>0</v>
      </c>
      <c r="N22" s="826">
        <f>M22</f>
        <v>0</v>
      </c>
      <c r="O22" s="826">
        <f>N22</f>
        <v>0</v>
      </c>
      <c r="P22" s="827"/>
      <c r="Q22" s="827"/>
      <c r="R22" s="827"/>
      <c r="S22" s="830"/>
      <c r="T22" s="830"/>
      <c r="U22" s="830"/>
      <c r="V22" s="830"/>
      <c r="W22" s="830"/>
      <c r="X22" s="830"/>
      <c r="Y22" s="830"/>
      <c r="Z22" s="830"/>
      <c r="AA22" s="578"/>
      <c r="AB22" s="575"/>
      <c r="AC22" s="569"/>
    </row>
    <row r="23" spans="2:29" ht="20.100000000000001" customHeight="1" thickTop="1" thickBot="1" x14ac:dyDescent="0.35">
      <c r="B23" s="570" t="str">
        <f>RAB!B36</f>
        <v>VI</v>
      </c>
      <c r="C23" s="829" t="str">
        <f>RAB!C36</f>
        <v>PEKERJAAN PERLINTASAN ( CROSSING, JEMBATAN PIPA )</v>
      </c>
      <c r="D23" s="559"/>
      <c r="E23" s="565"/>
      <c r="F23" s="571">
        <f>RAB!I36</f>
        <v>1</v>
      </c>
      <c r="G23" s="825" t="str">
        <f>RAB!H36</f>
        <v>Unit</v>
      </c>
      <c r="H23" s="567">
        <f>RAB!K36</f>
        <v>0</v>
      </c>
      <c r="I23" s="567">
        <f t="shared" si="3"/>
        <v>0</v>
      </c>
      <c r="J23" s="567">
        <f t="shared" si="0"/>
        <v>0</v>
      </c>
      <c r="K23" s="827"/>
      <c r="L23" s="827"/>
      <c r="M23" s="831"/>
      <c r="N23" s="831"/>
      <c r="O23" s="831"/>
      <c r="P23" s="827"/>
      <c r="Q23" s="827"/>
      <c r="R23" s="826">
        <f>J23</f>
        <v>0</v>
      </c>
      <c r="S23" s="830"/>
      <c r="T23" s="830"/>
      <c r="U23" s="830"/>
      <c r="V23" s="830"/>
      <c r="W23" s="830"/>
      <c r="X23" s="830"/>
      <c r="Y23" s="830"/>
      <c r="Z23" s="830"/>
      <c r="AA23" s="578"/>
      <c r="AB23" s="575"/>
      <c r="AC23" s="569"/>
    </row>
    <row r="24" spans="2:29" ht="20.100000000000001" customHeight="1" thickTop="1" thickBot="1" x14ac:dyDescent="0.35">
      <c r="B24" s="570" t="str">
        <f>RAB!B38</f>
        <v>VI</v>
      </c>
      <c r="C24" s="555" t="str">
        <f>RAB!C38</f>
        <v>PENYELENGGARAAN SISTEM MANAJEMEN KESELAMATAN KONSTRUKSI (SMKK)</v>
      </c>
      <c r="D24" s="559"/>
      <c r="E24" s="565"/>
      <c r="F24" s="571">
        <f>RAB!I38</f>
        <v>1</v>
      </c>
      <c r="G24" s="825" t="str">
        <f>RAB!H38</f>
        <v>Pkt</v>
      </c>
      <c r="H24" s="567">
        <f>RAB!K38</f>
        <v>1000000</v>
      </c>
      <c r="I24" s="567">
        <f t="shared" si="3"/>
        <v>1000000</v>
      </c>
      <c r="J24" s="567">
        <f t="shared" si="0"/>
        <v>1.2342905961379371</v>
      </c>
      <c r="K24" s="572">
        <f>+J24/18</f>
        <v>6.8571699785440948E-2</v>
      </c>
      <c r="L24" s="573">
        <f t="shared" ref="L24" si="5">+K24</f>
        <v>6.8571699785440948E-2</v>
      </c>
      <c r="M24" s="573">
        <f t="shared" ref="M24" si="6">+L24</f>
        <v>6.8571699785440948E-2</v>
      </c>
      <c r="N24" s="573">
        <f t="shared" ref="N24" si="7">+M24</f>
        <v>6.8571699785440948E-2</v>
      </c>
      <c r="O24" s="573">
        <f t="shared" ref="O24" si="8">+N24</f>
        <v>6.8571699785440948E-2</v>
      </c>
      <c r="P24" s="573">
        <f t="shared" ref="P24" si="9">+O24</f>
        <v>6.8571699785440948E-2</v>
      </c>
      <c r="Q24" s="573">
        <f t="shared" ref="Q24" si="10">+P24</f>
        <v>6.8571699785440948E-2</v>
      </c>
      <c r="R24" s="573">
        <f t="shared" ref="R24" si="11">+Q24</f>
        <v>6.8571699785440948E-2</v>
      </c>
      <c r="S24" s="573">
        <f t="shared" ref="S24" si="12">+R24</f>
        <v>6.8571699785440948E-2</v>
      </c>
      <c r="T24" s="573">
        <f t="shared" ref="T24" si="13">+S24</f>
        <v>6.8571699785440948E-2</v>
      </c>
      <c r="U24" s="573">
        <f t="shared" ref="U24" si="14">+T24</f>
        <v>6.8571699785440948E-2</v>
      </c>
      <c r="V24" s="573">
        <f t="shared" ref="V24" si="15">+U24</f>
        <v>6.8571699785440948E-2</v>
      </c>
      <c r="W24" s="573">
        <f t="shared" ref="W24" si="16">+V24</f>
        <v>6.8571699785440948E-2</v>
      </c>
      <c r="X24" s="573">
        <f t="shared" ref="X24" si="17">+W24</f>
        <v>6.8571699785440948E-2</v>
      </c>
      <c r="Y24" s="573">
        <f t="shared" ref="Y24" si="18">+X24</f>
        <v>6.8571699785440948E-2</v>
      </c>
      <c r="Z24" s="573">
        <f t="shared" ref="Z24" si="19">+Y24</f>
        <v>6.8571699785440948E-2</v>
      </c>
      <c r="AA24" s="573">
        <f t="shared" ref="AA24" si="20">+Z24</f>
        <v>6.8571699785440948E-2</v>
      </c>
      <c r="AB24" s="573">
        <f t="shared" ref="AB24" si="21">+AA24</f>
        <v>6.8571699785440948E-2</v>
      </c>
      <c r="AC24" s="569"/>
    </row>
    <row r="25" spans="2:29" ht="14.4" thickTop="1" x14ac:dyDescent="0.3">
      <c r="B25" s="561"/>
      <c r="C25" s="555"/>
      <c r="D25" s="559"/>
      <c r="E25" s="564"/>
      <c r="F25" s="571"/>
      <c r="G25" s="563"/>
      <c r="H25" s="567"/>
      <c r="I25" s="567"/>
      <c r="J25" s="567"/>
      <c r="K25" s="568"/>
      <c r="L25" s="568"/>
      <c r="M25" s="568"/>
      <c r="N25" s="568"/>
      <c r="O25" s="568"/>
      <c r="P25" s="568"/>
      <c r="Q25" s="568"/>
      <c r="R25" s="568"/>
      <c r="S25" s="568"/>
      <c r="T25" s="568"/>
      <c r="U25" s="568"/>
      <c r="V25" s="568"/>
      <c r="W25" s="568"/>
      <c r="X25" s="568"/>
      <c r="Y25" s="568"/>
      <c r="Z25" s="568"/>
      <c r="AA25" s="568"/>
      <c r="AB25" s="568"/>
      <c r="AC25" s="569"/>
    </row>
    <row r="26" spans="2:29" ht="14.4" thickBot="1" x14ac:dyDescent="0.35">
      <c r="B26" s="649"/>
      <c r="C26" s="650" t="s">
        <v>522</v>
      </c>
      <c r="D26" s="651"/>
      <c r="E26" s="651"/>
      <c r="F26" s="652"/>
      <c r="G26" s="652"/>
      <c r="H26" s="653"/>
      <c r="I26" s="654">
        <f>SUM(I18:I25)</f>
        <v>81018198.074989289</v>
      </c>
      <c r="J26" s="654">
        <f>SUM(J18:J25)</f>
        <v>100</v>
      </c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55"/>
      <c r="AB26" s="655"/>
      <c r="AC26" s="656"/>
    </row>
    <row r="27" spans="2:29" ht="14.4" thickTop="1" x14ac:dyDescent="0.3">
      <c r="B27" s="657"/>
      <c r="C27" s="658" t="s">
        <v>619</v>
      </c>
      <c r="D27" s="659"/>
      <c r="E27" s="659"/>
      <c r="F27" s="659"/>
      <c r="G27" s="659"/>
      <c r="H27" s="659"/>
      <c r="I27" s="659"/>
      <c r="J27" s="660"/>
      <c r="K27" s="661">
        <f>SUM(K18:K25)</f>
        <v>5.3934387601816081</v>
      </c>
      <c r="L27" s="661">
        <f t="shared" ref="L27:AB27" si="22">SUM(L18:L25)</f>
        <v>5.3934387601816081</v>
      </c>
      <c r="M27" s="661">
        <f t="shared" si="22"/>
        <v>5.3934387601816081</v>
      </c>
      <c r="N27" s="661">
        <f t="shared" si="22"/>
        <v>5.3934387601816081</v>
      </c>
      <c r="O27" s="661">
        <f t="shared" si="22"/>
        <v>5.3934387601816081</v>
      </c>
      <c r="P27" s="661">
        <f t="shared" si="22"/>
        <v>5.810310519714613</v>
      </c>
      <c r="Q27" s="661">
        <f t="shared" si="22"/>
        <v>5.810310519714613</v>
      </c>
      <c r="R27" s="661">
        <f t="shared" si="22"/>
        <v>5.810310519714613</v>
      </c>
      <c r="S27" s="661">
        <f t="shared" si="22"/>
        <v>5.810310519714613</v>
      </c>
      <c r="T27" s="661">
        <f t="shared" si="22"/>
        <v>5.810310519714613</v>
      </c>
      <c r="U27" s="661">
        <f t="shared" si="22"/>
        <v>5.810310519714613</v>
      </c>
      <c r="V27" s="661">
        <f t="shared" si="22"/>
        <v>5.810310519714613</v>
      </c>
      <c r="W27" s="661">
        <f t="shared" si="22"/>
        <v>5.3934387601816081</v>
      </c>
      <c r="X27" s="661">
        <f t="shared" si="22"/>
        <v>5.3934387601816081</v>
      </c>
      <c r="Y27" s="661">
        <f t="shared" si="22"/>
        <v>5.3934387601816081</v>
      </c>
      <c r="Z27" s="661">
        <f t="shared" si="22"/>
        <v>5.3934387601816081</v>
      </c>
      <c r="AA27" s="661">
        <f t="shared" si="22"/>
        <v>5.3934387601816081</v>
      </c>
      <c r="AB27" s="661">
        <f t="shared" si="22"/>
        <v>5.3934387601816081</v>
      </c>
      <c r="AC27" s="662"/>
    </row>
    <row r="28" spans="2:29" ht="14.4" thickBot="1" x14ac:dyDescent="0.35">
      <c r="B28" s="663"/>
      <c r="C28" s="664" t="s">
        <v>620</v>
      </c>
      <c r="D28" s="665"/>
      <c r="E28" s="665"/>
      <c r="F28" s="665"/>
      <c r="G28" s="665"/>
      <c r="H28" s="666"/>
      <c r="I28" s="665"/>
      <c r="J28" s="667"/>
      <c r="K28" s="668">
        <f>K27</f>
        <v>5.3934387601816081</v>
      </c>
      <c r="L28" s="668">
        <f>K28+L27</f>
        <v>10.786877520363216</v>
      </c>
      <c r="M28" s="668">
        <f t="shared" ref="M28:AB28" si="23">L28+M27</f>
        <v>16.180316280544822</v>
      </c>
      <c r="N28" s="668">
        <f t="shared" si="23"/>
        <v>21.573755040726432</v>
      </c>
      <c r="O28" s="668">
        <f t="shared" si="23"/>
        <v>26.967193800908042</v>
      </c>
      <c r="P28" s="668">
        <f t="shared" si="23"/>
        <v>32.777504320622654</v>
      </c>
      <c r="Q28" s="668">
        <f t="shared" si="23"/>
        <v>38.587814840337266</v>
      </c>
      <c r="R28" s="668">
        <f t="shared" si="23"/>
        <v>44.398125360051878</v>
      </c>
      <c r="S28" s="668">
        <f t="shared" si="23"/>
        <v>50.20843587976649</v>
      </c>
      <c r="T28" s="668">
        <f t="shared" si="23"/>
        <v>56.018746399481103</v>
      </c>
      <c r="U28" s="668">
        <f t="shared" si="23"/>
        <v>61.829056919195715</v>
      </c>
      <c r="V28" s="668">
        <f t="shared" si="23"/>
        <v>67.639367438910327</v>
      </c>
      <c r="W28" s="668">
        <f t="shared" si="23"/>
        <v>73.032806199091937</v>
      </c>
      <c r="X28" s="668">
        <f t="shared" si="23"/>
        <v>78.426244959273546</v>
      </c>
      <c r="Y28" s="668">
        <f t="shared" si="23"/>
        <v>83.819683719455156</v>
      </c>
      <c r="Z28" s="668">
        <f t="shared" si="23"/>
        <v>89.213122479636766</v>
      </c>
      <c r="AA28" s="668">
        <f t="shared" si="23"/>
        <v>94.606561239818376</v>
      </c>
      <c r="AB28" s="668">
        <f t="shared" si="23"/>
        <v>99.999999999999986</v>
      </c>
      <c r="AC28" s="669"/>
    </row>
    <row r="29" spans="2:29" x14ac:dyDescent="0.3">
      <c r="B29" s="562"/>
      <c r="C29" s="555"/>
      <c r="D29" s="559"/>
      <c r="E29" s="559"/>
      <c r="F29" s="559"/>
      <c r="G29" s="559"/>
      <c r="H29" s="559"/>
      <c r="I29" s="559"/>
      <c r="J29" s="559"/>
    </row>
    <row r="30" spans="2:29" x14ac:dyDescent="0.3">
      <c r="B30" s="556"/>
      <c r="C30" s="555" t="str">
        <f>RAB!C47</f>
        <v>JANGKA WAKTU PELAKSANAAN  : 90 ( SEMBILAN PULUH ) HARI KALENDER</v>
      </c>
      <c r="D30" s="559"/>
      <c r="E30" s="559"/>
      <c r="F30" s="559"/>
      <c r="G30" s="559"/>
      <c r="H30" s="559"/>
      <c r="I30" s="559"/>
      <c r="J30" s="559"/>
      <c r="W30" s="579" t="str">
        <f>RAB!J50</f>
        <v>Cianjur,                                            2026</v>
      </c>
      <c r="AC30" s="580"/>
    </row>
    <row r="31" spans="2:29" x14ac:dyDescent="0.3">
      <c r="C31" s="555" t="s">
        <v>621</v>
      </c>
      <c r="D31" s="559"/>
      <c r="E31" s="559"/>
      <c r="F31" s="559"/>
      <c r="G31" s="559"/>
      <c r="H31" s="559"/>
      <c r="I31" s="559"/>
      <c r="J31" s="559"/>
      <c r="R31" s="580"/>
      <c r="W31" s="579"/>
      <c r="AC31" s="580"/>
    </row>
    <row r="32" spans="2:29" x14ac:dyDescent="0.3">
      <c r="D32" s="559"/>
      <c r="E32" s="559"/>
      <c r="F32" s="559"/>
      <c r="G32" s="559"/>
      <c r="H32" s="559"/>
      <c r="I32" s="559"/>
      <c r="J32" s="559"/>
      <c r="W32" s="579" t="str">
        <f>RAB!J52</f>
        <v>Disusun dan Ditetapkan Oleh :</v>
      </c>
      <c r="AC32" s="580"/>
    </row>
    <row r="33" spans="2:29" x14ac:dyDescent="0.3">
      <c r="B33" s="562"/>
      <c r="D33" s="559"/>
      <c r="F33" s="559"/>
      <c r="G33" s="559"/>
      <c r="I33" s="559"/>
      <c r="J33" s="559"/>
      <c r="W33" s="579" t="str">
        <f>RAB!J53</f>
        <v>Kepala Bidang Air Minum dan Sanitasi</v>
      </c>
      <c r="AC33" s="580"/>
    </row>
    <row r="34" spans="2:29" x14ac:dyDescent="0.3">
      <c r="B34" s="562"/>
      <c r="C34" s="555"/>
      <c r="D34" s="559"/>
      <c r="F34" s="559"/>
      <c r="G34" s="559"/>
      <c r="I34" s="559"/>
      <c r="J34" s="559"/>
      <c r="R34" s="580"/>
      <c r="W34" s="579" t="str">
        <f>RAB!J54</f>
        <v xml:space="preserve"> Dinas Perumahan dan Kawasan Permukiman Kabupaten Cianjur </v>
      </c>
      <c r="AC34" s="580"/>
    </row>
    <row r="35" spans="2:29" x14ac:dyDescent="0.3">
      <c r="B35" s="559"/>
      <c r="C35" s="555"/>
      <c r="D35" s="559"/>
      <c r="E35" s="559"/>
      <c r="F35" s="559"/>
      <c r="G35" s="559"/>
      <c r="H35" s="559"/>
      <c r="I35" s="559"/>
      <c r="J35" s="559"/>
      <c r="R35" s="580"/>
      <c r="W35" s="579" t="str">
        <f>RAB!J55</f>
        <v>Selaku Pejabat Pembuat Komitmen TA. 2025</v>
      </c>
      <c r="AC35" s="580"/>
    </row>
    <row r="36" spans="2:29" x14ac:dyDescent="0.3">
      <c r="B36" s="559"/>
      <c r="C36" s="555"/>
      <c r="D36" s="559"/>
      <c r="E36" s="559"/>
      <c r="F36" s="559"/>
      <c r="G36" s="559"/>
      <c r="H36" s="559"/>
      <c r="I36" s="559"/>
      <c r="J36" s="559"/>
      <c r="R36" s="580"/>
      <c r="W36" s="579"/>
      <c r="AC36" s="580"/>
    </row>
    <row r="37" spans="2:29" x14ac:dyDescent="0.3">
      <c r="B37" s="559"/>
      <c r="C37" s="555"/>
      <c r="D37" s="559"/>
      <c r="E37" s="559"/>
      <c r="F37" s="559"/>
      <c r="G37" s="559"/>
      <c r="H37" s="559"/>
      <c r="I37" s="559"/>
      <c r="J37" s="559"/>
      <c r="R37" s="580"/>
      <c r="W37" s="579"/>
      <c r="AC37" s="580"/>
    </row>
    <row r="38" spans="2:29" x14ac:dyDescent="0.3">
      <c r="B38" s="559"/>
      <c r="C38" s="555"/>
      <c r="D38" s="559"/>
      <c r="E38" s="559"/>
      <c r="F38" s="559"/>
      <c r="G38" s="559"/>
      <c r="H38" s="559"/>
      <c r="I38" s="559"/>
      <c r="J38" s="559"/>
      <c r="R38" s="581"/>
      <c r="S38" s="582"/>
      <c r="W38" s="579"/>
      <c r="AC38" s="580"/>
    </row>
    <row r="39" spans="2:29" x14ac:dyDescent="0.3">
      <c r="B39" s="559"/>
      <c r="C39" s="555"/>
      <c r="D39" s="559"/>
      <c r="E39" s="559"/>
      <c r="F39" s="559"/>
      <c r="G39" s="559"/>
      <c r="H39" s="559"/>
      <c r="I39" s="559"/>
      <c r="J39" s="559"/>
      <c r="R39" s="583"/>
      <c r="W39" s="579"/>
      <c r="AC39" s="580"/>
    </row>
    <row r="40" spans="2:29" x14ac:dyDescent="0.3">
      <c r="B40" s="559"/>
      <c r="C40" s="555"/>
      <c r="D40" s="559"/>
      <c r="E40" s="559"/>
      <c r="F40" s="559"/>
      <c r="G40" s="559"/>
      <c r="H40" s="559"/>
      <c r="I40" s="559"/>
      <c r="J40" s="559"/>
      <c r="U40" s="584"/>
      <c r="V40" s="584"/>
      <c r="W40" s="585" t="str">
        <f>RAB!J60</f>
        <v>AGUNG DELI SAHPUTRA, ST</v>
      </c>
      <c r="X40" s="584"/>
      <c r="Y40" s="584"/>
      <c r="Z40" s="584"/>
      <c r="AA40" s="584"/>
      <c r="AB40" s="584"/>
    </row>
    <row r="41" spans="2:29" x14ac:dyDescent="0.3">
      <c r="W41" s="579" t="str">
        <f>RAB!J61</f>
        <v>NIP. 19771121 200604 1 010</v>
      </c>
    </row>
  </sheetData>
  <mergeCells count="5">
    <mergeCell ref="J14:J15"/>
    <mergeCell ref="K14:AB14"/>
    <mergeCell ref="AC14:AC16"/>
    <mergeCell ref="C15:E15"/>
    <mergeCell ref="K15:AB15"/>
  </mergeCells>
  <pageMargins left="0.7" right="0.7" top="0.75" bottom="0.75" header="0.3" footer="0.3"/>
  <pageSetup paperSize="5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B893-D686-4497-96DB-ADA94B127BA4}">
  <dimension ref="B2:J50"/>
  <sheetViews>
    <sheetView showGridLines="0" topLeftCell="A23" workbookViewId="0">
      <selection activeCell="D32" sqref="D32"/>
    </sheetView>
  </sheetViews>
  <sheetFormatPr defaultColWidth="10" defaultRowHeight="13.8" x14ac:dyDescent="0.25"/>
  <cols>
    <col min="1" max="1" width="6.5" style="841" customWidth="1"/>
    <col min="2" max="2" width="10.625" style="851" customWidth="1"/>
    <col min="3" max="3" width="4.625" style="841" customWidth="1"/>
    <col min="4" max="4" width="56" style="841" customWidth="1"/>
    <col min="5" max="9" width="15.5" style="851" customWidth="1"/>
    <col min="10" max="16384" width="10" style="841"/>
  </cols>
  <sheetData>
    <row r="2" spans="2:10" x14ac:dyDescent="0.25">
      <c r="B2" s="837">
        <v>37</v>
      </c>
      <c r="C2" s="838" t="s">
        <v>758</v>
      </c>
      <c r="D2" s="838"/>
      <c r="E2" s="839"/>
      <c r="F2" s="839"/>
      <c r="G2" s="839"/>
      <c r="H2" s="839"/>
      <c r="I2" s="840"/>
    </row>
    <row r="3" spans="2:10" ht="27.6" customHeight="1" x14ac:dyDescent="0.25">
      <c r="B3" s="842" t="s">
        <v>748</v>
      </c>
      <c r="C3" s="1629" t="s">
        <v>749</v>
      </c>
      <c r="D3" s="1630"/>
      <c r="E3" s="842" t="s">
        <v>750</v>
      </c>
      <c r="F3" s="842" t="s">
        <v>11</v>
      </c>
      <c r="G3" s="842" t="s">
        <v>759</v>
      </c>
      <c r="H3" s="842" t="s">
        <v>760</v>
      </c>
      <c r="I3" s="842" t="s">
        <v>522</v>
      </c>
    </row>
    <row r="4" spans="2:10" x14ac:dyDescent="0.25">
      <c r="B4" s="843"/>
      <c r="C4" s="852"/>
      <c r="D4" s="853"/>
      <c r="E4" s="843"/>
      <c r="F4" s="843"/>
      <c r="G4" s="843"/>
      <c r="H4" s="843" t="s">
        <v>11</v>
      </c>
      <c r="I4" s="843" t="s">
        <v>212</v>
      </c>
    </row>
    <row r="5" spans="2:10" x14ac:dyDescent="0.25">
      <c r="B5" s="844"/>
      <c r="C5" s="854"/>
      <c r="D5" s="855"/>
      <c r="E5" s="844"/>
      <c r="F5" s="844"/>
      <c r="G5" s="844"/>
      <c r="H5" s="844" t="s">
        <v>228</v>
      </c>
      <c r="I5" s="844" t="s">
        <v>761</v>
      </c>
    </row>
    <row r="6" spans="2:10" x14ac:dyDescent="0.25">
      <c r="B6" s="845"/>
      <c r="C6" s="856"/>
      <c r="D6" s="857"/>
      <c r="E6" s="845"/>
      <c r="F6" s="845"/>
      <c r="G6" s="845"/>
      <c r="H6" s="845"/>
      <c r="I6" s="845"/>
    </row>
    <row r="7" spans="2:10" x14ac:dyDescent="0.25">
      <c r="B7" s="846" t="s">
        <v>410</v>
      </c>
      <c r="C7" s="858" t="s">
        <v>762</v>
      </c>
      <c r="D7" s="859"/>
      <c r="E7" s="847"/>
      <c r="F7" s="847"/>
      <c r="G7" s="847"/>
      <c r="H7" s="847"/>
      <c r="I7" s="847"/>
    </row>
    <row r="8" spans="2:10" x14ac:dyDescent="0.25">
      <c r="B8" s="847"/>
      <c r="C8" s="860"/>
      <c r="D8" s="861"/>
      <c r="E8" s="847"/>
      <c r="F8" s="847"/>
      <c r="G8" s="847"/>
      <c r="H8" s="847"/>
      <c r="I8" s="847"/>
    </row>
    <row r="9" spans="2:10" x14ac:dyDescent="0.25">
      <c r="B9" s="847"/>
      <c r="C9" s="860" t="s">
        <v>763</v>
      </c>
      <c r="D9" s="861"/>
      <c r="E9" s="847"/>
      <c r="F9" s="847" t="s">
        <v>250</v>
      </c>
      <c r="G9" s="871">
        <v>1</v>
      </c>
      <c r="H9" s="871">
        <f>RAB!J251</f>
        <v>150000</v>
      </c>
      <c r="I9" s="871">
        <f>H9*G9</f>
        <v>150000</v>
      </c>
    </row>
    <row r="10" spans="2:10" x14ac:dyDescent="0.25">
      <c r="B10" s="848"/>
      <c r="C10" s="862"/>
      <c r="D10" s="863"/>
      <c r="E10" s="848"/>
      <c r="F10" s="848"/>
      <c r="G10" s="848"/>
      <c r="H10" s="872"/>
      <c r="I10" s="872"/>
    </row>
    <row r="11" spans="2:10" x14ac:dyDescent="0.25">
      <c r="B11" s="837"/>
      <c r="C11" s="864"/>
      <c r="D11" s="865"/>
      <c r="E11" s="849"/>
      <c r="F11" s="849"/>
      <c r="G11" s="849" t="s">
        <v>764</v>
      </c>
      <c r="H11" s="873"/>
      <c r="I11" s="873">
        <f>SUM(I9:I10)</f>
        <v>150000</v>
      </c>
    </row>
    <row r="12" spans="2:10" x14ac:dyDescent="0.25">
      <c r="B12" s="845"/>
      <c r="C12" s="866"/>
      <c r="D12" s="867"/>
      <c r="E12" s="845"/>
      <c r="F12" s="845"/>
      <c r="G12" s="845"/>
      <c r="H12" s="874"/>
      <c r="I12" s="874"/>
    </row>
    <row r="13" spans="2:10" x14ac:dyDescent="0.25">
      <c r="B13" s="846" t="s">
        <v>453</v>
      </c>
      <c r="C13" s="858" t="s">
        <v>218</v>
      </c>
      <c r="D13" s="859"/>
      <c r="E13" s="847"/>
      <c r="F13" s="847"/>
      <c r="G13" s="847">
        <v>1</v>
      </c>
      <c r="H13" s="871"/>
      <c r="I13" s="871"/>
    </row>
    <row r="14" spans="2:10" x14ac:dyDescent="0.25">
      <c r="B14" s="847"/>
      <c r="C14" s="860"/>
      <c r="D14" s="861"/>
      <c r="E14" s="847"/>
      <c r="F14" s="847"/>
      <c r="G14" s="871"/>
      <c r="H14" s="871"/>
      <c r="I14" s="871"/>
      <c r="J14" s="850"/>
    </row>
    <row r="15" spans="2:10" x14ac:dyDescent="0.25">
      <c r="B15" s="847"/>
      <c r="C15" s="860" t="s">
        <v>560</v>
      </c>
      <c r="D15" s="861"/>
      <c r="E15" s="847"/>
      <c r="F15" s="847"/>
      <c r="G15" s="871"/>
      <c r="H15" s="871"/>
      <c r="I15" s="871"/>
      <c r="J15" s="850"/>
    </row>
    <row r="16" spans="2:10" x14ac:dyDescent="0.25">
      <c r="B16" s="847"/>
      <c r="C16" s="860" t="s">
        <v>233</v>
      </c>
      <c r="D16" s="870" t="s">
        <v>101</v>
      </c>
      <c r="E16" s="847"/>
      <c r="F16" s="847" t="s">
        <v>15</v>
      </c>
      <c r="G16" s="960">
        <f>G13*1.5</f>
        <v>1.5</v>
      </c>
      <c r="H16" s="871">
        <f>RAB!J225</f>
        <v>54509.999999999993</v>
      </c>
      <c r="I16" s="871">
        <f t="shared" ref="I16:I38" si="0">H16*G16</f>
        <v>81764.999999999985</v>
      </c>
      <c r="J16" s="850"/>
    </row>
    <row r="17" spans="2:10" x14ac:dyDescent="0.25">
      <c r="B17" s="847"/>
      <c r="C17" s="860" t="s">
        <v>233</v>
      </c>
      <c r="D17" s="870" t="s">
        <v>589</v>
      </c>
      <c r="E17" s="847"/>
      <c r="F17" s="847" t="s">
        <v>15</v>
      </c>
      <c r="G17" s="960">
        <f>G13*6</f>
        <v>6</v>
      </c>
      <c r="H17" s="871">
        <f>RAB!J226</f>
        <v>10670</v>
      </c>
      <c r="I17" s="871">
        <f t="shared" si="0"/>
        <v>64020</v>
      </c>
      <c r="J17" s="850"/>
    </row>
    <row r="18" spans="2:10" hidden="1" x14ac:dyDescent="0.25">
      <c r="B18" s="847"/>
      <c r="C18" s="860" t="s">
        <v>233</v>
      </c>
      <c r="D18" s="870" t="s">
        <v>102</v>
      </c>
      <c r="E18" s="847"/>
      <c r="F18" s="847" t="s">
        <v>86</v>
      </c>
      <c r="G18" s="960"/>
      <c r="H18" s="871">
        <f>RAB!J227</f>
        <v>78200</v>
      </c>
      <c r="I18" s="871">
        <f t="shared" si="0"/>
        <v>0</v>
      </c>
      <c r="J18" s="850"/>
    </row>
    <row r="19" spans="2:10" hidden="1" x14ac:dyDescent="0.25">
      <c r="B19" s="847"/>
      <c r="C19" s="860" t="s">
        <v>233</v>
      </c>
      <c r="D19" s="870" t="s">
        <v>103</v>
      </c>
      <c r="E19" s="847"/>
      <c r="F19" s="847" t="s">
        <v>86</v>
      </c>
      <c r="G19" s="960"/>
      <c r="H19" s="871">
        <f>RAB!J228</f>
        <v>64399.999999999993</v>
      </c>
      <c r="I19" s="871">
        <f t="shared" si="0"/>
        <v>0</v>
      </c>
      <c r="J19" s="850"/>
    </row>
    <row r="20" spans="2:10" x14ac:dyDescent="0.25">
      <c r="B20" s="847"/>
      <c r="C20" s="860" t="s">
        <v>233</v>
      </c>
      <c r="D20" s="870" t="s">
        <v>104</v>
      </c>
      <c r="E20" s="847"/>
      <c r="F20" s="847" t="s">
        <v>86</v>
      </c>
      <c r="G20" s="960">
        <f>G13-G19</f>
        <v>1</v>
      </c>
      <c r="H20" s="871">
        <f>RAB!J229</f>
        <v>27000</v>
      </c>
      <c r="I20" s="871">
        <f t="shared" si="0"/>
        <v>27000</v>
      </c>
      <c r="J20" s="850"/>
    </row>
    <row r="21" spans="2:10" hidden="1" x14ac:dyDescent="0.25">
      <c r="B21" s="847"/>
      <c r="C21" s="860" t="s">
        <v>233</v>
      </c>
      <c r="D21" s="870" t="s">
        <v>105</v>
      </c>
      <c r="E21" s="847"/>
      <c r="F21" s="847" t="s">
        <v>86</v>
      </c>
      <c r="G21" s="960"/>
      <c r="H21" s="871">
        <f>RAB!J230</f>
        <v>9775</v>
      </c>
      <c r="I21" s="871">
        <f t="shared" si="0"/>
        <v>0</v>
      </c>
      <c r="J21" s="850"/>
    </row>
    <row r="22" spans="2:10" hidden="1" x14ac:dyDescent="0.25">
      <c r="B22" s="847"/>
      <c r="C22" s="860" t="s">
        <v>233</v>
      </c>
      <c r="D22" s="870" t="s">
        <v>106</v>
      </c>
      <c r="E22" s="847"/>
      <c r="F22" s="847" t="s">
        <v>86</v>
      </c>
      <c r="G22" s="960"/>
      <c r="H22" s="871">
        <f>RAB!J231</f>
        <v>7474.9999999999991</v>
      </c>
      <c r="I22" s="871">
        <f t="shared" si="0"/>
        <v>0</v>
      </c>
      <c r="J22" s="850"/>
    </row>
    <row r="23" spans="2:10" x14ac:dyDescent="0.25">
      <c r="B23" s="847"/>
      <c r="C23" s="860" t="s">
        <v>233</v>
      </c>
      <c r="D23" s="870" t="s">
        <v>107</v>
      </c>
      <c r="E23" s="847"/>
      <c r="F23" s="847" t="s">
        <v>86</v>
      </c>
      <c r="G23" s="961">
        <f>G13*5</f>
        <v>5</v>
      </c>
      <c r="H23" s="871">
        <f>RAB!J232</f>
        <v>8100</v>
      </c>
      <c r="I23" s="871">
        <f t="shared" si="0"/>
        <v>40500</v>
      </c>
      <c r="J23" s="850"/>
    </row>
    <row r="24" spans="2:10" x14ac:dyDescent="0.25">
      <c r="B24" s="847"/>
      <c r="C24" s="860" t="s">
        <v>233</v>
      </c>
      <c r="D24" s="870" t="s">
        <v>108</v>
      </c>
      <c r="E24" s="847"/>
      <c r="F24" s="847" t="s">
        <v>86</v>
      </c>
      <c r="G24" s="961">
        <f>G13*1</f>
        <v>1</v>
      </c>
      <c r="H24" s="871">
        <f>RAB!J233</f>
        <v>6324.9999999999991</v>
      </c>
      <c r="I24" s="871">
        <f t="shared" si="0"/>
        <v>6324.9999999999991</v>
      </c>
      <c r="J24" s="850"/>
    </row>
    <row r="25" spans="2:10" x14ac:dyDescent="0.25">
      <c r="B25" s="847"/>
      <c r="C25" s="860" t="s">
        <v>233</v>
      </c>
      <c r="D25" s="870" t="s">
        <v>565</v>
      </c>
      <c r="E25" s="847"/>
      <c r="F25" s="847" t="s">
        <v>86</v>
      </c>
      <c r="G25" s="961">
        <f>G13*1</f>
        <v>1</v>
      </c>
      <c r="H25" s="871">
        <f>RAB!J234</f>
        <v>4140</v>
      </c>
      <c r="I25" s="871">
        <f t="shared" si="0"/>
        <v>4140</v>
      </c>
      <c r="J25" s="850"/>
    </row>
    <row r="26" spans="2:10" hidden="1" x14ac:dyDescent="0.25">
      <c r="B26" s="847"/>
      <c r="C26" s="860" t="s">
        <v>233</v>
      </c>
      <c r="D26" s="870" t="s">
        <v>109</v>
      </c>
      <c r="E26" s="847"/>
      <c r="F26" s="847" t="s">
        <v>86</v>
      </c>
      <c r="G26" s="961"/>
      <c r="H26" s="871">
        <f>RAB!J235</f>
        <v>15524.999999999998</v>
      </c>
      <c r="I26" s="871">
        <f t="shared" si="0"/>
        <v>0</v>
      </c>
      <c r="J26" s="850"/>
    </row>
    <row r="27" spans="2:10" x14ac:dyDescent="0.25">
      <c r="B27" s="847"/>
      <c r="C27" s="860" t="s">
        <v>233</v>
      </c>
      <c r="D27" s="870" t="s">
        <v>110</v>
      </c>
      <c r="E27" s="847"/>
      <c r="F27" s="847" t="s">
        <v>86</v>
      </c>
      <c r="G27" s="961">
        <f>G13*3</f>
        <v>3</v>
      </c>
      <c r="H27" s="871">
        <f>RAB!J236</f>
        <v>6700</v>
      </c>
      <c r="I27" s="871">
        <f t="shared" si="0"/>
        <v>20100</v>
      </c>
      <c r="J27" s="850"/>
    </row>
    <row r="28" spans="2:10" x14ac:dyDescent="0.25">
      <c r="B28" s="847"/>
      <c r="C28" s="860" t="s">
        <v>233</v>
      </c>
      <c r="D28" s="870" t="s">
        <v>623</v>
      </c>
      <c r="E28" s="847"/>
      <c r="F28" s="847" t="s">
        <v>86</v>
      </c>
      <c r="G28" s="961">
        <v>1</v>
      </c>
      <c r="H28" s="871">
        <f>RAB!J237</f>
        <v>96000</v>
      </c>
      <c r="I28" s="871">
        <f t="shared" si="0"/>
        <v>96000</v>
      </c>
      <c r="J28" s="850"/>
    </row>
    <row r="29" spans="2:10" x14ac:dyDescent="0.25">
      <c r="B29" s="973"/>
      <c r="C29" s="860" t="s">
        <v>233</v>
      </c>
      <c r="D29" s="979" t="str">
        <f>HARSAT!C269</f>
        <v>Brass Loockable Ball Valve dia. 1/2"</v>
      </c>
      <c r="E29" s="980"/>
      <c r="F29" s="981" t="s">
        <v>86</v>
      </c>
      <c r="G29" s="982">
        <v>1</v>
      </c>
      <c r="H29" s="983">
        <f>HARSAT!H269</f>
        <v>120884.54999999999</v>
      </c>
      <c r="I29" s="984">
        <f t="shared" si="0"/>
        <v>120884.54999999999</v>
      </c>
      <c r="J29" s="850"/>
    </row>
    <row r="30" spans="2:10" hidden="1" x14ac:dyDescent="0.25">
      <c r="B30" s="847"/>
      <c r="C30" s="860" t="s">
        <v>233</v>
      </c>
      <c r="D30" s="870" t="s">
        <v>111</v>
      </c>
      <c r="E30" s="847"/>
      <c r="F30" s="847" t="s">
        <v>86</v>
      </c>
      <c r="G30" s="960"/>
      <c r="H30" s="871">
        <f>RAB!J238</f>
        <v>92000</v>
      </c>
      <c r="I30" s="871">
        <f t="shared" si="0"/>
        <v>0</v>
      </c>
      <c r="J30" s="850"/>
    </row>
    <row r="31" spans="2:10" x14ac:dyDescent="0.25">
      <c r="B31" s="847"/>
      <c r="C31" s="860" t="s">
        <v>233</v>
      </c>
      <c r="D31" s="870" t="s">
        <v>112</v>
      </c>
      <c r="E31" s="847"/>
      <c r="F31" s="847" t="s">
        <v>86</v>
      </c>
      <c r="G31" s="960">
        <f>G13*1</f>
        <v>1</v>
      </c>
      <c r="H31" s="871">
        <f>RAB!J239</f>
        <v>197000</v>
      </c>
      <c r="I31" s="871">
        <f t="shared" si="0"/>
        <v>197000</v>
      </c>
      <c r="J31" s="850"/>
    </row>
    <row r="32" spans="2:10" x14ac:dyDescent="0.25">
      <c r="B32" s="847"/>
      <c r="C32" s="860" t="s">
        <v>233</v>
      </c>
      <c r="D32" s="870" t="s">
        <v>113</v>
      </c>
      <c r="E32" s="847"/>
      <c r="F32" s="847" t="s">
        <v>86</v>
      </c>
      <c r="G32" s="960">
        <f>G13*1</f>
        <v>1</v>
      </c>
      <c r="H32" s="871">
        <f>RAB!J240</f>
        <v>448000</v>
      </c>
      <c r="I32" s="871">
        <f t="shared" si="0"/>
        <v>448000</v>
      </c>
      <c r="J32" s="850"/>
    </row>
    <row r="33" spans="2:10" x14ac:dyDescent="0.25">
      <c r="B33" s="847"/>
      <c r="C33" s="860" t="s">
        <v>233</v>
      </c>
      <c r="D33" s="870" t="s">
        <v>114</v>
      </c>
      <c r="E33" s="847"/>
      <c r="F33" s="847" t="s">
        <v>86</v>
      </c>
      <c r="G33" s="960">
        <f>G13*1</f>
        <v>1</v>
      </c>
      <c r="H33" s="871">
        <f>RAB!J241</f>
        <v>15800</v>
      </c>
      <c r="I33" s="871">
        <f t="shared" si="0"/>
        <v>15800</v>
      </c>
      <c r="J33" s="850"/>
    </row>
    <row r="34" spans="2:10" x14ac:dyDescent="0.25">
      <c r="B34" s="847"/>
      <c r="C34" s="860" t="s">
        <v>233</v>
      </c>
      <c r="D34" s="870" t="s">
        <v>115</v>
      </c>
      <c r="E34" s="847"/>
      <c r="F34" s="847" t="s">
        <v>86</v>
      </c>
      <c r="G34" s="960">
        <f>G13*1</f>
        <v>1</v>
      </c>
      <c r="H34" s="871">
        <f>RAB!J242</f>
        <v>5175</v>
      </c>
      <c r="I34" s="871">
        <f t="shared" si="0"/>
        <v>5175</v>
      </c>
      <c r="J34" s="850"/>
    </row>
    <row r="35" spans="2:10" x14ac:dyDescent="0.25">
      <c r="B35" s="847"/>
      <c r="C35" s="860" t="s">
        <v>233</v>
      </c>
      <c r="D35" s="870" t="s">
        <v>116</v>
      </c>
      <c r="E35" s="847"/>
      <c r="F35" s="847" t="s">
        <v>86</v>
      </c>
      <c r="G35" s="960">
        <f>G13*1</f>
        <v>1</v>
      </c>
      <c r="H35" s="871">
        <f>RAB!J243</f>
        <v>65000</v>
      </c>
      <c r="I35" s="871">
        <f t="shared" si="0"/>
        <v>65000</v>
      </c>
      <c r="J35" s="850"/>
    </row>
    <row r="36" spans="2:10" x14ac:dyDescent="0.25">
      <c r="B36" s="847"/>
      <c r="C36" s="860" t="s">
        <v>233</v>
      </c>
      <c r="D36" s="870" t="s">
        <v>117</v>
      </c>
      <c r="E36" s="847"/>
      <c r="F36" s="847" t="s">
        <v>86</v>
      </c>
      <c r="G36" s="960">
        <f>G13*1.5</f>
        <v>1.5</v>
      </c>
      <c r="H36" s="871">
        <f>RAB!J244</f>
        <v>4600</v>
      </c>
      <c r="I36" s="871">
        <f t="shared" si="0"/>
        <v>6900</v>
      </c>
      <c r="J36" s="850"/>
    </row>
    <row r="37" spans="2:10" x14ac:dyDescent="0.25">
      <c r="B37" s="847"/>
      <c r="C37" s="860" t="s">
        <v>233</v>
      </c>
      <c r="D37" s="870" t="s">
        <v>118</v>
      </c>
      <c r="E37" s="847"/>
      <c r="F37" s="847" t="s">
        <v>86</v>
      </c>
      <c r="G37" s="960">
        <f>G13*1</f>
        <v>1</v>
      </c>
      <c r="H37" s="871">
        <f>RAB!J245</f>
        <v>77000</v>
      </c>
      <c r="I37" s="871">
        <f t="shared" si="0"/>
        <v>77000</v>
      </c>
      <c r="J37" s="850"/>
    </row>
    <row r="38" spans="2:10" x14ac:dyDescent="0.25">
      <c r="B38" s="847"/>
      <c r="C38" s="860" t="s">
        <v>233</v>
      </c>
      <c r="D38" s="870" t="s">
        <v>119</v>
      </c>
      <c r="E38" s="847"/>
      <c r="F38" s="847" t="s">
        <v>86</v>
      </c>
      <c r="G38" s="960">
        <f>G13*1</f>
        <v>1</v>
      </c>
      <c r="H38" s="871">
        <f>RAB!J246</f>
        <v>34500</v>
      </c>
      <c r="I38" s="871">
        <f t="shared" si="0"/>
        <v>34500</v>
      </c>
      <c r="J38" s="850"/>
    </row>
    <row r="39" spans="2:10" x14ac:dyDescent="0.25">
      <c r="B39" s="848"/>
      <c r="C39" s="862"/>
      <c r="D39" s="863"/>
      <c r="E39" s="848"/>
      <c r="F39" s="962"/>
      <c r="G39" s="962"/>
      <c r="H39" s="963"/>
      <c r="I39" s="872"/>
      <c r="J39" s="850"/>
    </row>
    <row r="40" spans="2:10" x14ac:dyDescent="0.25">
      <c r="B40" s="849"/>
      <c r="C40" s="864"/>
      <c r="D40" s="865"/>
      <c r="E40" s="849"/>
      <c r="F40" s="849"/>
      <c r="G40" s="849" t="s">
        <v>765</v>
      </c>
      <c r="H40" s="873"/>
      <c r="I40" s="873">
        <f>SUM(I15:I39)</f>
        <v>1310109.55</v>
      </c>
      <c r="J40" s="850"/>
    </row>
    <row r="41" spans="2:10" x14ac:dyDescent="0.25">
      <c r="B41" s="845"/>
      <c r="C41" s="866"/>
      <c r="D41" s="867"/>
      <c r="E41" s="845"/>
      <c r="F41" s="845"/>
      <c r="G41" s="845"/>
      <c r="H41" s="874"/>
      <c r="I41" s="874"/>
      <c r="J41" s="850"/>
    </row>
    <row r="42" spans="2:10" x14ac:dyDescent="0.25">
      <c r="B42" s="846" t="s">
        <v>460</v>
      </c>
      <c r="C42" s="858" t="s">
        <v>766</v>
      </c>
      <c r="D42" s="859"/>
      <c r="E42" s="847"/>
      <c r="F42" s="847"/>
      <c r="G42" s="847"/>
      <c r="H42" s="871"/>
      <c r="I42" s="871"/>
      <c r="J42" s="850"/>
    </row>
    <row r="43" spans="2:10" x14ac:dyDescent="0.25">
      <c r="B43" s="847"/>
      <c r="C43" s="860"/>
      <c r="D43" s="861"/>
      <c r="E43" s="847"/>
      <c r="F43" s="847"/>
      <c r="G43" s="847"/>
      <c r="H43" s="871"/>
      <c r="I43" s="871"/>
      <c r="J43" s="850"/>
    </row>
    <row r="44" spans="2:10" x14ac:dyDescent="0.25">
      <c r="B44" s="847"/>
      <c r="C44" s="860"/>
      <c r="D44" s="861"/>
      <c r="E44" s="847"/>
      <c r="F44" s="846"/>
      <c r="G44" s="846" t="s">
        <v>767</v>
      </c>
      <c r="H44" s="875"/>
      <c r="I44" s="875">
        <v>0</v>
      </c>
      <c r="J44" s="850"/>
    </row>
    <row r="45" spans="2:10" x14ac:dyDescent="0.25">
      <c r="B45" s="848"/>
      <c r="C45" s="862"/>
      <c r="D45" s="863"/>
      <c r="E45" s="848"/>
      <c r="F45" s="848"/>
      <c r="G45" s="848"/>
      <c r="H45" s="872"/>
      <c r="I45" s="872"/>
      <c r="J45" s="850"/>
    </row>
    <row r="46" spans="2:10" x14ac:dyDescent="0.25">
      <c r="B46" s="849" t="s">
        <v>768</v>
      </c>
      <c r="C46" s="864" t="s">
        <v>769</v>
      </c>
      <c r="D46" s="865"/>
      <c r="E46" s="849"/>
      <c r="F46" s="849"/>
      <c r="G46" s="849"/>
      <c r="H46" s="873"/>
      <c r="I46" s="873">
        <f>I44+I40+I11</f>
        <v>1460109.55</v>
      </c>
      <c r="J46" s="850"/>
    </row>
    <row r="47" spans="2:10" hidden="1" x14ac:dyDescent="0.25">
      <c r="B47" s="964" t="s">
        <v>770</v>
      </c>
      <c r="C47" s="965" t="s">
        <v>771</v>
      </c>
      <c r="D47" s="966"/>
      <c r="E47" s="964"/>
      <c r="F47" s="964">
        <v>15</v>
      </c>
      <c r="G47" s="964" t="s">
        <v>772</v>
      </c>
      <c r="H47" s="967"/>
      <c r="I47" s="967"/>
      <c r="J47" s="850"/>
    </row>
    <row r="48" spans="2:10" hidden="1" x14ac:dyDescent="0.25">
      <c r="B48" s="846" t="s">
        <v>773</v>
      </c>
      <c r="C48" s="858" t="s">
        <v>774</v>
      </c>
      <c r="D48" s="859"/>
      <c r="E48" s="846"/>
      <c r="F48" s="846"/>
      <c r="G48" s="846"/>
      <c r="H48" s="875"/>
      <c r="I48" s="875"/>
      <c r="J48" s="850"/>
    </row>
    <row r="49" spans="2:10" hidden="1" x14ac:dyDescent="0.25">
      <c r="B49" s="846" t="s">
        <v>755</v>
      </c>
      <c r="C49" s="858" t="s">
        <v>775</v>
      </c>
      <c r="D49" s="859"/>
      <c r="E49" s="846"/>
      <c r="F49" s="846"/>
      <c r="G49" s="846"/>
      <c r="H49" s="875"/>
      <c r="I49" s="875"/>
      <c r="J49" s="850"/>
    </row>
    <row r="50" spans="2:10" x14ac:dyDescent="0.25">
      <c r="B50" s="844"/>
      <c r="C50" s="868"/>
      <c r="D50" s="869"/>
      <c r="E50" s="844"/>
      <c r="F50" s="844"/>
      <c r="G50" s="844"/>
      <c r="H50" s="876"/>
      <c r="I50" s="876"/>
      <c r="J50" s="850"/>
    </row>
  </sheetData>
  <mergeCells count="1"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534E-8012-4065-8F4B-7A6F56E0DD56}">
  <dimension ref="B2:V68"/>
  <sheetViews>
    <sheetView topLeftCell="A3" zoomScale="60" zoomScaleNormal="60" workbookViewId="0">
      <selection activeCell="G11" sqref="G11:H42"/>
    </sheetView>
  </sheetViews>
  <sheetFormatPr defaultColWidth="11.125" defaultRowHeight="13.8" x14ac:dyDescent="0.3"/>
  <cols>
    <col min="1" max="1" width="2.875" style="879" customWidth="1"/>
    <col min="2" max="2" width="6.25" style="879" customWidth="1"/>
    <col min="3" max="3" width="6.25" style="881" customWidth="1"/>
    <col min="4" max="4" width="5.5" style="881" customWidth="1"/>
    <col min="5" max="5" width="71.375" style="879" customWidth="1"/>
    <col min="6" max="6" width="16.625" style="879" customWidth="1"/>
    <col min="7" max="7" width="15.875" style="879" customWidth="1"/>
    <col min="8" max="8" width="23.625" style="879" bestFit="1" customWidth="1"/>
    <col min="9" max="9" width="25.875" style="879" customWidth="1"/>
    <col min="10" max="10" width="42" style="879" hidden="1" customWidth="1"/>
    <col min="11" max="11" width="2" style="879" hidden="1" customWidth="1"/>
    <col min="12" max="12" width="13.875" style="881" hidden="1" customWidth="1"/>
    <col min="13" max="13" width="20.5" style="879" hidden="1" customWidth="1"/>
    <col min="14" max="16384" width="11.125" style="879"/>
  </cols>
  <sheetData>
    <row r="2" spans="2:22" ht="19.2" x14ac:dyDescent="0.3">
      <c r="B2" s="1631" t="s">
        <v>747</v>
      </c>
      <c r="C2" s="1631"/>
      <c r="D2" s="1631"/>
      <c r="E2" s="1631"/>
      <c r="F2" s="1631"/>
      <c r="G2" s="1631"/>
      <c r="H2" s="1631"/>
      <c r="I2" s="1631"/>
      <c r="J2" s="1631"/>
      <c r="K2" s="1631"/>
      <c r="L2" s="1631"/>
      <c r="M2" s="877"/>
      <c r="N2" s="878"/>
      <c r="O2" s="878"/>
      <c r="P2" s="878"/>
      <c r="Q2" s="878"/>
      <c r="R2" s="878"/>
      <c r="S2" s="878"/>
      <c r="T2" s="878"/>
      <c r="U2" s="878"/>
      <c r="V2" s="878"/>
    </row>
    <row r="4" spans="2:22" ht="13.95" customHeight="1" x14ac:dyDescent="0.3">
      <c r="B4" s="1632" t="s">
        <v>776</v>
      </c>
      <c r="C4" s="1632"/>
      <c r="D4" s="1632"/>
      <c r="E4" s="1632"/>
      <c r="F4" s="1632"/>
      <c r="G4" s="880"/>
    </row>
    <row r="5" spans="2:22" x14ac:dyDescent="0.3">
      <c r="B5" s="1632"/>
      <c r="C5" s="1632"/>
      <c r="D5" s="1632"/>
      <c r="E5" s="1632"/>
      <c r="F5" s="1632"/>
      <c r="G5" s="880"/>
    </row>
    <row r="7" spans="2:22" ht="35.4" customHeight="1" x14ac:dyDescent="0.3">
      <c r="B7" s="882" t="s">
        <v>748</v>
      </c>
      <c r="C7" s="1633" t="s">
        <v>10</v>
      </c>
      <c r="D7" s="1634"/>
      <c r="E7" s="1635"/>
      <c r="F7" s="883" t="s">
        <v>777</v>
      </c>
      <c r="G7" s="882" t="s">
        <v>751</v>
      </c>
      <c r="H7" s="882" t="s">
        <v>778</v>
      </c>
      <c r="I7" s="882" t="s">
        <v>779</v>
      </c>
      <c r="J7" s="884" t="s">
        <v>780</v>
      </c>
      <c r="K7" s="885"/>
      <c r="L7" s="886" t="s">
        <v>781</v>
      </c>
      <c r="M7" s="886" t="s">
        <v>782</v>
      </c>
    </row>
    <row r="8" spans="2:22" ht="14.4" customHeight="1" x14ac:dyDescent="0.3">
      <c r="B8" s="887">
        <v>1</v>
      </c>
      <c r="C8" s="1636">
        <v>2</v>
      </c>
      <c r="D8" s="1637"/>
      <c r="E8" s="1638"/>
      <c r="F8" s="887">
        <v>3</v>
      </c>
      <c r="G8" s="887">
        <v>4</v>
      </c>
      <c r="H8" s="887">
        <v>5</v>
      </c>
      <c r="I8" s="887" t="s">
        <v>783</v>
      </c>
      <c r="J8" s="888">
        <v>7</v>
      </c>
      <c r="K8" s="889"/>
      <c r="L8" s="890">
        <v>8</v>
      </c>
      <c r="M8" s="890">
        <v>9</v>
      </c>
    </row>
    <row r="9" spans="2:22" ht="5.4" customHeight="1" x14ac:dyDescent="0.3">
      <c r="B9" s="891"/>
      <c r="C9" s="892"/>
      <c r="D9" s="892"/>
      <c r="E9" s="892"/>
      <c r="F9" s="892"/>
      <c r="G9" s="892"/>
      <c r="H9" s="892"/>
      <c r="I9" s="892"/>
      <c r="J9" s="892"/>
      <c r="K9" s="889"/>
      <c r="L9" s="891"/>
      <c r="M9" s="893"/>
    </row>
    <row r="10" spans="2:22" ht="14.4" customHeight="1" x14ac:dyDescent="0.3">
      <c r="B10" s="884" t="s">
        <v>784</v>
      </c>
      <c r="C10" s="1639" t="s">
        <v>785</v>
      </c>
      <c r="D10" s="1639"/>
      <c r="E10" s="1639"/>
      <c r="F10" s="894"/>
      <c r="G10" s="894"/>
      <c r="H10" s="894"/>
      <c r="I10" s="894"/>
      <c r="J10" s="894"/>
      <c r="K10" s="895"/>
      <c r="L10" s="890"/>
      <c r="M10" s="896"/>
    </row>
    <row r="11" spans="2:22" ht="14.4" customHeight="1" x14ac:dyDescent="0.3">
      <c r="B11" s="897"/>
      <c r="C11" s="898" t="s">
        <v>231</v>
      </c>
      <c r="D11" s="1640" t="s">
        <v>786</v>
      </c>
      <c r="E11" s="1641"/>
      <c r="F11" s="898" t="s">
        <v>787</v>
      </c>
      <c r="G11" s="1652">
        <v>1</v>
      </c>
      <c r="H11" s="1654">
        <v>200000</v>
      </c>
      <c r="I11" s="1656">
        <f>G11*H11</f>
        <v>200000</v>
      </c>
      <c r="J11" s="1658" t="s">
        <v>788</v>
      </c>
      <c r="K11" s="899"/>
      <c r="L11" s="1644">
        <v>0</v>
      </c>
      <c r="M11" s="1647">
        <f>H11*L11</f>
        <v>0</v>
      </c>
    </row>
    <row r="12" spans="2:22" ht="14.4" customHeight="1" x14ac:dyDescent="0.3">
      <c r="B12" s="897"/>
      <c r="C12" s="900" t="s">
        <v>234</v>
      </c>
      <c r="D12" s="1642" t="s">
        <v>752</v>
      </c>
      <c r="E12" s="1643"/>
      <c r="F12" s="900" t="s">
        <v>787</v>
      </c>
      <c r="G12" s="1653"/>
      <c r="H12" s="1655"/>
      <c r="I12" s="1657"/>
      <c r="J12" s="1658"/>
      <c r="K12" s="899"/>
      <c r="L12" s="1645"/>
      <c r="M12" s="1648"/>
    </row>
    <row r="13" spans="2:22" ht="14.4" customHeight="1" x14ac:dyDescent="0.3">
      <c r="B13" s="897"/>
      <c r="C13" s="900" t="s">
        <v>251</v>
      </c>
      <c r="D13" s="1642" t="s">
        <v>753</v>
      </c>
      <c r="E13" s="1643"/>
      <c r="F13" s="900" t="s">
        <v>787</v>
      </c>
      <c r="G13" s="1653"/>
      <c r="H13" s="1655"/>
      <c r="I13" s="1657"/>
      <c r="J13" s="1640"/>
      <c r="K13" s="899"/>
      <c r="L13" s="1646"/>
      <c r="M13" s="1649"/>
    </row>
    <row r="14" spans="2:22" ht="14.4" customHeight="1" x14ac:dyDescent="0.3">
      <c r="B14" s="897"/>
      <c r="C14" s="901" t="s">
        <v>410</v>
      </c>
      <c r="D14" s="1650" t="s">
        <v>789</v>
      </c>
      <c r="E14" s="1651"/>
      <c r="F14" s="902"/>
      <c r="G14" s="1507"/>
      <c r="H14" s="1507"/>
      <c r="I14" s="903">
        <f>SUM(I11)</f>
        <v>200000</v>
      </c>
      <c r="J14" s="904"/>
      <c r="K14" s="895"/>
      <c r="L14" s="905"/>
      <c r="M14" s="903">
        <f>SUM(M11)</f>
        <v>0</v>
      </c>
    </row>
    <row r="15" spans="2:22" ht="14.4" customHeight="1" x14ac:dyDescent="0.3">
      <c r="B15" s="906"/>
      <c r="C15" s="907"/>
      <c r="D15" s="908"/>
      <c r="E15" s="908"/>
      <c r="F15" s="909"/>
      <c r="G15" s="909"/>
      <c r="H15" s="909"/>
      <c r="I15" s="910"/>
      <c r="J15" s="909"/>
      <c r="K15" s="895"/>
      <c r="L15" s="905"/>
      <c r="M15" s="911"/>
    </row>
    <row r="16" spans="2:22" ht="14.4" customHeight="1" x14ac:dyDescent="0.3">
      <c r="B16" s="884" t="s">
        <v>409</v>
      </c>
      <c r="C16" s="1639" t="s">
        <v>790</v>
      </c>
      <c r="D16" s="1639"/>
      <c r="E16" s="1639"/>
      <c r="F16" s="894"/>
      <c r="G16" s="894"/>
      <c r="H16" s="894"/>
      <c r="I16" s="894"/>
      <c r="J16" s="912"/>
      <c r="K16" s="913"/>
      <c r="L16" s="914"/>
      <c r="M16" s="915"/>
    </row>
    <row r="17" spans="2:14" ht="27.6" x14ac:dyDescent="0.3">
      <c r="B17" s="897"/>
      <c r="C17" s="898" t="s">
        <v>231</v>
      </c>
      <c r="D17" s="1640" t="s">
        <v>791</v>
      </c>
      <c r="E17" s="1641"/>
      <c r="F17" s="898" t="s">
        <v>237</v>
      </c>
      <c r="G17" s="1503">
        <v>4</v>
      </c>
      <c r="H17" s="916">
        <v>10000</v>
      </c>
      <c r="I17" s="916">
        <f>G17*H17</f>
        <v>40000</v>
      </c>
      <c r="J17" s="917" t="s">
        <v>792</v>
      </c>
      <c r="K17" s="913"/>
      <c r="L17" s="918">
        <v>0</v>
      </c>
      <c r="M17" s="919">
        <f>H17*L17</f>
        <v>0</v>
      </c>
    </row>
    <row r="18" spans="2:14" ht="27.6" x14ac:dyDescent="0.3">
      <c r="B18" s="897"/>
      <c r="C18" s="900" t="s">
        <v>234</v>
      </c>
      <c r="D18" s="1642" t="s">
        <v>794</v>
      </c>
      <c r="E18" s="1643"/>
      <c r="F18" s="900" t="s">
        <v>237</v>
      </c>
      <c r="G18" s="1508">
        <f>G17</f>
        <v>4</v>
      </c>
      <c r="H18" s="916">
        <v>10000</v>
      </c>
      <c r="I18" s="916">
        <f t="shared" ref="I18:I21" si="0">G18*H18</f>
        <v>40000</v>
      </c>
      <c r="J18" s="920" t="s">
        <v>793</v>
      </c>
      <c r="K18" s="913"/>
      <c r="L18" s="918">
        <v>0</v>
      </c>
      <c r="M18" s="919">
        <f t="shared" ref="M18:M21" si="1">H18*L18</f>
        <v>0</v>
      </c>
    </row>
    <row r="19" spans="2:14" ht="27.6" hidden="1" customHeight="1" x14ac:dyDescent="0.3">
      <c r="B19" s="897"/>
      <c r="C19" s="900" t="s">
        <v>795</v>
      </c>
      <c r="D19" s="1642" t="s">
        <v>796</v>
      </c>
      <c r="E19" s="1643"/>
      <c r="F19" s="900" t="s">
        <v>493</v>
      </c>
      <c r="G19" s="1508"/>
      <c r="H19" s="1509">
        <f>'[36]HARGA BAHAN &amp; ALAT'!$F$189</f>
        <v>135900</v>
      </c>
      <c r="I19" s="916">
        <f t="shared" si="0"/>
        <v>0</v>
      </c>
      <c r="J19" s="925" t="s">
        <v>797</v>
      </c>
      <c r="K19" s="899"/>
      <c r="L19" s="918" t="e">
        <f>'[36]HARGA BAHAN &amp; ALAT'!H189</f>
        <v>#REF!</v>
      </c>
      <c r="M19" s="919" t="e">
        <f t="shared" si="1"/>
        <v>#REF!</v>
      </c>
    </row>
    <row r="20" spans="2:14" ht="27.6" hidden="1" customHeight="1" x14ac:dyDescent="0.3">
      <c r="B20" s="897"/>
      <c r="C20" s="900" t="s">
        <v>253</v>
      </c>
      <c r="D20" s="1642" t="s">
        <v>798</v>
      </c>
      <c r="E20" s="1643"/>
      <c r="F20" s="900" t="s">
        <v>493</v>
      </c>
      <c r="G20" s="1508"/>
      <c r="H20" s="1509">
        <f>'[36]HARGA BAHAN &amp; ALAT'!$F$168</f>
        <v>14000</v>
      </c>
      <c r="I20" s="916">
        <f t="shared" si="0"/>
        <v>0</v>
      </c>
      <c r="J20" s="925" t="s">
        <v>797</v>
      </c>
      <c r="K20" s="899"/>
      <c r="L20" s="918" t="e">
        <f>'[36]HARGA BAHAN &amp; ALAT'!H168</f>
        <v>#REF!</v>
      </c>
      <c r="M20" s="919" t="e">
        <f t="shared" si="1"/>
        <v>#REF!</v>
      </c>
    </row>
    <row r="21" spans="2:14" ht="14.4" hidden="1" customHeight="1" x14ac:dyDescent="0.3">
      <c r="B21" s="897"/>
      <c r="C21" s="900" t="s">
        <v>340</v>
      </c>
      <c r="D21" s="1642" t="s">
        <v>754</v>
      </c>
      <c r="E21" s="1643"/>
      <c r="F21" s="900" t="s">
        <v>799</v>
      </c>
      <c r="G21" s="1508">
        <v>0</v>
      </c>
      <c r="H21" s="1509">
        <f>'[36]HARGA BAHAN &amp; ALAT'!$F$169</f>
        <v>426000</v>
      </c>
      <c r="I21" s="916">
        <f t="shared" si="0"/>
        <v>0</v>
      </c>
      <c r="J21" s="923" t="s">
        <v>800</v>
      </c>
      <c r="K21" s="924"/>
      <c r="L21" s="918">
        <f>'[36]HARGA BAHAN &amp; ALAT'!J169</f>
        <v>0</v>
      </c>
      <c r="M21" s="919">
        <f t="shared" si="1"/>
        <v>0</v>
      </c>
    </row>
    <row r="22" spans="2:14" x14ac:dyDescent="0.3">
      <c r="B22" s="897"/>
      <c r="C22" s="901" t="s">
        <v>453</v>
      </c>
      <c r="D22" s="1650" t="s">
        <v>801</v>
      </c>
      <c r="E22" s="1651"/>
      <c r="F22" s="900"/>
      <c r="G22" s="1508"/>
      <c r="H22" s="1509"/>
      <c r="I22" s="926">
        <f>SUM(I17:I21)</f>
        <v>80000</v>
      </c>
      <c r="J22" s="923"/>
      <c r="K22" s="924"/>
      <c r="L22" s="927"/>
      <c r="M22" s="926" t="e">
        <f>SUM(M17:M21)</f>
        <v>#REF!</v>
      </c>
    </row>
    <row r="23" spans="2:14" x14ac:dyDescent="0.3">
      <c r="B23" s="897"/>
      <c r="C23" s="900"/>
      <c r="D23" s="928"/>
      <c r="E23" s="911"/>
      <c r="F23" s="900"/>
      <c r="G23" s="1508"/>
      <c r="H23" s="1509"/>
      <c r="I23" s="922"/>
      <c r="J23" s="923"/>
      <c r="K23" s="924"/>
      <c r="L23" s="905"/>
      <c r="M23" s="929"/>
    </row>
    <row r="24" spans="2:14" x14ac:dyDescent="0.3">
      <c r="B24" s="884" t="s">
        <v>802</v>
      </c>
      <c r="C24" s="1639" t="s">
        <v>803</v>
      </c>
      <c r="D24" s="1639"/>
      <c r="E24" s="1639"/>
      <c r="F24" s="894"/>
      <c r="G24" s="894"/>
      <c r="H24" s="930"/>
      <c r="I24" s="930"/>
      <c r="J24" s="931"/>
      <c r="K24" s="924"/>
      <c r="L24" s="890"/>
      <c r="M24" s="932"/>
    </row>
    <row r="25" spans="2:14" x14ac:dyDescent="0.3">
      <c r="B25" s="897"/>
      <c r="C25" s="898" t="s">
        <v>231</v>
      </c>
      <c r="D25" s="1640" t="s">
        <v>804</v>
      </c>
      <c r="E25" s="1641"/>
      <c r="F25" s="898"/>
      <c r="G25" s="1503"/>
      <c r="H25" s="1504"/>
      <c r="I25" s="933"/>
      <c r="J25" s="934"/>
      <c r="K25" s="924"/>
      <c r="L25" s="905"/>
      <c r="M25" s="929"/>
    </row>
    <row r="26" spans="2:14" x14ac:dyDescent="0.3">
      <c r="B26" s="897"/>
      <c r="C26" s="900"/>
      <c r="D26" s="935">
        <v>1</v>
      </c>
      <c r="E26" s="911" t="s">
        <v>806</v>
      </c>
      <c r="F26" s="900" t="s">
        <v>799</v>
      </c>
      <c r="G26" s="1508"/>
      <c r="H26" s="1509">
        <f>'[36]HARGA BAHAN &amp; ALAT'!F170</f>
        <v>34000</v>
      </c>
      <c r="I26" s="916">
        <f t="shared" ref="I26:I31" si="2">G26*H26</f>
        <v>0</v>
      </c>
      <c r="J26" s="923" t="s">
        <v>805</v>
      </c>
      <c r="K26" s="924"/>
      <c r="L26" s="936">
        <f>'[36]HARGA BAHAN &amp; ALAT'!J170</f>
        <v>0</v>
      </c>
      <c r="M26" s="919">
        <f>H26*L26</f>
        <v>0</v>
      </c>
    </row>
    <row r="27" spans="2:14" x14ac:dyDescent="0.3">
      <c r="B27" s="897"/>
      <c r="C27" s="900" t="s">
        <v>234</v>
      </c>
      <c r="D27" s="1661" t="s">
        <v>807</v>
      </c>
      <c r="E27" s="1662"/>
      <c r="F27" s="900"/>
      <c r="G27" s="1508"/>
      <c r="H27" s="1509"/>
      <c r="I27" s="916"/>
      <c r="J27" s="923"/>
      <c r="K27" s="924"/>
      <c r="L27" s="905"/>
      <c r="M27" s="929"/>
    </row>
    <row r="28" spans="2:14" ht="27.6" x14ac:dyDescent="0.3">
      <c r="B28" s="897"/>
      <c r="C28" s="900"/>
      <c r="D28" s="928">
        <v>1</v>
      </c>
      <c r="E28" s="911" t="s">
        <v>808</v>
      </c>
      <c r="F28" s="900" t="s">
        <v>799</v>
      </c>
      <c r="G28" s="1508">
        <f>G18</f>
        <v>4</v>
      </c>
      <c r="H28" s="1509">
        <v>25000</v>
      </c>
      <c r="I28" s="916">
        <f t="shared" si="2"/>
        <v>100000</v>
      </c>
      <c r="J28" s="925" t="s">
        <v>809</v>
      </c>
      <c r="K28" s="899"/>
      <c r="L28" s="937">
        <f>'[36]HARGA BAHAN &amp; ALAT'!H171</f>
        <v>0.71120000000000005</v>
      </c>
      <c r="M28" s="919">
        <f>H28*L28</f>
        <v>17780</v>
      </c>
      <c r="N28" s="938" t="s">
        <v>810</v>
      </c>
    </row>
    <row r="29" spans="2:14" x14ac:dyDescent="0.3">
      <c r="B29" s="897"/>
      <c r="C29" s="900"/>
      <c r="D29" s="928">
        <v>2</v>
      </c>
      <c r="E29" s="911" t="s">
        <v>812</v>
      </c>
      <c r="F29" s="900" t="s">
        <v>811</v>
      </c>
      <c r="G29" s="1508">
        <f>G28</f>
        <v>4</v>
      </c>
      <c r="H29" s="1509">
        <v>10000</v>
      </c>
      <c r="I29" s="916">
        <f t="shared" si="2"/>
        <v>40000</v>
      </c>
      <c r="J29" s="923" t="s">
        <v>805</v>
      </c>
      <c r="K29" s="924"/>
      <c r="L29" s="918">
        <f>'[36]HARGA BAHAN &amp; ALAT'!H175</f>
        <v>0.32629999999999998</v>
      </c>
      <c r="M29" s="939">
        <f t="shared" ref="M29:M31" si="3">H29*L29</f>
        <v>3263</v>
      </c>
      <c r="N29" s="938" t="s">
        <v>813</v>
      </c>
    </row>
    <row r="30" spans="2:14" ht="27.6" x14ac:dyDescent="0.3">
      <c r="B30" s="897"/>
      <c r="C30" s="900"/>
      <c r="D30" s="935">
        <v>3</v>
      </c>
      <c r="E30" s="941" t="s">
        <v>814</v>
      </c>
      <c r="F30" s="900" t="s">
        <v>811</v>
      </c>
      <c r="G30" s="1508">
        <f t="shared" ref="G30:G31" si="4">G29</f>
        <v>4</v>
      </c>
      <c r="H30" s="1509">
        <v>87500</v>
      </c>
      <c r="I30" s="916">
        <f t="shared" si="2"/>
        <v>350000</v>
      </c>
      <c r="J30" s="925" t="s">
        <v>815</v>
      </c>
      <c r="K30" s="899"/>
      <c r="L30" s="937">
        <f>'[36]HARGA BAHAN &amp; ALAT'!H176</f>
        <v>0.86950000000000005</v>
      </c>
      <c r="M30" s="942">
        <f t="shared" si="3"/>
        <v>76081.25</v>
      </c>
      <c r="N30" s="938" t="s">
        <v>816</v>
      </c>
    </row>
    <row r="31" spans="2:14" x14ac:dyDescent="0.3">
      <c r="B31" s="897"/>
      <c r="C31" s="900"/>
      <c r="D31" s="928">
        <v>4</v>
      </c>
      <c r="E31" s="940" t="s">
        <v>817</v>
      </c>
      <c r="F31" s="900" t="s">
        <v>799</v>
      </c>
      <c r="G31" s="1508">
        <f t="shared" si="4"/>
        <v>4</v>
      </c>
      <c r="H31" s="1509">
        <v>10000</v>
      </c>
      <c r="I31" s="916">
        <f t="shared" si="2"/>
        <v>40000</v>
      </c>
      <c r="J31" s="923" t="s">
        <v>805</v>
      </c>
      <c r="K31" s="924"/>
      <c r="L31" s="918">
        <f>'[36]HARGA BAHAN &amp; ALAT'!H188</f>
        <v>0.71220000000000006</v>
      </c>
      <c r="M31" s="939">
        <f t="shared" si="3"/>
        <v>7122.0000000000009</v>
      </c>
      <c r="N31" s="938" t="s">
        <v>818</v>
      </c>
    </row>
    <row r="32" spans="2:14" ht="14.4" customHeight="1" x14ac:dyDescent="0.3">
      <c r="B32" s="943"/>
      <c r="C32" s="901" t="s">
        <v>460</v>
      </c>
      <c r="D32" s="1659" t="s">
        <v>819</v>
      </c>
      <c r="E32" s="1660"/>
      <c r="F32" s="902"/>
      <c r="G32" s="1507"/>
      <c r="H32" s="1510"/>
      <c r="I32" s="903">
        <f>SUM(I25:I31)</f>
        <v>530000</v>
      </c>
      <c r="J32" s="904"/>
      <c r="K32" s="895"/>
      <c r="L32" s="905"/>
      <c r="M32" s="903"/>
    </row>
    <row r="33" spans="2:14" x14ac:dyDescent="0.3">
      <c r="B33" s="904"/>
      <c r="C33" s="945"/>
      <c r="D33" s="945"/>
      <c r="E33" s="909"/>
      <c r="F33" s="909"/>
      <c r="G33" s="909"/>
      <c r="H33" s="910"/>
      <c r="I33" s="910"/>
      <c r="J33" s="909"/>
      <c r="K33" s="895"/>
      <c r="L33" s="905"/>
      <c r="M33" s="911"/>
    </row>
    <row r="34" spans="2:14" ht="13.8" hidden="1" customHeight="1" x14ac:dyDescent="0.3">
      <c r="B34" s="884" t="s">
        <v>820</v>
      </c>
      <c r="C34" s="1639" t="s">
        <v>821</v>
      </c>
      <c r="D34" s="1639"/>
      <c r="E34" s="1639"/>
      <c r="F34" s="894"/>
      <c r="G34" s="894"/>
      <c r="H34" s="930"/>
      <c r="I34" s="930"/>
      <c r="J34" s="931"/>
      <c r="K34" s="924"/>
      <c r="L34" s="890"/>
      <c r="M34" s="932"/>
    </row>
    <row r="35" spans="2:14" ht="13.8" hidden="1" customHeight="1" x14ac:dyDescent="0.3">
      <c r="B35" s="897"/>
      <c r="C35" s="898" t="s">
        <v>231</v>
      </c>
      <c r="D35" s="1640" t="s">
        <v>822</v>
      </c>
      <c r="E35" s="1641"/>
      <c r="F35" s="898" t="s">
        <v>250</v>
      </c>
      <c r="G35" s="1503"/>
      <c r="H35" s="1504">
        <v>600000</v>
      </c>
      <c r="I35" s="916">
        <f t="shared" ref="I35" si="5">G35*H35</f>
        <v>0</v>
      </c>
      <c r="J35" s="934"/>
      <c r="K35" s="924"/>
      <c r="L35" s="937" t="e">
        <f>'[36]HARGA BAHAN &amp; ALAT'!H187</f>
        <v>#REF!</v>
      </c>
      <c r="M35" s="942" t="e">
        <f t="shared" ref="M35" si="6">H35*L35</f>
        <v>#REF!</v>
      </c>
    </row>
    <row r="36" spans="2:14" ht="14.4" hidden="1" customHeight="1" x14ac:dyDescent="0.3">
      <c r="B36" s="943"/>
      <c r="C36" s="901" t="s">
        <v>768</v>
      </c>
      <c r="D36" s="1659" t="s">
        <v>823</v>
      </c>
      <c r="E36" s="1660"/>
      <c r="F36" s="902"/>
      <c r="G36" s="1507"/>
      <c r="H36" s="1510"/>
      <c r="I36" s="903">
        <f>SUM(I35:I35)</f>
        <v>0</v>
      </c>
      <c r="J36" s="904"/>
      <c r="K36" s="895"/>
      <c r="L36" s="905"/>
      <c r="M36" s="903" t="e">
        <f>SUM(M35:M35)</f>
        <v>#REF!</v>
      </c>
    </row>
    <row r="37" spans="2:14" ht="13.8" hidden="1" customHeight="1" x14ac:dyDescent="0.3">
      <c r="B37" s="904"/>
      <c r="C37" s="945"/>
      <c r="D37" s="945"/>
      <c r="E37" s="909"/>
      <c r="F37" s="909"/>
      <c r="G37" s="909"/>
      <c r="H37" s="910"/>
      <c r="I37" s="910"/>
      <c r="J37" s="909"/>
      <c r="K37" s="895"/>
      <c r="L37" s="905"/>
      <c r="M37" s="911"/>
    </row>
    <row r="38" spans="2:14" ht="13.95" customHeight="1" x14ac:dyDescent="0.3">
      <c r="B38" s="884" t="s">
        <v>824</v>
      </c>
      <c r="C38" s="1639" t="s">
        <v>825</v>
      </c>
      <c r="D38" s="1639"/>
      <c r="E38" s="1639"/>
      <c r="F38" s="894"/>
      <c r="G38" s="894"/>
      <c r="H38" s="930"/>
      <c r="I38" s="930"/>
      <c r="J38" s="946"/>
      <c r="K38" s="947"/>
      <c r="L38" s="948"/>
      <c r="M38" s="949"/>
    </row>
    <row r="39" spans="2:14" ht="14.4" customHeight="1" x14ac:dyDescent="0.3">
      <c r="B39" s="943"/>
      <c r="C39" s="901" t="s">
        <v>770</v>
      </c>
      <c r="D39" s="1659" t="s">
        <v>826</v>
      </c>
      <c r="E39" s="1660"/>
      <c r="F39" s="902"/>
      <c r="G39" s="1507"/>
      <c r="H39" s="1510"/>
      <c r="I39" s="903"/>
      <c r="J39" s="904"/>
      <c r="K39" s="895"/>
      <c r="L39" s="905"/>
      <c r="M39" s="903" t="e">
        <f>SUM(#REF!)</f>
        <v>#REF!</v>
      </c>
    </row>
    <row r="40" spans="2:14" x14ac:dyDescent="0.3">
      <c r="B40" s="904"/>
      <c r="C40" s="945"/>
      <c r="D40" s="945"/>
      <c r="E40" s="909"/>
      <c r="F40" s="909"/>
      <c r="G40" s="909"/>
      <c r="H40" s="910"/>
      <c r="I40" s="910"/>
      <c r="J40" s="909"/>
      <c r="K40" s="895"/>
      <c r="L40" s="905"/>
      <c r="M40" s="911"/>
    </row>
    <row r="41" spans="2:14" x14ac:dyDescent="0.3">
      <c r="B41" s="884" t="s">
        <v>827</v>
      </c>
      <c r="C41" s="1639" t="s">
        <v>828</v>
      </c>
      <c r="D41" s="1639"/>
      <c r="E41" s="1639"/>
      <c r="F41" s="894"/>
      <c r="G41" s="894"/>
      <c r="H41" s="930"/>
      <c r="I41" s="930"/>
      <c r="J41" s="931"/>
      <c r="K41" s="924"/>
      <c r="L41" s="890"/>
      <c r="M41" s="932"/>
    </row>
    <row r="42" spans="2:14" ht="27.6" x14ac:dyDescent="0.3">
      <c r="B42" s="897"/>
      <c r="C42" s="898" t="s">
        <v>231</v>
      </c>
      <c r="D42" s="1640" t="s">
        <v>829</v>
      </c>
      <c r="E42" s="1641"/>
      <c r="F42" s="898" t="s">
        <v>250</v>
      </c>
      <c r="G42" s="1503">
        <v>1</v>
      </c>
      <c r="H42" s="1504">
        <v>190000</v>
      </c>
      <c r="I42" s="933">
        <f>G42*H42</f>
        <v>190000</v>
      </c>
      <c r="J42" s="951" t="s">
        <v>830</v>
      </c>
      <c r="K42" s="899"/>
      <c r="L42" s="937">
        <f>'[36]HARGA BAHAN &amp; ALAT'!H178</f>
        <v>0</v>
      </c>
      <c r="M42" s="942">
        <f t="shared" ref="M42" si="7">H42*L42</f>
        <v>0</v>
      </c>
    </row>
    <row r="43" spans="2:14" ht="14.4" customHeight="1" x14ac:dyDescent="0.3">
      <c r="B43" s="943"/>
      <c r="C43" s="901" t="s">
        <v>773</v>
      </c>
      <c r="D43" s="1659" t="s">
        <v>831</v>
      </c>
      <c r="E43" s="1660"/>
      <c r="F43" s="902"/>
      <c r="G43" s="902"/>
      <c r="H43" s="944"/>
      <c r="I43" s="903">
        <f>SUM(I42:I42)</f>
        <v>190000</v>
      </c>
      <c r="J43" s="904"/>
      <c r="K43" s="895"/>
      <c r="L43" s="905"/>
      <c r="M43" s="903">
        <f>SUM(M42:M42)</f>
        <v>0</v>
      </c>
    </row>
    <row r="44" spans="2:14" x14ac:dyDescent="0.3">
      <c r="B44" s="904"/>
      <c r="C44" s="945"/>
      <c r="D44" s="945"/>
      <c r="E44" s="909"/>
      <c r="F44" s="909"/>
      <c r="G44" s="909"/>
      <c r="H44" s="910"/>
      <c r="I44" s="910"/>
      <c r="J44" s="909"/>
      <c r="K44" s="895"/>
      <c r="L44" s="905"/>
      <c r="M44" s="911"/>
    </row>
    <row r="45" spans="2:14" hidden="1" x14ac:dyDescent="0.3">
      <c r="B45" s="884" t="s">
        <v>832</v>
      </c>
      <c r="C45" s="1639" t="s">
        <v>833</v>
      </c>
      <c r="D45" s="1639"/>
      <c r="E45" s="1639"/>
      <c r="F45" s="894"/>
      <c r="G45" s="894"/>
      <c r="H45" s="930"/>
      <c r="I45" s="930"/>
      <c r="J45" s="931"/>
      <c r="K45" s="924"/>
      <c r="L45" s="890"/>
      <c r="M45" s="932"/>
    </row>
    <row r="46" spans="2:14" hidden="1" x14ac:dyDescent="0.3">
      <c r="B46" s="897"/>
      <c r="C46" s="898" t="s">
        <v>231</v>
      </c>
      <c r="D46" s="1640" t="s">
        <v>834</v>
      </c>
      <c r="E46" s="1641"/>
      <c r="F46" s="898" t="s">
        <v>799</v>
      </c>
      <c r="G46" s="898"/>
      <c r="H46" s="933">
        <f>'[36]HARGA BAHAN &amp; ALAT'!$F$179</f>
        <v>133200</v>
      </c>
      <c r="I46" s="933">
        <f t="shared" ref="I46:I49" si="8">G46*H46</f>
        <v>0</v>
      </c>
      <c r="J46" s="934" t="s">
        <v>805</v>
      </c>
      <c r="K46" s="924"/>
      <c r="L46" s="918">
        <f>'[36]HARGA BAHAN &amp; ALAT'!$H$179</f>
        <v>0.41020000000000001</v>
      </c>
      <c r="M46" s="942">
        <f t="shared" ref="M46:M49" si="9">H46*L46</f>
        <v>54638.64</v>
      </c>
      <c r="N46" s="938" t="s">
        <v>835</v>
      </c>
    </row>
    <row r="47" spans="2:14" hidden="1" x14ac:dyDescent="0.3">
      <c r="B47" s="897"/>
      <c r="C47" s="900" t="s">
        <v>234</v>
      </c>
      <c r="D47" s="1661" t="s">
        <v>836</v>
      </c>
      <c r="E47" s="1662"/>
      <c r="F47" s="900" t="s">
        <v>799</v>
      </c>
      <c r="G47" s="900"/>
      <c r="H47" s="933">
        <f>'[36]HARGA BAHAN &amp; ALAT'!$F$179</f>
        <v>133200</v>
      </c>
      <c r="I47" s="933">
        <f t="shared" si="8"/>
        <v>0</v>
      </c>
      <c r="J47" s="923" t="s">
        <v>805</v>
      </c>
      <c r="K47" s="924"/>
      <c r="L47" s="918">
        <f>'[36]HARGA BAHAN &amp; ALAT'!$H$179</f>
        <v>0.41020000000000001</v>
      </c>
      <c r="M47" s="942">
        <f t="shared" si="9"/>
        <v>54638.64</v>
      </c>
      <c r="N47" s="938" t="s">
        <v>835</v>
      </c>
    </row>
    <row r="48" spans="2:14" hidden="1" x14ac:dyDescent="0.3">
      <c r="B48" s="897"/>
      <c r="C48" s="900" t="s">
        <v>251</v>
      </c>
      <c r="D48" s="1661" t="s">
        <v>837</v>
      </c>
      <c r="E48" s="1662"/>
      <c r="F48" s="900" t="s">
        <v>799</v>
      </c>
      <c r="G48" s="900"/>
      <c r="H48" s="933">
        <f>'[36]HARGA BAHAN &amp; ALAT'!$F$179</f>
        <v>133200</v>
      </c>
      <c r="I48" s="933">
        <f t="shared" si="8"/>
        <v>0</v>
      </c>
      <c r="J48" s="923" t="s">
        <v>805</v>
      </c>
      <c r="K48" s="924"/>
      <c r="L48" s="918">
        <f>'[36]HARGA BAHAN &amp; ALAT'!$H$179</f>
        <v>0.41020000000000001</v>
      </c>
      <c r="M48" s="942">
        <f t="shared" si="9"/>
        <v>54638.64</v>
      </c>
      <c r="N48" s="938" t="s">
        <v>835</v>
      </c>
    </row>
    <row r="49" spans="2:14" hidden="1" x14ac:dyDescent="0.3">
      <c r="B49" s="897"/>
      <c r="C49" s="900" t="s">
        <v>253</v>
      </c>
      <c r="D49" s="1661" t="s">
        <v>838</v>
      </c>
      <c r="E49" s="1662"/>
      <c r="F49" s="900" t="s">
        <v>799</v>
      </c>
      <c r="G49" s="900"/>
      <c r="H49" s="933">
        <f>'[36]HARGA BAHAN &amp; ALAT'!$F$179</f>
        <v>133200</v>
      </c>
      <c r="I49" s="933">
        <f t="shared" si="8"/>
        <v>0</v>
      </c>
      <c r="J49" s="923" t="s">
        <v>805</v>
      </c>
      <c r="K49" s="924"/>
      <c r="L49" s="918">
        <f>'[36]HARGA BAHAN &amp; ALAT'!$H$179</f>
        <v>0.41020000000000001</v>
      </c>
      <c r="M49" s="942">
        <f t="shared" si="9"/>
        <v>54638.64</v>
      </c>
      <c r="N49" s="938" t="s">
        <v>835</v>
      </c>
    </row>
    <row r="50" spans="2:14" ht="14.4" hidden="1" customHeight="1" x14ac:dyDescent="0.3">
      <c r="B50" s="943"/>
      <c r="C50" s="901" t="s">
        <v>839</v>
      </c>
      <c r="D50" s="1659" t="s">
        <v>840</v>
      </c>
      <c r="E50" s="1660"/>
      <c r="F50" s="902"/>
      <c r="G50" s="902"/>
      <c r="H50" s="944"/>
      <c r="I50" s="903">
        <f>SUM(I46:I49)</f>
        <v>0</v>
      </c>
      <c r="J50" s="904"/>
      <c r="K50" s="895"/>
      <c r="L50" s="905"/>
      <c r="M50" s="903"/>
    </row>
    <row r="51" spans="2:14" hidden="1" x14ac:dyDescent="0.3">
      <c r="B51" s="904"/>
      <c r="C51" s="945"/>
      <c r="D51" s="945"/>
      <c r="E51" s="909"/>
      <c r="F51" s="909"/>
      <c r="G51" s="909"/>
      <c r="H51" s="910"/>
      <c r="I51" s="910"/>
      <c r="J51" s="909"/>
      <c r="K51" s="895"/>
      <c r="L51" s="905"/>
      <c r="M51" s="911"/>
    </row>
    <row r="52" spans="2:14" hidden="1" x14ac:dyDescent="0.3">
      <c r="B52" s="884" t="s">
        <v>841</v>
      </c>
      <c r="C52" s="1639" t="s">
        <v>842</v>
      </c>
      <c r="D52" s="1639"/>
      <c r="E52" s="1639"/>
      <c r="F52" s="894"/>
      <c r="G52" s="894"/>
      <c r="H52" s="930"/>
      <c r="I52" s="930"/>
      <c r="J52" s="931"/>
      <c r="K52" s="924"/>
      <c r="L52" s="890"/>
      <c r="M52" s="932"/>
    </row>
    <row r="53" spans="2:14" ht="29.4" hidden="1" customHeight="1" x14ac:dyDescent="0.3">
      <c r="B53" s="897"/>
      <c r="C53" s="898" t="s">
        <v>231</v>
      </c>
      <c r="D53" s="1640" t="s">
        <v>843</v>
      </c>
      <c r="E53" s="1641"/>
      <c r="F53" s="898" t="s">
        <v>477</v>
      </c>
      <c r="G53" s="898">
        <v>0</v>
      </c>
      <c r="H53" s="933">
        <v>500000</v>
      </c>
      <c r="I53" s="933">
        <f t="shared" ref="I53:I54" si="10">G53*H53</f>
        <v>0</v>
      </c>
      <c r="J53" s="1663" t="s">
        <v>844</v>
      </c>
      <c r="K53" s="950"/>
      <c r="L53" s="952">
        <v>1</v>
      </c>
      <c r="M53" s="942">
        <f t="shared" ref="M53:M54" si="11">H53*L53</f>
        <v>500000</v>
      </c>
    </row>
    <row r="54" spans="2:14" hidden="1" x14ac:dyDescent="0.3">
      <c r="B54" s="897"/>
      <c r="C54" s="900" t="s">
        <v>234</v>
      </c>
      <c r="D54" s="1661" t="s">
        <v>845</v>
      </c>
      <c r="E54" s="1662"/>
      <c r="F54" s="900" t="s">
        <v>477</v>
      </c>
      <c r="G54" s="900">
        <v>0</v>
      </c>
      <c r="H54" s="933">
        <v>500000</v>
      </c>
      <c r="I54" s="933">
        <f t="shared" si="10"/>
        <v>0</v>
      </c>
      <c r="J54" s="1664"/>
      <c r="K54" s="950"/>
      <c r="L54" s="952">
        <v>1</v>
      </c>
      <c r="M54" s="942">
        <f t="shared" si="11"/>
        <v>500000</v>
      </c>
    </row>
    <row r="55" spans="2:14" ht="14.4" hidden="1" customHeight="1" x14ac:dyDescent="0.3">
      <c r="B55" s="943"/>
      <c r="C55" s="901" t="s">
        <v>846</v>
      </c>
      <c r="D55" s="1659" t="s">
        <v>847</v>
      </c>
      <c r="E55" s="1660"/>
      <c r="F55" s="902"/>
      <c r="G55" s="902"/>
      <c r="H55" s="944"/>
      <c r="I55" s="903">
        <f>SUM(I53:I54)</f>
        <v>0</v>
      </c>
      <c r="J55" s="904"/>
      <c r="K55" s="895"/>
      <c r="L55" s="905"/>
      <c r="M55" s="903"/>
    </row>
    <row r="56" spans="2:14" hidden="1" x14ac:dyDescent="0.3">
      <c r="B56" s="904"/>
      <c r="C56" s="945"/>
      <c r="D56" s="945"/>
      <c r="E56" s="909"/>
      <c r="F56" s="909"/>
      <c r="G56" s="909"/>
      <c r="H56" s="910"/>
      <c r="I56" s="910"/>
      <c r="J56" s="909"/>
      <c r="K56" s="895"/>
      <c r="L56" s="905"/>
      <c r="M56" s="911"/>
    </row>
    <row r="57" spans="2:14" hidden="1" x14ac:dyDescent="0.3">
      <c r="B57" s="884" t="s">
        <v>848</v>
      </c>
      <c r="C57" s="1639" t="s">
        <v>849</v>
      </c>
      <c r="D57" s="1639"/>
      <c r="E57" s="1639"/>
      <c r="F57" s="894"/>
      <c r="G57" s="894"/>
      <c r="H57" s="930"/>
      <c r="I57" s="930"/>
      <c r="J57" s="931"/>
      <c r="K57" s="924"/>
      <c r="L57" s="890"/>
      <c r="M57" s="932"/>
    </row>
    <row r="58" spans="2:14" hidden="1" x14ac:dyDescent="0.3">
      <c r="B58" s="897"/>
      <c r="C58" s="898" t="s">
        <v>231</v>
      </c>
      <c r="D58" s="1640" t="str">
        <f>'[36]HARGA BAHAN &amp; ALAT'!D184</f>
        <v>APAR 3 kg (+ Set Komplit (Tabung+ABC Power+ Nitrogen)</v>
      </c>
      <c r="E58" s="1641"/>
      <c r="F58" s="898" t="s">
        <v>799</v>
      </c>
      <c r="G58" s="898">
        <v>0</v>
      </c>
      <c r="H58" s="933">
        <f>'[36]HARGA BAHAN &amp; ALAT'!$F$184</f>
        <v>189000</v>
      </c>
      <c r="I58" s="933">
        <f t="shared" ref="I58:I64" si="12">G58*H58</f>
        <v>0</v>
      </c>
      <c r="J58" s="1658" t="s">
        <v>850</v>
      </c>
      <c r="K58" s="899"/>
      <c r="L58" s="937">
        <f>'[36]HARGA BAHAN &amp; ALAT'!H184</f>
        <v>0.1673</v>
      </c>
      <c r="M58" s="942">
        <f t="shared" ref="M58:M64" si="13">H58*L58</f>
        <v>31619.7</v>
      </c>
      <c r="N58" s="938" t="s">
        <v>851</v>
      </c>
    </row>
    <row r="59" spans="2:14" hidden="1" x14ac:dyDescent="0.3">
      <c r="B59" s="897"/>
      <c r="C59" s="921" t="s">
        <v>234</v>
      </c>
      <c r="D59" s="1666" t="s">
        <v>852</v>
      </c>
      <c r="E59" s="1667"/>
      <c r="F59" s="900" t="s">
        <v>799</v>
      </c>
      <c r="G59" s="900"/>
      <c r="H59" s="922"/>
      <c r="I59" s="933">
        <f t="shared" si="12"/>
        <v>0</v>
      </c>
      <c r="J59" s="1640"/>
      <c r="K59" s="899"/>
      <c r="L59" s="937"/>
      <c r="M59" s="942">
        <f t="shared" si="13"/>
        <v>0</v>
      </c>
    </row>
    <row r="60" spans="2:14" hidden="1" x14ac:dyDescent="0.3">
      <c r="B60" s="897"/>
      <c r="C60" s="900" t="s">
        <v>234</v>
      </c>
      <c r="D60" s="1661" t="s">
        <v>756</v>
      </c>
      <c r="E60" s="1662"/>
      <c r="F60" s="900" t="s">
        <v>799</v>
      </c>
      <c r="G60" s="900">
        <v>0</v>
      </c>
      <c r="H60" s="922">
        <f>'[36]HARGA BAHAN &amp; ALAT'!$F$185</f>
        <v>52000</v>
      </c>
      <c r="I60" s="933">
        <f t="shared" si="12"/>
        <v>0</v>
      </c>
      <c r="J60" s="923" t="s">
        <v>805</v>
      </c>
      <c r="K60" s="924"/>
      <c r="L60" s="918" t="e">
        <f>'[36]HARGA BAHAN &amp; ALAT'!H185</f>
        <v>#REF!</v>
      </c>
      <c r="M60" s="942" t="e">
        <f t="shared" si="13"/>
        <v>#REF!</v>
      </c>
    </row>
    <row r="61" spans="2:14" hidden="1" x14ac:dyDescent="0.3">
      <c r="B61" s="897"/>
      <c r="C61" s="900" t="s">
        <v>251</v>
      </c>
      <c r="D61" s="1661" t="s">
        <v>853</v>
      </c>
      <c r="E61" s="1662"/>
      <c r="F61" s="900" t="s">
        <v>799</v>
      </c>
      <c r="G61" s="900">
        <v>0</v>
      </c>
      <c r="H61" s="922">
        <f>'[36]HARGA BAHAN &amp; ALAT'!$F$186</f>
        <v>135000</v>
      </c>
      <c r="I61" s="933">
        <f t="shared" si="12"/>
        <v>0</v>
      </c>
      <c r="J61" s="923" t="s">
        <v>805</v>
      </c>
      <c r="K61" s="924"/>
      <c r="L61" s="918">
        <f>'[36]HARGA BAHAN &amp; ALAT'!H186</f>
        <v>0.25380000000000003</v>
      </c>
      <c r="M61" s="942">
        <f t="shared" si="13"/>
        <v>34263</v>
      </c>
      <c r="N61" s="938" t="s">
        <v>854</v>
      </c>
    </row>
    <row r="62" spans="2:14" hidden="1" x14ac:dyDescent="0.3">
      <c r="B62" s="897"/>
      <c r="C62" s="900" t="s">
        <v>253</v>
      </c>
      <c r="D62" s="1661" t="s">
        <v>855</v>
      </c>
      <c r="E62" s="1662"/>
      <c r="F62" s="900" t="s">
        <v>856</v>
      </c>
      <c r="G62" s="900">
        <v>0</v>
      </c>
      <c r="H62" s="922">
        <f>'[36]HARGA BAHAN &amp; ALAT'!$F$187</f>
        <v>10000</v>
      </c>
      <c r="I62" s="933">
        <f t="shared" si="12"/>
        <v>0</v>
      </c>
      <c r="J62" s="925" t="s">
        <v>857</v>
      </c>
      <c r="K62" s="899"/>
      <c r="L62" s="937" t="e">
        <f>'[36]HARGA BAHAN &amp; ALAT'!H187</f>
        <v>#REF!</v>
      </c>
      <c r="M62" s="942" t="e">
        <f t="shared" si="13"/>
        <v>#REF!</v>
      </c>
    </row>
    <row r="63" spans="2:14" ht="27.6" hidden="1" x14ac:dyDescent="0.3">
      <c r="B63" s="897"/>
      <c r="C63" s="900" t="s">
        <v>340</v>
      </c>
      <c r="D63" s="1661" t="s">
        <v>858</v>
      </c>
      <c r="E63" s="1662"/>
      <c r="F63" s="900" t="s">
        <v>250</v>
      </c>
      <c r="G63" s="900">
        <v>0</v>
      </c>
      <c r="H63" s="922">
        <v>500000</v>
      </c>
      <c r="I63" s="933">
        <f t="shared" si="12"/>
        <v>0</v>
      </c>
      <c r="J63" s="925" t="s">
        <v>859</v>
      </c>
      <c r="K63" s="899"/>
      <c r="L63" s="937">
        <v>0</v>
      </c>
      <c r="M63" s="942">
        <f t="shared" si="13"/>
        <v>0</v>
      </c>
    </row>
    <row r="64" spans="2:14" ht="27.6" hidden="1" x14ac:dyDescent="0.3">
      <c r="B64" s="897"/>
      <c r="C64" s="900" t="s">
        <v>342</v>
      </c>
      <c r="D64" s="1661" t="s">
        <v>860</v>
      </c>
      <c r="E64" s="1662"/>
      <c r="F64" s="900" t="s">
        <v>250</v>
      </c>
      <c r="G64" s="900">
        <v>0</v>
      </c>
      <c r="H64" s="922">
        <v>500000</v>
      </c>
      <c r="I64" s="933">
        <f t="shared" si="12"/>
        <v>0</v>
      </c>
      <c r="J64" s="925" t="s">
        <v>859</v>
      </c>
      <c r="K64" s="899"/>
      <c r="L64" s="937">
        <v>0</v>
      </c>
      <c r="M64" s="942">
        <f t="shared" si="13"/>
        <v>0</v>
      </c>
    </row>
    <row r="65" spans="2:13" ht="14.4" hidden="1" customHeight="1" x14ac:dyDescent="0.3">
      <c r="B65" s="943"/>
      <c r="C65" s="901" t="s">
        <v>784</v>
      </c>
      <c r="D65" s="1659" t="s">
        <v>861</v>
      </c>
      <c r="E65" s="1660"/>
      <c r="F65" s="902"/>
      <c r="G65" s="902"/>
      <c r="H65" s="944"/>
      <c r="I65" s="903">
        <f>SUM(I58:I64)</f>
        <v>0</v>
      </c>
      <c r="J65" s="904"/>
      <c r="K65" s="895"/>
      <c r="L65" s="952"/>
      <c r="M65" s="903"/>
    </row>
    <row r="66" spans="2:13" ht="7.95" customHeight="1" x14ac:dyDescent="0.3">
      <c r="B66" s="904"/>
      <c r="C66" s="945"/>
      <c r="D66" s="945"/>
      <c r="E66" s="909"/>
      <c r="F66" s="909"/>
      <c r="G66" s="909"/>
      <c r="H66" s="909"/>
      <c r="I66" s="909"/>
      <c r="J66" s="909"/>
      <c r="K66" s="895"/>
      <c r="L66" s="905"/>
      <c r="M66" s="911"/>
    </row>
    <row r="67" spans="2:13" ht="21" customHeight="1" x14ac:dyDescent="0.3">
      <c r="B67" s="1629" t="s">
        <v>862</v>
      </c>
      <c r="C67" s="1665"/>
      <c r="D67" s="1665"/>
      <c r="E67" s="1665"/>
      <c r="F67" s="1665"/>
      <c r="G67" s="1665"/>
      <c r="H67" s="1665"/>
      <c r="I67" s="953">
        <f>I14+I22+I32+I36+I39+I43+I50+I55+I65</f>
        <v>1000000</v>
      </c>
      <c r="J67" s="904"/>
      <c r="K67" s="895"/>
      <c r="L67" s="905"/>
      <c r="M67" s="954"/>
    </row>
    <row r="68" spans="2:13" x14ac:dyDescent="0.3">
      <c r="K68" s="895"/>
    </row>
  </sheetData>
  <mergeCells count="56">
    <mergeCell ref="B67:H67"/>
    <mergeCell ref="D55:E55"/>
    <mergeCell ref="C57:E57"/>
    <mergeCell ref="D58:E58"/>
    <mergeCell ref="J58:J59"/>
    <mergeCell ref="D59:E59"/>
    <mergeCell ref="D60:E60"/>
    <mergeCell ref="D61:E61"/>
    <mergeCell ref="D62:E62"/>
    <mergeCell ref="D63:E63"/>
    <mergeCell ref="D64:E64"/>
    <mergeCell ref="D65:E65"/>
    <mergeCell ref="D50:E50"/>
    <mergeCell ref="C52:E52"/>
    <mergeCell ref="D53:E53"/>
    <mergeCell ref="J53:J54"/>
    <mergeCell ref="D54:E54"/>
    <mergeCell ref="D49:E49"/>
    <mergeCell ref="D43:E43"/>
    <mergeCell ref="C45:E45"/>
    <mergeCell ref="D46:E46"/>
    <mergeCell ref="D47:E47"/>
    <mergeCell ref="D48:E48"/>
    <mergeCell ref="D39:E39"/>
    <mergeCell ref="C41:E41"/>
    <mergeCell ref="D42:E42"/>
    <mergeCell ref="D36:E36"/>
    <mergeCell ref="C38:E38"/>
    <mergeCell ref="D32:E32"/>
    <mergeCell ref="C34:E34"/>
    <mergeCell ref="D35:E35"/>
    <mergeCell ref="D20:E20"/>
    <mergeCell ref="D21:E21"/>
    <mergeCell ref="D22:E22"/>
    <mergeCell ref="C24:E24"/>
    <mergeCell ref="D25:E25"/>
    <mergeCell ref="D27:E27"/>
    <mergeCell ref="D17:E17"/>
    <mergeCell ref="D18:E18"/>
    <mergeCell ref="D19:E19"/>
    <mergeCell ref="L11:L13"/>
    <mergeCell ref="M11:M13"/>
    <mergeCell ref="D12:E12"/>
    <mergeCell ref="D13:E13"/>
    <mergeCell ref="D14:E14"/>
    <mergeCell ref="C16:E16"/>
    <mergeCell ref="D11:E11"/>
    <mergeCell ref="G11:G13"/>
    <mergeCell ref="H11:H13"/>
    <mergeCell ref="I11:I13"/>
    <mergeCell ref="J11:J13"/>
    <mergeCell ref="B2:L2"/>
    <mergeCell ref="B4:F5"/>
    <mergeCell ref="C7:E7"/>
    <mergeCell ref="C8:E8"/>
    <mergeCell ref="C10:E10"/>
  </mergeCells>
  <conditionalFormatting sqref="B10:D10">
    <cfRule type="duplicateValues" dxfId="8" priority="9"/>
  </conditionalFormatting>
  <conditionalFormatting sqref="B16:D16">
    <cfRule type="duplicateValues" dxfId="7" priority="8"/>
  </conditionalFormatting>
  <conditionalFormatting sqref="B24:D24">
    <cfRule type="duplicateValues" dxfId="6" priority="7"/>
  </conditionalFormatting>
  <conditionalFormatting sqref="B34:D34">
    <cfRule type="duplicateValues" dxfId="5" priority="6"/>
  </conditionalFormatting>
  <conditionalFormatting sqref="B38:D38">
    <cfRule type="duplicateValues" dxfId="4" priority="5"/>
  </conditionalFormatting>
  <conditionalFormatting sqref="B41:D41">
    <cfRule type="duplicateValues" dxfId="3" priority="4"/>
  </conditionalFormatting>
  <conditionalFormatting sqref="B45:D45">
    <cfRule type="duplicateValues" dxfId="2" priority="3"/>
  </conditionalFormatting>
  <conditionalFormatting sqref="B52:D52">
    <cfRule type="duplicateValues" dxfId="1" priority="2"/>
  </conditionalFormatting>
  <conditionalFormatting sqref="B57:D57">
    <cfRule type="duplicateValues" dxfId="0" priority="1"/>
  </conditionalFormatting>
  <hyperlinks>
    <hyperlink ref="N28" r:id="rId1" xr:uid="{E0D159DC-03DC-4918-8864-E8680202D076}"/>
    <hyperlink ref="N29" r:id="rId2" xr:uid="{4C329A5A-FB87-4CCD-AE98-2B8690C11CBE}"/>
    <hyperlink ref="N30" r:id="rId3" xr:uid="{69C00698-061F-4982-8E75-E5EB66AC84E8}"/>
    <hyperlink ref="N31" r:id="rId4" xr:uid="{42DBDEE7-00CC-4D0C-AE44-55B4AC6F51BD}"/>
    <hyperlink ref="N46" r:id="rId5" xr:uid="{9DE4EEF1-0298-42F8-9064-405CB8833DE2}"/>
    <hyperlink ref="N47" r:id="rId6" xr:uid="{A43B1DDB-7AD8-4A0D-BA83-67A0E0DAD8AB}"/>
    <hyperlink ref="N48" r:id="rId7" xr:uid="{ED7CF7D5-182D-4F39-8FC4-8F264B252C53}"/>
    <hyperlink ref="N49" r:id="rId8" xr:uid="{50263EB6-4F94-4BE2-B5F8-A8CB38F5273B}"/>
    <hyperlink ref="N58" r:id="rId9" xr:uid="{F19B8CA2-D131-46A0-899B-056445C12598}"/>
    <hyperlink ref="N61" r:id="rId10" xr:uid="{ABAC33C3-5215-43E8-8CFE-0AC954492AD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4850-5C44-4B10-878E-C900A80BF3FB}">
  <dimension ref="B4:I14"/>
  <sheetViews>
    <sheetView workbookViewId="0">
      <selection activeCell="B4" sqref="B4:F14"/>
    </sheetView>
  </sheetViews>
  <sheetFormatPr defaultRowHeight="13.8" x14ac:dyDescent="0.3"/>
  <cols>
    <col min="2" max="2" width="6.75" customWidth="1"/>
    <col min="3" max="6" width="16.125" customWidth="1"/>
  </cols>
  <sheetData>
    <row r="4" spans="2:9" x14ac:dyDescent="0.3">
      <c r="B4" s="1254"/>
      <c r="C4" s="1254" t="s">
        <v>981</v>
      </c>
      <c r="D4" s="1254"/>
      <c r="E4" s="1254"/>
      <c r="F4" s="1254"/>
    </row>
    <row r="5" spans="2:9" x14ac:dyDescent="0.3">
      <c r="B5" s="1668" t="s">
        <v>1011</v>
      </c>
      <c r="C5" s="1668" t="str">
        <f>I6</f>
        <v xml:space="preserve">Node ID                </v>
      </c>
      <c r="D5" s="1255" t="s">
        <v>982</v>
      </c>
      <c r="E5" s="1255" t="s">
        <v>983</v>
      </c>
      <c r="F5" s="1255" t="s">
        <v>984</v>
      </c>
    </row>
    <row r="6" spans="2:9" x14ac:dyDescent="0.3">
      <c r="B6" s="1668"/>
      <c r="C6" s="1668"/>
      <c r="D6" s="1256" t="s">
        <v>985</v>
      </c>
      <c r="E6" s="1256" t="s">
        <v>986</v>
      </c>
      <c r="F6" s="1256" t="s">
        <v>986</v>
      </c>
      <c r="I6" t="s">
        <v>1010</v>
      </c>
    </row>
    <row r="7" spans="2:9" x14ac:dyDescent="0.3">
      <c r="B7" s="1257">
        <v>1</v>
      </c>
      <c r="C7" s="1258" t="s">
        <v>987</v>
      </c>
      <c r="D7" s="1256" t="s">
        <v>988</v>
      </c>
      <c r="E7" s="1256" t="s">
        <v>989</v>
      </c>
      <c r="F7" s="1256" t="s">
        <v>990</v>
      </c>
    </row>
    <row r="8" spans="2:9" x14ac:dyDescent="0.3">
      <c r="B8" s="1257">
        <v>2</v>
      </c>
      <c r="C8" s="1258" t="s">
        <v>991</v>
      </c>
      <c r="D8" s="1256" t="s">
        <v>992</v>
      </c>
      <c r="E8" s="1256" t="s">
        <v>993</v>
      </c>
      <c r="F8" s="1256" t="s">
        <v>994</v>
      </c>
    </row>
    <row r="9" spans="2:9" x14ac:dyDescent="0.3">
      <c r="B9" s="1257">
        <v>3</v>
      </c>
      <c r="C9" s="1258" t="s">
        <v>995</v>
      </c>
      <c r="D9" s="1256" t="s">
        <v>988</v>
      </c>
      <c r="E9" s="1256" t="s">
        <v>993</v>
      </c>
      <c r="F9" s="1256" t="s">
        <v>996</v>
      </c>
    </row>
    <row r="10" spans="2:9" x14ac:dyDescent="0.3">
      <c r="B10" s="1257">
        <v>4</v>
      </c>
      <c r="C10" s="1258" t="s">
        <v>997</v>
      </c>
      <c r="D10" s="1256" t="s">
        <v>998</v>
      </c>
      <c r="E10" s="1256" t="s">
        <v>999</v>
      </c>
      <c r="F10" s="1256" t="s">
        <v>1000</v>
      </c>
    </row>
    <row r="11" spans="2:9" x14ac:dyDescent="0.3">
      <c r="B11" s="1257">
        <v>5</v>
      </c>
      <c r="C11" s="1258" t="s">
        <v>1001</v>
      </c>
      <c r="D11" s="1256" t="s">
        <v>988</v>
      </c>
      <c r="E11" s="1256" t="s">
        <v>1002</v>
      </c>
      <c r="F11" s="1256" t="s">
        <v>1003</v>
      </c>
    </row>
    <row r="12" spans="2:9" x14ac:dyDescent="0.3">
      <c r="B12" s="1257">
        <v>6</v>
      </c>
      <c r="C12" s="1258" t="s">
        <v>1004</v>
      </c>
      <c r="D12" s="1256" t="s">
        <v>1005</v>
      </c>
      <c r="E12" s="1256" t="s">
        <v>1006</v>
      </c>
      <c r="F12" s="1256" t="s">
        <v>988</v>
      </c>
    </row>
    <row r="13" spans="2:9" x14ac:dyDescent="0.3">
      <c r="B13" s="1257">
        <v>7</v>
      </c>
      <c r="C13" s="1258" t="s">
        <v>1007</v>
      </c>
      <c r="D13" s="1256" t="s">
        <v>1008</v>
      </c>
      <c r="E13" s="1256" t="s">
        <v>1009</v>
      </c>
      <c r="F13" s="1256" t="s">
        <v>988</v>
      </c>
    </row>
    <row r="14" spans="2:9" x14ac:dyDescent="0.3">
      <c r="B14" s="1259"/>
      <c r="C14" s="1259"/>
      <c r="D14" s="1259"/>
      <c r="E14" s="1259"/>
      <c r="F14" s="1259"/>
    </row>
  </sheetData>
  <mergeCells count="2">
    <mergeCell ref="C5:C6"/>
    <mergeCell ref="B5:B6"/>
  </mergeCells>
  <pageMargins left="0.7" right="0.7" top="0.75" bottom="0.75" header="0.3" footer="0.3"/>
  <pageSetup paperSize="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1"/>
  <sheetViews>
    <sheetView workbookViewId="0">
      <selection activeCell="I16" sqref="I16"/>
    </sheetView>
  </sheetViews>
  <sheetFormatPr defaultColWidth="9.375" defaultRowHeight="13.8" x14ac:dyDescent="0.3"/>
  <cols>
    <col min="1" max="1" width="9.375" style="10"/>
    <col min="2" max="2" width="7.375" style="10" customWidth="1"/>
    <col min="3" max="3" width="36.5" style="10" customWidth="1"/>
    <col min="4" max="4" width="3.5" style="10" customWidth="1"/>
    <col min="5" max="5" width="9.875" style="10" customWidth="1"/>
    <col min="6" max="6" width="3" style="10" customWidth="1"/>
    <col min="7" max="7" width="9.375" style="10"/>
    <col min="8" max="8" width="9.375" style="155"/>
    <col min="9" max="9" width="19.5" style="232" customWidth="1"/>
    <col min="10" max="10" width="21.375" style="10" customWidth="1"/>
    <col min="11" max="11" width="9.375" style="10"/>
    <col min="12" max="12" width="1.625" style="10" customWidth="1"/>
    <col min="13" max="13" width="4.625" style="10" customWidth="1"/>
    <col min="14" max="16384" width="9.375" style="10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219"/>
      <c r="I1" s="220"/>
      <c r="J1" s="1"/>
      <c r="K1" s="1"/>
    </row>
    <row r="2" spans="1:11" ht="15" customHeight="1" thickBot="1" x14ac:dyDescent="0.35">
      <c r="A2" s="1"/>
      <c r="B2" s="71"/>
      <c r="C2" s="71"/>
      <c r="D2" s="71"/>
      <c r="E2" s="71"/>
      <c r="F2" s="71"/>
      <c r="G2" s="71"/>
      <c r="H2" s="221"/>
      <c r="I2" s="222"/>
      <c r="J2" s="512"/>
      <c r="K2" s="1"/>
    </row>
    <row r="3" spans="1:11" ht="15" customHeight="1" x14ac:dyDescent="0.3">
      <c r="A3" s="1"/>
      <c r="B3" s="1669" t="s">
        <v>9</v>
      </c>
      <c r="C3" s="1672" t="s">
        <v>408</v>
      </c>
      <c r="D3" s="1673"/>
      <c r="E3" s="1673"/>
      <c r="F3" s="1673"/>
      <c r="G3" s="1673"/>
      <c r="H3" s="1674"/>
      <c r="I3" s="1681" t="s">
        <v>12</v>
      </c>
      <c r="J3" s="1683" t="s">
        <v>219</v>
      </c>
      <c r="K3" s="1"/>
    </row>
    <row r="4" spans="1:11" ht="15" customHeight="1" x14ac:dyDescent="0.3">
      <c r="A4" s="1"/>
      <c r="B4" s="1670"/>
      <c r="C4" s="1675"/>
      <c r="D4" s="1676"/>
      <c r="E4" s="1676"/>
      <c r="F4" s="1676"/>
      <c r="G4" s="1676"/>
      <c r="H4" s="1677"/>
      <c r="I4" s="1682"/>
      <c r="J4" s="1684"/>
      <c r="K4" s="1"/>
    </row>
    <row r="5" spans="1:11" ht="15" customHeight="1" x14ac:dyDescent="0.3">
      <c r="A5" s="1"/>
      <c r="B5" s="1671"/>
      <c r="C5" s="1678"/>
      <c r="D5" s="1679"/>
      <c r="E5" s="1679"/>
      <c r="F5" s="1679"/>
      <c r="G5" s="1679"/>
      <c r="H5" s="1680"/>
      <c r="I5" s="223" t="s">
        <v>13</v>
      </c>
      <c r="J5" s="431" t="s">
        <v>13</v>
      </c>
      <c r="K5" s="1"/>
    </row>
    <row r="6" spans="1:11" ht="15" customHeight="1" x14ac:dyDescent="0.3">
      <c r="A6" s="1"/>
      <c r="B6" s="432"/>
      <c r="C6" s="71"/>
      <c r="D6" s="71"/>
      <c r="E6" s="71"/>
      <c r="F6" s="71"/>
      <c r="G6" s="71"/>
      <c r="H6" s="224"/>
      <c r="I6" s="1055"/>
      <c r="J6" s="433"/>
      <c r="K6" s="1"/>
    </row>
    <row r="7" spans="1:11" ht="15" customHeight="1" x14ac:dyDescent="0.3">
      <c r="A7" s="1"/>
      <c r="B7" s="434" t="s">
        <v>409</v>
      </c>
      <c r="C7" s="435" t="s">
        <v>229</v>
      </c>
      <c r="D7" s="71"/>
      <c r="E7" s="71"/>
      <c r="F7" s="71"/>
      <c r="G7" s="71"/>
      <c r="H7" s="224"/>
      <c r="I7" s="1055"/>
      <c r="J7" s="433"/>
      <c r="K7" s="1"/>
    </row>
    <row r="8" spans="1:11" ht="15" customHeight="1" x14ac:dyDescent="0.3">
      <c r="A8" s="1"/>
      <c r="B8" s="432"/>
      <c r="C8" s="71"/>
      <c r="D8" s="71"/>
      <c r="E8" s="71"/>
      <c r="F8" s="71"/>
      <c r="G8" s="71"/>
      <c r="H8" s="224"/>
      <c r="I8" s="1055"/>
      <c r="J8" s="433"/>
      <c r="K8" s="1"/>
    </row>
    <row r="9" spans="1:11" ht="15" customHeight="1" x14ac:dyDescent="0.3">
      <c r="A9" s="1"/>
      <c r="B9" s="436" t="s">
        <v>410</v>
      </c>
      <c r="C9" s="316" t="s">
        <v>411</v>
      </c>
      <c r="D9" s="1"/>
      <c r="E9" s="1"/>
      <c r="F9" s="1"/>
      <c r="G9" s="1"/>
      <c r="H9" s="225"/>
      <c r="I9" s="1056"/>
      <c r="J9" s="437"/>
      <c r="K9" s="1"/>
    </row>
    <row r="10" spans="1:11" ht="15" customHeight="1" x14ac:dyDescent="0.3">
      <c r="A10" s="1"/>
      <c r="B10" s="438"/>
      <c r="C10" s="1"/>
      <c r="D10" s="1"/>
      <c r="E10" s="1"/>
      <c r="F10" s="1"/>
      <c r="G10" s="1"/>
      <c r="H10" s="225"/>
      <c r="I10" s="1056"/>
      <c r="J10" s="437"/>
      <c r="K10" s="1"/>
    </row>
    <row r="11" spans="1:11" ht="15" customHeight="1" x14ac:dyDescent="0.3">
      <c r="A11" s="1"/>
      <c r="B11" s="438"/>
      <c r="C11" s="14" t="s">
        <v>412</v>
      </c>
      <c r="D11" s="14" t="s">
        <v>2</v>
      </c>
      <c r="E11" s="14" t="s">
        <v>413</v>
      </c>
      <c r="F11" s="1"/>
      <c r="G11" s="1"/>
      <c r="H11" s="225"/>
      <c r="I11" s="1057"/>
      <c r="J11" s="437"/>
      <c r="K11" s="1"/>
    </row>
    <row r="12" spans="1:11" ht="15" customHeight="1" x14ac:dyDescent="0.3">
      <c r="A12" s="1"/>
      <c r="B12" s="438"/>
      <c r="C12" s="14" t="s">
        <v>414</v>
      </c>
      <c r="D12" s="14" t="s">
        <v>2</v>
      </c>
      <c r="E12" s="14" t="s">
        <v>415</v>
      </c>
      <c r="F12" s="1"/>
      <c r="G12" s="1"/>
      <c r="H12" s="225"/>
      <c r="I12" s="1056"/>
      <c r="J12" s="437"/>
      <c r="K12" s="1"/>
    </row>
    <row r="13" spans="1:11" ht="15" customHeight="1" x14ac:dyDescent="0.3">
      <c r="A13" s="1"/>
      <c r="B13" s="438"/>
      <c r="C13" s="14" t="s">
        <v>416</v>
      </c>
      <c r="D13" s="14" t="s">
        <v>2</v>
      </c>
      <c r="E13" s="14" t="s">
        <v>417</v>
      </c>
      <c r="F13" s="1"/>
      <c r="G13" s="1"/>
      <c r="H13" s="226">
        <v>3</v>
      </c>
      <c r="I13" s="1058" t="s">
        <v>418</v>
      </c>
      <c r="J13" s="437"/>
      <c r="K13" s="1"/>
    </row>
    <row r="14" spans="1:11" ht="15" customHeight="1" x14ac:dyDescent="0.3">
      <c r="A14" s="1"/>
      <c r="B14" s="438"/>
      <c r="C14" s="14" t="s">
        <v>419</v>
      </c>
      <c r="D14" s="14" t="s">
        <v>2</v>
      </c>
      <c r="E14" s="14" t="s">
        <v>420</v>
      </c>
      <c r="F14" s="1"/>
      <c r="G14" s="1"/>
      <c r="H14" s="226">
        <v>2500</v>
      </c>
      <c r="I14" s="1058" t="s">
        <v>37</v>
      </c>
      <c r="J14" s="437"/>
      <c r="K14" s="1"/>
    </row>
    <row r="15" spans="1:11" ht="15" customHeight="1" x14ac:dyDescent="0.3">
      <c r="A15" s="1"/>
      <c r="B15" s="438"/>
      <c r="C15" s="14" t="s">
        <v>421</v>
      </c>
      <c r="D15" s="14" t="s">
        <v>2</v>
      </c>
      <c r="E15" s="14" t="s">
        <v>422</v>
      </c>
      <c r="F15" s="1"/>
      <c r="G15" s="1"/>
      <c r="H15" s="225"/>
      <c r="I15" s="1058">
        <v>450000000</v>
      </c>
      <c r="J15" s="437"/>
      <c r="K15" s="100">
        <f>[37]HARSAT!G35</f>
        <v>743325.29425000004</v>
      </c>
    </row>
    <row r="16" spans="1:11" ht="15" customHeight="1" x14ac:dyDescent="0.3">
      <c r="A16" s="1"/>
      <c r="B16" s="438"/>
      <c r="C16" s="14" t="s">
        <v>423</v>
      </c>
      <c r="D16" s="14" t="s">
        <v>2</v>
      </c>
      <c r="E16" s="14" t="s">
        <v>424</v>
      </c>
      <c r="F16" s="1"/>
      <c r="G16" s="1"/>
      <c r="H16" s="225"/>
      <c r="I16" s="1058">
        <f>I15*0.1</f>
        <v>45000000</v>
      </c>
      <c r="J16" s="437"/>
      <c r="K16" s="1"/>
    </row>
    <row r="17" spans="1:13" ht="15" customHeight="1" x14ac:dyDescent="0.3">
      <c r="A17" s="1"/>
      <c r="B17" s="438"/>
      <c r="C17" s="14" t="s">
        <v>425</v>
      </c>
      <c r="D17" s="14" t="s">
        <v>2</v>
      </c>
      <c r="E17" s="14" t="s">
        <v>426</v>
      </c>
      <c r="F17" s="1"/>
      <c r="G17" s="1"/>
      <c r="H17" s="225"/>
      <c r="I17" s="1058">
        <f>I15-I16</f>
        <v>405000000</v>
      </c>
      <c r="J17" s="437"/>
      <c r="K17" s="1"/>
    </row>
    <row r="18" spans="1:13" ht="15" customHeight="1" x14ac:dyDescent="0.3">
      <c r="A18" s="1"/>
      <c r="B18" s="438"/>
      <c r="C18" s="14" t="s">
        <v>427</v>
      </c>
      <c r="D18" s="14" t="s">
        <v>2</v>
      </c>
      <c r="E18" s="1"/>
      <c r="F18" s="1"/>
      <c r="G18" s="1"/>
      <c r="H18" s="225"/>
      <c r="I18" s="1056"/>
      <c r="J18" s="437"/>
      <c r="K18" s="1"/>
    </row>
    <row r="19" spans="1:13" ht="15" customHeight="1" x14ac:dyDescent="0.3">
      <c r="A19" s="1"/>
      <c r="B19" s="438"/>
      <c r="C19" s="14" t="s">
        <v>428</v>
      </c>
      <c r="D19" s="14" t="s">
        <v>2</v>
      </c>
      <c r="E19" s="14">
        <f>100/2</f>
        <v>50</v>
      </c>
      <c r="F19" s="14" t="s">
        <v>429</v>
      </c>
      <c r="G19" s="1"/>
      <c r="H19" s="225"/>
      <c r="I19" s="1056"/>
      <c r="J19" s="437"/>
      <c r="K19" s="1"/>
    </row>
    <row r="20" spans="1:13" ht="15" customHeight="1" x14ac:dyDescent="0.3">
      <c r="A20" s="1"/>
      <c r="B20" s="438"/>
      <c r="C20" s="14" t="s">
        <v>430</v>
      </c>
      <c r="D20" s="14" t="s">
        <v>2</v>
      </c>
      <c r="E20" s="14">
        <f>10/2</f>
        <v>5</v>
      </c>
      <c r="F20" s="14" t="s">
        <v>199</v>
      </c>
      <c r="G20" s="1"/>
      <c r="H20" s="225"/>
      <c r="I20" s="1056"/>
      <c r="J20" s="437"/>
      <c r="K20" s="1"/>
    </row>
    <row r="21" spans="1:13" ht="15" customHeight="1" x14ac:dyDescent="0.3">
      <c r="A21" s="1"/>
      <c r="B21" s="438"/>
      <c r="C21" s="14" t="s">
        <v>431</v>
      </c>
      <c r="D21" s="14" t="s">
        <v>2</v>
      </c>
      <c r="E21" s="14">
        <f>20/2</f>
        <v>10</v>
      </c>
      <c r="F21" s="14" t="s">
        <v>199</v>
      </c>
      <c r="G21" s="1"/>
      <c r="H21" s="225"/>
      <c r="I21" s="1056"/>
      <c r="J21" s="437"/>
      <c r="K21" s="1"/>
    </row>
    <row r="22" spans="1:13" ht="15" customHeight="1" x14ac:dyDescent="0.3">
      <c r="A22" s="1"/>
      <c r="B22" s="438"/>
      <c r="C22" s="14" t="s">
        <v>432</v>
      </c>
      <c r="D22" s="14" t="s">
        <v>2</v>
      </c>
      <c r="E22" s="14">
        <f>20/2</f>
        <v>10</v>
      </c>
      <c r="F22" s="14" t="s">
        <v>199</v>
      </c>
      <c r="G22" s="1"/>
      <c r="H22" s="225"/>
      <c r="I22" s="1056"/>
      <c r="J22" s="437"/>
      <c r="K22" s="1"/>
    </row>
    <row r="23" spans="1:13" ht="15" customHeight="1" x14ac:dyDescent="0.3">
      <c r="A23" s="1"/>
      <c r="B23" s="438"/>
      <c r="C23" s="14" t="s">
        <v>433</v>
      </c>
      <c r="D23" s="14" t="s">
        <v>2</v>
      </c>
      <c r="E23" s="14">
        <f>90/2</f>
        <v>45</v>
      </c>
      <c r="F23" s="14" t="s">
        <v>199</v>
      </c>
      <c r="G23" s="1"/>
      <c r="H23" s="225"/>
      <c r="I23" s="1056"/>
      <c r="J23" s="437"/>
      <c r="K23" s="1"/>
    </row>
    <row r="24" spans="1:13" ht="15" customHeight="1" x14ac:dyDescent="0.3">
      <c r="A24" s="1"/>
      <c r="B24" s="438"/>
      <c r="C24" s="1"/>
      <c r="D24" s="1"/>
      <c r="E24" s="1"/>
      <c r="F24" s="1"/>
      <c r="G24" s="1"/>
      <c r="H24" s="225"/>
      <c r="I24" s="1056"/>
      <c r="J24" s="437"/>
      <c r="K24" s="1"/>
    </row>
    <row r="25" spans="1:13" ht="15" customHeight="1" x14ac:dyDescent="0.3">
      <c r="A25" s="1"/>
      <c r="B25" s="438"/>
      <c r="C25" s="14" t="s">
        <v>434</v>
      </c>
      <c r="D25" s="14" t="s">
        <v>2</v>
      </c>
      <c r="E25" s="1"/>
      <c r="F25" s="1"/>
      <c r="G25" s="1"/>
      <c r="H25" s="225"/>
      <c r="I25" s="1056"/>
      <c r="J25" s="437"/>
      <c r="K25" s="1"/>
    </row>
    <row r="26" spans="1:13" ht="15" customHeight="1" x14ac:dyDescent="0.3">
      <c r="A26" s="1"/>
      <c r="B26" s="438"/>
      <c r="C26" s="14" t="s">
        <v>435</v>
      </c>
      <c r="D26" s="1"/>
      <c r="E26" s="1"/>
      <c r="F26" s="1"/>
      <c r="G26" s="1"/>
      <c r="H26" s="225"/>
      <c r="I26" s="1056"/>
      <c r="J26" s="437"/>
      <c r="K26" s="1"/>
    </row>
    <row r="27" spans="1:13" ht="15" customHeight="1" x14ac:dyDescent="0.3">
      <c r="A27" s="1"/>
      <c r="B27" s="438"/>
      <c r="C27" s="1"/>
      <c r="D27" s="1"/>
      <c r="E27" s="1"/>
      <c r="F27" s="1"/>
      <c r="G27" s="1"/>
      <c r="H27" s="225"/>
      <c r="I27" s="1056"/>
      <c r="J27" s="437"/>
      <c r="K27" s="1"/>
    </row>
    <row r="28" spans="1:13" ht="15" customHeight="1" x14ac:dyDescent="0.3">
      <c r="A28" s="1"/>
      <c r="B28" s="438"/>
      <c r="C28" s="14" t="s">
        <v>436</v>
      </c>
      <c r="D28" s="1"/>
      <c r="E28" s="1"/>
      <c r="F28" s="1"/>
      <c r="G28" s="1"/>
      <c r="H28" s="225"/>
      <c r="I28" s="1056"/>
      <c r="J28" s="437"/>
      <c r="K28" s="1"/>
    </row>
    <row r="29" spans="1:13" ht="15" customHeight="1" x14ac:dyDescent="0.3">
      <c r="A29" s="1"/>
      <c r="B29" s="438"/>
      <c r="C29" s="14" t="s">
        <v>437</v>
      </c>
      <c r="D29" s="1"/>
      <c r="E29" s="1"/>
      <c r="F29" s="1"/>
      <c r="G29" s="1"/>
      <c r="H29" s="225"/>
      <c r="I29" s="1056"/>
      <c r="J29" s="439">
        <f>I17/(H13*H14)</f>
        <v>54000</v>
      </c>
      <c r="K29" s="1"/>
    </row>
    <row r="30" spans="1:13" ht="15" customHeight="1" x14ac:dyDescent="0.3">
      <c r="A30" s="1"/>
      <c r="B30" s="438"/>
      <c r="C30" s="14" t="s">
        <v>438</v>
      </c>
      <c r="D30" s="1"/>
      <c r="E30" s="1"/>
      <c r="F30" s="1"/>
      <c r="G30" s="1"/>
      <c r="H30" s="225"/>
      <c r="I30" s="1056"/>
      <c r="J30" s="439">
        <f>(((0.25*(H13+1))/(2*H13)))*(I15/H14)</f>
        <v>30000</v>
      </c>
      <c r="K30" s="1"/>
    </row>
    <row r="31" spans="1:13" ht="15" customHeight="1" x14ac:dyDescent="0.3">
      <c r="A31" s="1"/>
      <c r="B31" s="438"/>
      <c r="C31" s="14" t="s">
        <v>439</v>
      </c>
      <c r="D31" s="393" t="s">
        <v>440</v>
      </c>
      <c r="E31" s="440">
        <v>0.15</v>
      </c>
      <c r="F31" s="393" t="s">
        <v>238</v>
      </c>
      <c r="G31" s="14">
        <f>E19</f>
        <v>50</v>
      </c>
      <c r="H31" s="226" t="s">
        <v>441</v>
      </c>
      <c r="I31" s="1058">
        <v>6800</v>
      </c>
      <c r="J31" s="439">
        <f>E31*G31*I31</f>
        <v>51000</v>
      </c>
      <c r="K31" s="1">
        <v>0.15</v>
      </c>
    </row>
    <row r="32" spans="1:13" ht="15" customHeight="1" x14ac:dyDescent="0.3">
      <c r="A32" s="1"/>
      <c r="B32" s="438"/>
      <c r="C32" s="14" t="s">
        <v>442</v>
      </c>
      <c r="D32" s="393" t="s">
        <v>440</v>
      </c>
      <c r="E32" s="441">
        <f>E20/200</f>
        <v>2.5000000000000001E-2</v>
      </c>
      <c r="F32" s="393" t="s">
        <v>238</v>
      </c>
      <c r="G32" s="442">
        <f>E19/G31</f>
        <v>1</v>
      </c>
      <c r="H32" s="226" t="s">
        <v>441</v>
      </c>
      <c r="I32" s="1058">
        <v>9750</v>
      </c>
      <c r="J32" s="439">
        <f>E32*G32*I32</f>
        <v>243.75</v>
      </c>
      <c r="K32" s="1">
        <v>10</v>
      </c>
      <c r="L32" s="227" t="s">
        <v>443</v>
      </c>
      <c r="M32" s="513">
        <v>200</v>
      </c>
    </row>
    <row r="33" spans="1:13" ht="15" customHeight="1" x14ac:dyDescent="0.3">
      <c r="A33" s="1"/>
      <c r="B33" s="438"/>
      <c r="C33" s="14" t="s">
        <v>444</v>
      </c>
      <c r="D33" s="393" t="s">
        <v>440</v>
      </c>
      <c r="E33" s="441">
        <f>E21/250</f>
        <v>0.04</v>
      </c>
      <c r="F33" s="393" t="s">
        <v>238</v>
      </c>
      <c r="G33" s="14">
        <v>1.2</v>
      </c>
      <c r="H33" s="226" t="s">
        <v>441</v>
      </c>
      <c r="I33" s="1058">
        <v>9750</v>
      </c>
      <c r="J33" s="439">
        <f>E33*G33*I33</f>
        <v>468</v>
      </c>
      <c r="K33" s="1">
        <v>20</v>
      </c>
      <c r="L33" s="227" t="s">
        <v>443</v>
      </c>
      <c r="M33" s="513">
        <v>250</v>
      </c>
    </row>
    <row r="34" spans="1:13" ht="15" customHeight="1" x14ac:dyDescent="0.3">
      <c r="A34" s="1"/>
      <c r="B34" s="438"/>
      <c r="C34" s="14" t="s">
        <v>445</v>
      </c>
      <c r="D34" s="393" t="s">
        <v>440</v>
      </c>
      <c r="E34" s="441">
        <f>E23/450</f>
        <v>0.1</v>
      </c>
      <c r="F34" s="393" t="s">
        <v>238</v>
      </c>
      <c r="G34" s="14">
        <v>1.2</v>
      </c>
      <c r="H34" s="226" t="s">
        <v>441</v>
      </c>
      <c r="I34" s="1058">
        <v>7750</v>
      </c>
      <c r="J34" s="439">
        <f>E34*G34*I34</f>
        <v>930</v>
      </c>
      <c r="K34" s="1">
        <v>90</v>
      </c>
      <c r="L34" s="227" t="s">
        <v>443</v>
      </c>
      <c r="M34" s="513">
        <v>450</v>
      </c>
    </row>
    <row r="35" spans="1:13" ht="15" customHeight="1" x14ac:dyDescent="0.3">
      <c r="A35" s="1"/>
      <c r="B35" s="438"/>
      <c r="C35" s="14" t="s">
        <v>446</v>
      </c>
      <c r="D35" s="393" t="s">
        <v>440</v>
      </c>
      <c r="E35" s="1"/>
      <c r="F35" s="1"/>
      <c r="G35" s="14">
        <v>2</v>
      </c>
      <c r="H35" s="226" t="s">
        <v>156</v>
      </c>
      <c r="I35" s="1058">
        <v>7750</v>
      </c>
      <c r="J35" s="439">
        <f>G35*I35</f>
        <v>15500</v>
      </c>
      <c r="K35" s="1"/>
    </row>
    <row r="36" spans="1:13" ht="15" customHeight="1" x14ac:dyDescent="0.3">
      <c r="A36" s="1"/>
      <c r="B36" s="438"/>
      <c r="C36" s="14" t="s">
        <v>447</v>
      </c>
      <c r="D36" s="393" t="s">
        <v>440</v>
      </c>
      <c r="E36" s="14" t="s">
        <v>448</v>
      </c>
      <c r="F36" s="1"/>
      <c r="G36" s="1"/>
      <c r="H36" s="225"/>
      <c r="I36" s="1056"/>
      <c r="J36" s="439">
        <f>0.1*((I15/(H13*H14)))</f>
        <v>6000</v>
      </c>
      <c r="K36" s="1"/>
    </row>
    <row r="37" spans="1:13" ht="15" customHeight="1" x14ac:dyDescent="0.3">
      <c r="A37" s="1"/>
      <c r="B37" s="438"/>
      <c r="C37" s="1"/>
      <c r="D37" s="1"/>
      <c r="E37" s="1"/>
      <c r="F37" s="1"/>
      <c r="G37" s="1"/>
      <c r="H37" s="225"/>
      <c r="I37" s="1056"/>
      <c r="J37" s="443">
        <f>SUM(J29:J36)</f>
        <v>158141.75</v>
      </c>
      <c r="K37" s="1"/>
    </row>
    <row r="38" spans="1:13" ht="15" customHeight="1" x14ac:dyDescent="0.3">
      <c r="A38" s="1"/>
      <c r="B38" s="438"/>
      <c r="C38" s="14" t="s">
        <v>449</v>
      </c>
      <c r="D38" s="1"/>
      <c r="E38" s="1"/>
      <c r="F38" s="1"/>
      <c r="G38" s="1"/>
      <c r="H38" s="225"/>
      <c r="I38" s="1056"/>
      <c r="J38" s="437"/>
      <c r="K38" s="1"/>
    </row>
    <row r="39" spans="1:13" ht="15" customHeight="1" x14ac:dyDescent="0.3">
      <c r="A39" s="1"/>
      <c r="B39" s="438"/>
      <c r="C39" s="14" t="s">
        <v>450</v>
      </c>
      <c r="D39" s="1"/>
      <c r="E39" s="1"/>
      <c r="F39" s="1"/>
      <c r="G39" s="1"/>
      <c r="H39" s="225"/>
      <c r="I39" s="1056"/>
      <c r="J39" s="439">
        <f>J37*0.1</f>
        <v>15814.175000000001</v>
      </c>
      <c r="K39" s="1"/>
    </row>
    <row r="40" spans="1:13" ht="15" customHeight="1" x14ac:dyDescent="0.3">
      <c r="A40" s="1"/>
      <c r="B40" s="438"/>
      <c r="C40" s="1"/>
      <c r="D40" s="14" t="s">
        <v>451</v>
      </c>
      <c r="E40" s="1"/>
      <c r="F40" s="1"/>
      <c r="G40" s="1"/>
      <c r="H40" s="225"/>
      <c r="I40" s="1056"/>
      <c r="J40" s="443">
        <f>SUM(J37:J39)</f>
        <v>173955.92499999999</v>
      </c>
      <c r="K40" s="1"/>
    </row>
    <row r="41" spans="1:13" ht="15" customHeight="1" x14ac:dyDescent="0.3">
      <c r="A41" s="1"/>
      <c r="B41" s="438"/>
      <c r="C41" s="1"/>
      <c r="D41" s="14" t="s">
        <v>452</v>
      </c>
      <c r="E41" s="1"/>
      <c r="F41" s="1"/>
      <c r="G41" s="1"/>
      <c r="H41" s="225"/>
      <c r="I41" s="1056"/>
      <c r="J41" s="439">
        <f>ROUND(J40-5,-1)</f>
        <v>173950</v>
      </c>
      <c r="K41" s="1"/>
    </row>
    <row r="42" spans="1:13" ht="15" customHeight="1" x14ac:dyDescent="0.3">
      <c r="A42" s="1"/>
      <c r="B42" s="444"/>
      <c r="C42" s="263"/>
      <c r="D42" s="263"/>
      <c r="E42" s="263"/>
      <c r="F42" s="263"/>
      <c r="G42" s="263"/>
      <c r="H42" s="228"/>
      <c r="I42" s="229"/>
      <c r="J42" s="445"/>
      <c r="K42" s="1"/>
    </row>
    <row r="43" spans="1:13" ht="15" customHeight="1" x14ac:dyDescent="0.3">
      <c r="A43" s="1"/>
      <c r="B43" s="438"/>
      <c r="C43" s="1"/>
      <c r="D43" s="1"/>
      <c r="E43" s="1"/>
      <c r="F43" s="1"/>
      <c r="G43" s="1"/>
      <c r="H43" s="225"/>
      <c r="I43" s="1056"/>
      <c r="J43" s="437"/>
      <c r="K43" s="1"/>
    </row>
    <row r="44" spans="1:13" ht="15" customHeight="1" x14ac:dyDescent="0.3">
      <c r="A44" s="1"/>
      <c r="B44" s="436" t="s">
        <v>453</v>
      </c>
      <c r="C44" s="316" t="s">
        <v>454</v>
      </c>
      <c r="D44" s="1"/>
      <c r="E44" s="1"/>
      <c r="F44" s="1"/>
      <c r="G44" s="1"/>
      <c r="H44" s="225"/>
      <c r="I44" s="1056"/>
      <c r="J44" s="437"/>
      <c r="K44" s="1"/>
    </row>
    <row r="45" spans="1:13" ht="15" customHeight="1" x14ac:dyDescent="0.3">
      <c r="A45" s="1"/>
      <c r="B45" s="438"/>
      <c r="C45" s="1"/>
      <c r="D45" s="1"/>
      <c r="E45" s="1"/>
      <c r="F45" s="1"/>
      <c r="G45" s="1"/>
      <c r="H45" s="225"/>
      <c r="I45" s="1056"/>
      <c r="J45" s="437"/>
      <c r="K45" s="1"/>
    </row>
    <row r="46" spans="1:13" ht="15" customHeight="1" x14ac:dyDescent="0.3">
      <c r="A46" s="1"/>
      <c r="B46" s="438"/>
      <c r="C46" s="14" t="s">
        <v>412</v>
      </c>
      <c r="D46" s="14" t="s">
        <v>2</v>
      </c>
      <c r="E46" s="14" t="s">
        <v>455</v>
      </c>
      <c r="F46" s="1"/>
      <c r="G46" s="1"/>
      <c r="H46" s="225"/>
      <c r="I46" s="1056"/>
      <c r="J46" s="437"/>
      <c r="K46" s="1"/>
    </row>
    <row r="47" spans="1:13" ht="15" customHeight="1" x14ac:dyDescent="0.3">
      <c r="A47" s="1"/>
      <c r="B47" s="438"/>
      <c r="C47" s="14" t="s">
        <v>414</v>
      </c>
      <c r="D47" s="14" t="s">
        <v>2</v>
      </c>
      <c r="E47" s="14" t="s">
        <v>415</v>
      </c>
      <c r="F47" s="1"/>
      <c r="G47" s="1"/>
      <c r="H47" s="225"/>
      <c r="I47" s="1056"/>
      <c r="J47" s="437"/>
      <c r="K47" s="1"/>
    </row>
    <row r="48" spans="1:13" ht="15" customHeight="1" x14ac:dyDescent="0.3">
      <c r="A48" s="1"/>
      <c r="B48" s="438"/>
      <c r="C48" s="14" t="s">
        <v>416</v>
      </c>
      <c r="D48" s="14" t="s">
        <v>2</v>
      </c>
      <c r="E48" s="14" t="s">
        <v>417</v>
      </c>
      <c r="F48" s="1"/>
      <c r="G48" s="1"/>
      <c r="H48" s="226">
        <v>3</v>
      </c>
      <c r="I48" s="1058" t="s">
        <v>418</v>
      </c>
      <c r="J48" s="437"/>
      <c r="K48" s="1"/>
    </row>
    <row r="49" spans="1:11" ht="15" customHeight="1" x14ac:dyDescent="0.3">
      <c r="A49" s="1"/>
      <c r="B49" s="438"/>
      <c r="C49" s="14" t="s">
        <v>419</v>
      </c>
      <c r="D49" s="14" t="s">
        <v>2</v>
      </c>
      <c r="E49" s="14" t="s">
        <v>420</v>
      </c>
      <c r="F49" s="1"/>
      <c r="G49" s="1"/>
      <c r="H49" s="226">
        <v>7500</v>
      </c>
      <c r="I49" s="1058" t="s">
        <v>37</v>
      </c>
      <c r="J49" s="437"/>
      <c r="K49" s="1"/>
    </row>
    <row r="50" spans="1:11" ht="15" customHeight="1" x14ac:dyDescent="0.3">
      <c r="A50" s="1"/>
      <c r="B50" s="438"/>
      <c r="C50" s="14" t="s">
        <v>421</v>
      </c>
      <c r="D50" s="14" t="s">
        <v>2</v>
      </c>
      <c r="E50" s="14" t="s">
        <v>422</v>
      </c>
      <c r="F50" s="1"/>
      <c r="G50" s="1"/>
      <c r="H50" s="225"/>
      <c r="I50" s="1058">
        <f>50000000-5000000+1200000+2000000+800000</f>
        <v>49000000</v>
      </c>
      <c r="J50" s="437"/>
      <c r="K50" s="1"/>
    </row>
    <row r="51" spans="1:11" ht="15" customHeight="1" x14ac:dyDescent="0.3">
      <c r="A51" s="1"/>
      <c r="B51" s="438"/>
      <c r="C51" s="14" t="s">
        <v>423</v>
      </c>
      <c r="D51" s="14" t="s">
        <v>2</v>
      </c>
      <c r="E51" s="14" t="s">
        <v>424</v>
      </c>
      <c r="F51" s="1"/>
      <c r="G51" s="1"/>
      <c r="H51" s="225"/>
      <c r="I51" s="1058">
        <f>I50*0.1</f>
        <v>4900000</v>
      </c>
      <c r="J51" s="437"/>
      <c r="K51" s="1"/>
    </row>
    <row r="52" spans="1:11" ht="15" customHeight="1" x14ac:dyDescent="0.3">
      <c r="A52" s="1"/>
      <c r="B52" s="438"/>
      <c r="C52" s="14" t="s">
        <v>425</v>
      </c>
      <c r="D52" s="14" t="s">
        <v>2</v>
      </c>
      <c r="E52" s="14" t="s">
        <v>426</v>
      </c>
      <c r="F52" s="1"/>
      <c r="G52" s="1"/>
      <c r="H52" s="225"/>
      <c r="I52" s="1058">
        <f>I50-I51</f>
        <v>44100000</v>
      </c>
      <c r="J52" s="437"/>
      <c r="K52" s="1"/>
    </row>
    <row r="53" spans="1:11" ht="15" customHeight="1" x14ac:dyDescent="0.3">
      <c r="A53" s="1"/>
      <c r="B53" s="438"/>
      <c r="C53" s="14" t="s">
        <v>427</v>
      </c>
      <c r="D53" s="14" t="s">
        <v>2</v>
      </c>
      <c r="E53" s="1"/>
      <c r="F53" s="1"/>
      <c r="G53" s="1"/>
      <c r="H53" s="225"/>
      <c r="I53" s="1056"/>
      <c r="J53" s="437"/>
      <c r="K53" s="1"/>
    </row>
    <row r="54" spans="1:11" ht="15" customHeight="1" x14ac:dyDescent="0.3">
      <c r="A54" s="1"/>
      <c r="B54" s="438"/>
      <c r="C54" s="14" t="s">
        <v>428</v>
      </c>
      <c r="D54" s="14" t="s">
        <v>2</v>
      </c>
      <c r="E54" s="14">
        <v>100</v>
      </c>
      <c r="F54" s="14" t="s">
        <v>429</v>
      </c>
      <c r="G54" s="1"/>
      <c r="H54" s="225"/>
      <c r="I54" s="1056"/>
      <c r="J54" s="437"/>
      <c r="K54" s="1"/>
    </row>
    <row r="55" spans="1:11" ht="15" customHeight="1" x14ac:dyDescent="0.3">
      <c r="A55" s="1"/>
      <c r="B55" s="438"/>
      <c r="C55" s="14" t="s">
        <v>430</v>
      </c>
      <c r="D55" s="14" t="s">
        <v>2</v>
      </c>
      <c r="E55" s="14">
        <v>10</v>
      </c>
      <c r="F55" s="14" t="s">
        <v>199</v>
      </c>
      <c r="G55" s="1"/>
      <c r="H55" s="225"/>
      <c r="I55" s="1056"/>
      <c r="J55" s="437"/>
      <c r="K55" s="1"/>
    </row>
    <row r="56" spans="1:11" ht="15" customHeight="1" x14ac:dyDescent="0.3">
      <c r="A56" s="1"/>
      <c r="B56" s="438"/>
      <c r="C56" s="1"/>
      <c r="D56" s="1"/>
      <c r="E56" s="1"/>
      <c r="F56" s="1"/>
      <c r="G56" s="1"/>
      <c r="H56" s="225"/>
      <c r="I56" s="1056"/>
      <c r="J56" s="437"/>
      <c r="K56" s="1"/>
    </row>
    <row r="57" spans="1:11" ht="15" customHeight="1" x14ac:dyDescent="0.3">
      <c r="A57" s="1"/>
      <c r="B57" s="438"/>
      <c r="C57" s="14" t="s">
        <v>434</v>
      </c>
      <c r="D57" s="14" t="s">
        <v>2</v>
      </c>
      <c r="E57" s="1"/>
      <c r="F57" s="1"/>
      <c r="G57" s="1"/>
      <c r="H57" s="225"/>
      <c r="I57" s="1056"/>
      <c r="J57" s="437"/>
      <c r="K57" s="1"/>
    </row>
    <row r="58" spans="1:11" ht="15" customHeight="1" x14ac:dyDescent="0.3">
      <c r="A58" s="1"/>
      <c r="B58" s="438"/>
      <c r="C58" s="14" t="s">
        <v>435</v>
      </c>
      <c r="D58" s="1"/>
      <c r="E58" s="1"/>
      <c r="F58" s="1"/>
      <c r="G58" s="1"/>
      <c r="H58" s="225"/>
      <c r="I58" s="1056"/>
      <c r="J58" s="437"/>
      <c r="K58" s="1"/>
    </row>
    <row r="59" spans="1:11" ht="15" customHeight="1" x14ac:dyDescent="0.3">
      <c r="A59" s="1"/>
      <c r="B59" s="438"/>
      <c r="C59" s="1"/>
      <c r="D59" s="1"/>
      <c r="E59" s="1"/>
      <c r="F59" s="1"/>
      <c r="G59" s="1"/>
      <c r="H59" s="225"/>
      <c r="I59" s="1056"/>
      <c r="J59" s="437"/>
      <c r="K59" s="1"/>
    </row>
    <row r="60" spans="1:11" ht="15" customHeight="1" x14ac:dyDescent="0.3">
      <c r="A60" s="1"/>
      <c r="B60" s="438"/>
      <c r="C60" s="14" t="s">
        <v>436</v>
      </c>
      <c r="D60" s="1"/>
      <c r="E60" s="1"/>
      <c r="F60" s="1"/>
      <c r="G60" s="1"/>
      <c r="H60" s="225"/>
      <c r="I60" s="1056"/>
      <c r="J60" s="437"/>
      <c r="K60" s="1"/>
    </row>
    <row r="61" spans="1:11" ht="15" customHeight="1" x14ac:dyDescent="0.3">
      <c r="A61" s="1"/>
      <c r="B61" s="438"/>
      <c r="C61" s="14" t="s">
        <v>456</v>
      </c>
      <c r="D61" s="1"/>
      <c r="E61" s="1"/>
      <c r="F61" s="1"/>
      <c r="G61" s="1"/>
      <c r="H61" s="225"/>
      <c r="I61" s="1056"/>
      <c r="J61" s="439">
        <f>I52/(H48*H49)</f>
        <v>1960</v>
      </c>
      <c r="K61" s="1"/>
    </row>
    <row r="62" spans="1:11" ht="15" customHeight="1" x14ac:dyDescent="0.3">
      <c r="A62" s="1"/>
      <c r="B62" s="438"/>
      <c r="C62" s="14" t="s">
        <v>438</v>
      </c>
      <c r="D62" s="1"/>
      <c r="E62" s="1"/>
      <c r="F62" s="1"/>
      <c r="G62" s="1"/>
      <c r="H62" s="225"/>
      <c r="I62" s="1056"/>
      <c r="J62" s="439">
        <f>(((0.25*(H48+1))/(2*H48)))*(I50/H49)</f>
        <v>1088.8888888888887</v>
      </c>
      <c r="K62" s="1"/>
    </row>
    <row r="63" spans="1:11" ht="15" customHeight="1" x14ac:dyDescent="0.3">
      <c r="A63" s="1"/>
      <c r="B63" s="438"/>
      <c r="C63" s="14" t="s">
        <v>439</v>
      </c>
      <c r="D63" s="393" t="s">
        <v>440</v>
      </c>
      <c r="E63" s="440">
        <v>0.15</v>
      </c>
      <c r="F63" s="393" t="s">
        <v>238</v>
      </c>
      <c r="G63" s="14">
        <f>E54</f>
        <v>100</v>
      </c>
      <c r="H63" s="226" t="s">
        <v>441</v>
      </c>
      <c r="I63" s="1058">
        <f>$I$31</f>
        <v>6800</v>
      </c>
      <c r="J63" s="439">
        <f>E63*G63*I63</f>
        <v>102000</v>
      </c>
      <c r="K63" s="1"/>
    </row>
    <row r="64" spans="1:11" ht="15" customHeight="1" x14ac:dyDescent="0.3">
      <c r="A64" s="1"/>
      <c r="B64" s="438"/>
      <c r="C64" s="14" t="s">
        <v>442</v>
      </c>
      <c r="D64" s="393" t="s">
        <v>440</v>
      </c>
      <c r="E64" s="441">
        <f>E55/200</f>
        <v>0.05</v>
      </c>
      <c r="F64" s="393" t="s">
        <v>238</v>
      </c>
      <c r="G64" s="442">
        <f>G63/E54</f>
        <v>1</v>
      </c>
      <c r="H64" s="226" t="s">
        <v>441</v>
      </c>
      <c r="I64" s="1058">
        <f>$I$32</f>
        <v>9750</v>
      </c>
      <c r="J64" s="439">
        <f>E64*G64*I64</f>
        <v>487.5</v>
      </c>
      <c r="K64" s="1"/>
    </row>
    <row r="65" spans="1:11" ht="15" customHeight="1" x14ac:dyDescent="0.3">
      <c r="A65" s="1"/>
      <c r="B65" s="438"/>
      <c r="C65" s="14" t="s">
        <v>457</v>
      </c>
      <c r="D65" s="393" t="s">
        <v>440</v>
      </c>
      <c r="E65" s="446"/>
      <c r="F65" s="1"/>
      <c r="G65" s="14">
        <v>2</v>
      </c>
      <c r="H65" s="226" t="s">
        <v>156</v>
      </c>
      <c r="I65" s="1058">
        <f>$I$34</f>
        <v>7750</v>
      </c>
      <c r="J65" s="439">
        <f>G65*I65</f>
        <v>15500</v>
      </c>
      <c r="K65" s="1"/>
    </row>
    <row r="66" spans="1:11" ht="15" customHeight="1" x14ac:dyDescent="0.3">
      <c r="A66" s="1"/>
      <c r="B66" s="438"/>
      <c r="C66" s="14" t="s">
        <v>447</v>
      </c>
      <c r="D66" s="393" t="s">
        <v>440</v>
      </c>
      <c r="E66" s="14" t="s">
        <v>448</v>
      </c>
      <c r="F66" s="1"/>
      <c r="G66" s="1"/>
      <c r="H66" s="225"/>
      <c r="I66" s="1056"/>
      <c r="J66" s="439">
        <f>0.1*((I50/(H48*H49)))</f>
        <v>217.7777777777778</v>
      </c>
      <c r="K66" s="1"/>
    </row>
    <row r="67" spans="1:11" ht="15" customHeight="1" x14ac:dyDescent="0.3">
      <c r="A67" s="1"/>
      <c r="B67" s="438"/>
      <c r="C67" s="1"/>
      <c r="D67" s="1"/>
      <c r="E67" s="1"/>
      <c r="F67" s="1"/>
      <c r="G67" s="1"/>
      <c r="H67" s="225"/>
      <c r="I67" s="1056"/>
      <c r="J67" s="443">
        <f>SUM(J61:J66)</f>
        <v>121254.16666666667</v>
      </c>
      <c r="K67" s="1"/>
    </row>
    <row r="68" spans="1:11" ht="15" customHeight="1" x14ac:dyDescent="0.3">
      <c r="A68" s="1"/>
      <c r="B68" s="438"/>
      <c r="C68" s="14" t="s">
        <v>449</v>
      </c>
      <c r="D68" s="1"/>
      <c r="E68" s="1"/>
      <c r="F68" s="1"/>
      <c r="G68" s="1"/>
      <c r="H68" s="225"/>
      <c r="I68" s="1056"/>
      <c r="J68" s="437"/>
      <c r="K68" s="1"/>
    </row>
    <row r="69" spans="1:11" ht="15" customHeight="1" x14ac:dyDescent="0.3">
      <c r="A69" s="1"/>
      <c r="B69" s="438"/>
      <c r="C69" s="14" t="s">
        <v>450</v>
      </c>
      <c r="D69" s="1"/>
      <c r="E69" s="1"/>
      <c r="F69" s="1"/>
      <c r="G69" s="1"/>
      <c r="H69" s="225"/>
      <c r="I69" s="1056"/>
      <c r="J69" s="439">
        <f>J67*0.1</f>
        <v>12125.416666666668</v>
      </c>
      <c r="K69" s="1"/>
    </row>
    <row r="70" spans="1:11" ht="15" customHeight="1" x14ac:dyDescent="0.3">
      <c r="A70" s="1"/>
      <c r="B70" s="438"/>
      <c r="C70" s="1"/>
      <c r="D70" s="14" t="s">
        <v>458</v>
      </c>
      <c r="E70" s="1"/>
      <c r="F70" s="1"/>
      <c r="G70" s="1"/>
      <c r="H70" s="225"/>
      <c r="I70" s="1056"/>
      <c r="J70" s="443">
        <f>SUM(J67:J69)</f>
        <v>133379.58333333334</v>
      </c>
      <c r="K70" s="1"/>
    </row>
    <row r="71" spans="1:11" ht="15" customHeight="1" x14ac:dyDescent="0.3">
      <c r="A71" s="1"/>
      <c r="B71" s="438"/>
      <c r="C71" s="1"/>
      <c r="D71" s="14" t="s">
        <v>459</v>
      </c>
      <c r="E71" s="1"/>
      <c r="F71" s="1"/>
      <c r="G71" s="1"/>
      <c r="H71" s="225"/>
      <c r="I71" s="1056"/>
      <c r="J71" s="439">
        <f>ROUND(J70-5,-1)</f>
        <v>133370</v>
      </c>
      <c r="K71" s="1"/>
    </row>
    <row r="72" spans="1:11" ht="15" customHeight="1" x14ac:dyDescent="0.3">
      <c r="A72" s="1"/>
      <c r="B72" s="438"/>
      <c r="C72" s="1"/>
      <c r="D72" s="14"/>
      <c r="E72" s="1"/>
      <c r="F72" s="1"/>
      <c r="G72" s="1"/>
      <c r="H72" s="225"/>
      <c r="I72" s="1056"/>
      <c r="J72" s="439"/>
      <c r="K72" s="1"/>
    </row>
    <row r="73" spans="1:11" ht="15" customHeight="1" x14ac:dyDescent="0.3">
      <c r="A73" s="1"/>
      <c r="B73" s="436" t="s">
        <v>460</v>
      </c>
      <c r="C73" s="316" t="s">
        <v>461</v>
      </c>
      <c r="D73" s="1"/>
      <c r="E73" s="1"/>
      <c r="F73" s="1"/>
      <c r="G73" s="1"/>
      <c r="H73" s="225"/>
      <c r="I73" s="1056"/>
      <c r="J73" s="437"/>
      <c r="K73" s="1"/>
    </row>
    <row r="74" spans="1:11" ht="15" customHeight="1" x14ac:dyDescent="0.3">
      <c r="A74" s="1"/>
      <c r="B74" s="438"/>
      <c r="C74" s="1"/>
      <c r="D74" s="1"/>
      <c r="E74" s="1"/>
      <c r="F74" s="1"/>
      <c r="G74" s="1"/>
      <c r="H74" s="225"/>
      <c r="I74" s="1056"/>
      <c r="J74" s="437"/>
      <c r="K74" s="1"/>
    </row>
    <row r="75" spans="1:11" ht="15" customHeight="1" x14ac:dyDescent="0.3">
      <c r="A75" s="1"/>
      <c r="B75" s="438"/>
      <c r="C75" s="14" t="s">
        <v>412</v>
      </c>
      <c r="D75" s="14" t="s">
        <v>2</v>
      </c>
      <c r="E75" s="14" t="s">
        <v>462</v>
      </c>
      <c r="F75" s="1"/>
      <c r="G75" s="1"/>
      <c r="H75" s="225"/>
      <c r="I75" s="1056"/>
      <c r="J75" s="437"/>
      <c r="K75" s="1"/>
    </row>
    <row r="76" spans="1:11" ht="15" customHeight="1" x14ac:dyDescent="0.3">
      <c r="A76" s="1"/>
      <c r="B76" s="438"/>
      <c r="C76" s="14" t="s">
        <v>414</v>
      </c>
      <c r="D76" s="14" t="s">
        <v>2</v>
      </c>
      <c r="E76" s="14" t="s">
        <v>463</v>
      </c>
      <c r="F76" s="1"/>
      <c r="G76" s="1"/>
      <c r="H76" s="225"/>
      <c r="I76" s="1056"/>
      <c r="J76" s="437"/>
      <c r="K76" s="1"/>
    </row>
    <row r="77" spans="1:11" ht="15" customHeight="1" x14ac:dyDescent="0.3">
      <c r="A77" s="1"/>
      <c r="B77" s="438"/>
      <c r="C77" s="14" t="s">
        <v>416</v>
      </c>
      <c r="D77" s="14" t="s">
        <v>2</v>
      </c>
      <c r="E77" s="14" t="s">
        <v>417</v>
      </c>
      <c r="F77" s="1"/>
      <c r="G77" s="1"/>
      <c r="H77" s="226">
        <v>2</v>
      </c>
      <c r="I77" s="1058" t="s">
        <v>418</v>
      </c>
      <c r="J77" s="437"/>
      <c r="K77" s="1"/>
    </row>
    <row r="78" spans="1:11" ht="15" customHeight="1" x14ac:dyDescent="0.3">
      <c r="A78" s="1"/>
      <c r="B78" s="438"/>
      <c r="C78" s="14" t="s">
        <v>419</v>
      </c>
      <c r="D78" s="14" t="s">
        <v>2</v>
      </c>
      <c r="E78" s="14" t="s">
        <v>420</v>
      </c>
      <c r="F78" s="1"/>
      <c r="G78" s="1"/>
      <c r="H78" s="226">
        <v>600</v>
      </c>
      <c r="I78" s="1058" t="s">
        <v>37</v>
      </c>
      <c r="J78" s="437"/>
      <c r="K78" s="1"/>
    </row>
    <row r="79" spans="1:11" ht="15" customHeight="1" x14ac:dyDescent="0.3">
      <c r="A79" s="1"/>
      <c r="B79" s="438"/>
      <c r="C79" s="14" t="s">
        <v>421</v>
      </c>
      <c r="D79" s="14" t="s">
        <v>2</v>
      </c>
      <c r="E79" s="14" t="s">
        <v>422</v>
      </c>
      <c r="F79" s="1"/>
      <c r="G79" s="1"/>
      <c r="H79" s="225"/>
      <c r="I79" s="1058">
        <f>500000000-55000000+20000000+15000000+10000000-90000000-9000000-5000000</f>
        <v>386000000</v>
      </c>
      <c r="J79" s="437"/>
      <c r="K79" s="1"/>
    </row>
    <row r="80" spans="1:11" ht="15" customHeight="1" x14ac:dyDescent="0.3">
      <c r="A80" s="1"/>
      <c r="B80" s="438"/>
      <c r="C80" s="14" t="s">
        <v>423</v>
      </c>
      <c r="D80" s="14" t="s">
        <v>2</v>
      </c>
      <c r="E80" s="14" t="s">
        <v>424</v>
      </c>
      <c r="F80" s="1"/>
      <c r="G80" s="1"/>
      <c r="H80" s="225"/>
      <c r="I80" s="1058">
        <f>I79*0.1</f>
        <v>38600000</v>
      </c>
      <c r="J80" s="437"/>
      <c r="K80" s="1"/>
    </row>
    <row r="81" spans="1:11" ht="15" customHeight="1" x14ac:dyDescent="0.3">
      <c r="A81" s="1"/>
      <c r="B81" s="438"/>
      <c r="C81" s="14" t="s">
        <v>425</v>
      </c>
      <c r="D81" s="14" t="s">
        <v>2</v>
      </c>
      <c r="E81" s="14" t="s">
        <v>426</v>
      </c>
      <c r="F81" s="1"/>
      <c r="G81" s="1"/>
      <c r="H81" s="225"/>
      <c r="I81" s="1058">
        <f>I79-I80</f>
        <v>347400000</v>
      </c>
      <c r="J81" s="437"/>
      <c r="K81" s="1"/>
    </row>
    <row r="82" spans="1:11" ht="15" customHeight="1" x14ac:dyDescent="0.3">
      <c r="A82" s="1"/>
      <c r="B82" s="438"/>
      <c r="C82" s="14" t="s">
        <v>427</v>
      </c>
      <c r="D82" s="14" t="s">
        <v>2</v>
      </c>
      <c r="E82" s="1"/>
      <c r="F82" s="1"/>
      <c r="G82" s="1"/>
      <c r="H82" s="225"/>
      <c r="I82" s="1056"/>
      <c r="J82" s="437"/>
      <c r="K82" s="1"/>
    </row>
    <row r="83" spans="1:11" ht="15" customHeight="1" x14ac:dyDescent="0.3">
      <c r="A83" s="1"/>
      <c r="B83" s="438"/>
      <c r="C83" s="14" t="s">
        <v>428</v>
      </c>
      <c r="D83" s="14" t="s">
        <v>2</v>
      </c>
      <c r="E83" s="14">
        <v>300</v>
      </c>
      <c r="F83" s="14" t="s">
        <v>429</v>
      </c>
      <c r="G83" s="1"/>
      <c r="H83" s="225"/>
      <c r="I83" s="1056"/>
      <c r="J83" s="437"/>
      <c r="K83" s="1"/>
    </row>
    <row r="84" spans="1:11" ht="15" customHeight="1" x14ac:dyDescent="0.3">
      <c r="A84" s="1"/>
      <c r="B84" s="438"/>
      <c r="C84" s="14" t="s">
        <v>430</v>
      </c>
      <c r="D84" s="14" t="s">
        <v>2</v>
      </c>
      <c r="E84" s="14">
        <v>15.5</v>
      </c>
      <c r="F84" s="14" t="s">
        <v>199</v>
      </c>
      <c r="G84" s="1"/>
      <c r="H84" s="225"/>
      <c r="I84" s="1056"/>
      <c r="J84" s="437"/>
      <c r="K84" s="1"/>
    </row>
    <row r="85" spans="1:11" ht="15" customHeight="1" x14ac:dyDescent="0.3">
      <c r="A85" s="1"/>
      <c r="B85" s="438"/>
      <c r="C85" s="14" t="s">
        <v>431</v>
      </c>
      <c r="D85" s="14" t="s">
        <v>2</v>
      </c>
      <c r="E85" s="14">
        <v>20</v>
      </c>
      <c r="F85" s="14" t="s">
        <v>199</v>
      </c>
      <c r="G85" s="1"/>
      <c r="H85" s="225"/>
      <c r="I85" s="1056"/>
      <c r="J85" s="437"/>
      <c r="K85" s="1"/>
    </row>
    <row r="86" spans="1:11" ht="15" customHeight="1" x14ac:dyDescent="0.3">
      <c r="A86" s="1"/>
      <c r="B86" s="438"/>
      <c r="C86" s="1"/>
      <c r="D86" s="1"/>
      <c r="E86" s="1"/>
      <c r="F86" s="1"/>
      <c r="G86" s="1"/>
      <c r="H86" s="225"/>
      <c r="I86" s="1056"/>
      <c r="J86" s="437"/>
      <c r="K86" s="1"/>
    </row>
    <row r="87" spans="1:11" ht="15" customHeight="1" x14ac:dyDescent="0.3">
      <c r="A87" s="1"/>
      <c r="B87" s="438"/>
      <c r="C87" s="14" t="s">
        <v>434</v>
      </c>
      <c r="D87" s="14" t="s">
        <v>2</v>
      </c>
      <c r="E87" s="1"/>
      <c r="F87" s="1"/>
      <c r="G87" s="1"/>
      <c r="H87" s="225"/>
      <c r="I87" s="1056"/>
      <c r="J87" s="437"/>
      <c r="K87" s="1"/>
    </row>
    <row r="88" spans="1:11" ht="15" customHeight="1" x14ac:dyDescent="0.3">
      <c r="A88" s="1"/>
      <c r="B88" s="438"/>
      <c r="C88" s="14" t="s">
        <v>435</v>
      </c>
      <c r="D88" s="1"/>
      <c r="E88" s="1"/>
      <c r="F88" s="1"/>
      <c r="G88" s="1"/>
      <c r="H88" s="225"/>
      <c r="I88" s="1056"/>
      <c r="J88" s="437"/>
      <c r="K88" s="1"/>
    </row>
    <row r="89" spans="1:11" ht="15" customHeight="1" x14ac:dyDescent="0.3">
      <c r="A89" s="1"/>
      <c r="B89" s="444"/>
      <c r="C89" s="263"/>
      <c r="D89" s="263"/>
      <c r="E89" s="263"/>
      <c r="F89" s="263"/>
      <c r="G89" s="263"/>
      <c r="H89" s="228"/>
      <c r="I89" s="229"/>
      <c r="J89" s="445"/>
      <c r="K89" s="1"/>
    </row>
    <row r="90" spans="1:11" ht="15" customHeight="1" x14ac:dyDescent="0.3">
      <c r="A90" s="1"/>
      <c r="B90" s="438"/>
      <c r="C90" s="14" t="s">
        <v>436</v>
      </c>
      <c r="D90" s="1"/>
      <c r="E90" s="1"/>
      <c r="F90" s="1"/>
      <c r="G90" s="1"/>
      <c r="H90" s="225"/>
      <c r="I90" s="1056"/>
      <c r="J90" s="437"/>
      <c r="K90" s="1"/>
    </row>
    <row r="91" spans="1:11" ht="15" customHeight="1" x14ac:dyDescent="0.3">
      <c r="A91" s="1"/>
      <c r="B91" s="438"/>
      <c r="C91" s="14" t="s">
        <v>456</v>
      </c>
      <c r="D91" s="1"/>
      <c r="E91" s="1"/>
      <c r="F91" s="1"/>
      <c r="G91" s="1"/>
      <c r="H91" s="225"/>
      <c r="I91" s="1056"/>
      <c r="J91" s="439">
        <f>I81/(H77*H78)</f>
        <v>289500</v>
      </c>
      <c r="K91" s="1"/>
    </row>
    <row r="92" spans="1:11" ht="15" customHeight="1" x14ac:dyDescent="0.3">
      <c r="A92" s="1"/>
      <c r="B92" s="438"/>
      <c r="C92" s="14" t="s">
        <v>438</v>
      </c>
      <c r="D92" s="1"/>
      <c r="E92" s="1"/>
      <c r="F92" s="1"/>
      <c r="G92" s="1"/>
      <c r="H92" s="225"/>
      <c r="I92" s="1056"/>
      <c r="J92" s="439">
        <f>(((0.25*(H77+1))/(2*H77)))*(I79/H78)</f>
        <v>120625</v>
      </c>
      <c r="K92" s="1"/>
    </row>
    <row r="93" spans="1:11" ht="15" customHeight="1" x14ac:dyDescent="0.3">
      <c r="A93" s="1"/>
      <c r="B93" s="438"/>
      <c r="C93" s="14" t="s">
        <v>439</v>
      </c>
      <c r="D93" s="393" t="s">
        <v>440</v>
      </c>
      <c r="E93" s="14">
        <v>0.15</v>
      </c>
      <c r="F93" s="393" t="s">
        <v>238</v>
      </c>
      <c r="G93" s="14">
        <f>E83</f>
        <v>300</v>
      </c>
      <c r="H93" s="226" t="s">
        <v>441</v>
      </c>
      <c r="I93" s="1058">
        <f>I63</f>
        <v>6800</v>
      </c>
      <c r="J93" s="439">
        <f>E93*G93*I93</f>
        <v>306000</v>
      </c>
      <c r="K93" s="1"/>
    </row>
    <row r="94" spans="1:11" ht="15" customHeight="1" x14ac:dyDescent="0.3">
      <c r="A94" s="1"/>
      <c r="B94" s="438"/>
      <c r="C94" s="14" t="s">
        <v>442</v>
      </c>
      <c r="D94" s="393" t="s">
        <v>440</v>
      </c>
      <c r="E94" s="441">
        <f>E84/200</f>
        <v>7.7499999999999999E-2</v>
      </c>
      <c r="F94" s="393" t="s">
        <v>238</v>
      </c>
      <c r="G94" s="442">
        <f>E83/G93</f>
        <v>1</v>
      </c>
      <c r="H94" s="226" t="s">
        <v>441</v>
      </c>
      <c r="I94" s="1058">
        <f>I64</f>
        <v>9750</v>
      </c>
      <c r="J94" s="439">
        <f>E94*G94*I94</f>
        <v>755.625</v>
      </c>
      <c r="K94" s="1"/>
    </row>
    <row r="95" spans="1:11" ht="15" customHeight="1" x14ac:dyDescent="0.3">
      <c r="A95" s="1"/>
      <c r="B95" s="438"/>
      <c r="C95" s="14" t="s">
        <v>444</v>
      </c>
      <c r="D95" s="393" t="s">
        <v>440</v>
      </c>
      <c r="E95" s="441">
        <f>E85/250</f>
        <v>0.08</v>
      </c>
      <c r="F95" s="393" t="s">
        <v>238</v>
      </c>
      <c r="G95" s="14">
        <v>1.2</v>
      </c>
      <c r="H95" s="226" t="s">
        <v>441</v>
      </c>
      <c r="I95" s="1058">
        <f>I94</f>
        <v>9750</v>
      </c>
      <c r="J95" s="439">
        <f>E95*G95*I95</f>
        <v>936</v>
      </c>
      <c r="K95" s="1"/>
    </row>
    <row r="96" spans="1:11" ht="15" customHeight="1" x14ac:dyDescent="0.3">
      <c r="A96" s="1"/>
      <c r="B96" s="438"/>
      <c r="C96" s="14" t="s">
        <v>464</v>
      </c>
      <c r="D96" s="393" t="s">
        <v>440</v>
      </c>
      <c r="E96" s="446"/>
      <c r="F96" s="1"/>
      <c r="G96" s="14">
        <v>2</v>
      </c>
      <c r="H96" s="226" t="s">
        <v>156</v>
      </c>
      <c r="I96" s="1058">
        <f>I65</f>
        <v>7750</v>
      </c>
      <c r="J96" s="439">
        <f>G96*I96</f>
        <v>15500</v>
      </c>
      <c r="K96" s="1"/>
    </row>
    <row r="97" spans="1:11" ht="15" customHeight="1" x14ac:dyDescent="0.3">
      <c r="A97" s="1"/>
      <c r="B97" s="438"/>
      <c r="C97" s="14" t="s">
        <v>447</v>
      </c>
      <c r="D97" s="393" t="s">
        <v>440</v>
      </c>
      <c r="E97" s="14" t="s">
        <v>448</v>
      </c>
      <c r="F97" s="1"/>
      <c r="G97" s="1"/>
      <c r="H97" s="225"/>
      <c r="I97" s="1056"/>
      <c r="J97" s="439">
        <f>0.1*((I79/(H77*H78)))</f>
        <v>32166.666666666672</v>
      </c>
      <c r="K97" s="1"/>
    </row>
    <row r="98" spans="1:11" ht="15" customHeight="1" x14ac:dyDescent="0.3">
      <c r="A98" s="1"/>
      <c r="B98" s="438"/>
      <c r="C98" s="1"/>
      <c r="D98" s="1"/>
      <c r="E98" s="1"/>
      <c r="F98" s="1"/>
      <c r="G98" s="1"/>
      <c r="H98" s="225"/>
      <c r="I98" s="1056"/>
      <c r="J98" s="443">
        <f>SUM(J91:J97)</f>
        <v>765483.29166666663</v>
      </c>
      <c r="K98" s="1"/>
    </row>
    <row r="99" spans="1:11" ht="15" customHeight="1" x14ac:dyDescent="0.3">
      <c r="A99" s="1"/>
      <c r="B99" s="438"/>
      <c r="C99" s="14" t="s">
        <v>449</v>
      </c>
      <c r="D99" s="1"/>
      <c r="E99" s="1"/>
      <c r="F99" s="1"/>
      <c r="G99" s="1"/>
      <c r="H99" s="225"/>
      <c r="I99" s="1056"/>
      <c r="J99" s="437"/>
      <c r="K99" s="1"/>
    </row>
    <row r="100" spans="1:11" ht="15" customHeight="1" x14ac:dyDescent="0.3">
      <c r="A100" s="1"/>
      <c r="B100" s="438"/>
      <c r="C100" s="14" t="s">
        <v>450</v>
      </c>
      <c r="D100" s="1"/>
      <c r="E100" s="1"/>
      <c r="F100" s="1"/>
      <c r="G100" s="1"/>
      <c r="H100" s="225"/>
      <c r="I100" s="1056"/>
      <c r="J100" s="439">
        <f>J98*0.1</f>
        <v>76548.329166666663</v>
      </c>
      <c r="K100" s="1"/>
    </row>
    <row r="101" spans="1:11" ht="15" customHeight="1" x14ac:dyDescent="0.3">
      <c r="A101" s="1"/>
      <c r="B101" s="438"/>
      <c r="C101" s="1"/>
      <c r="D101" s="14" t="s">
        <v>465</v>
      </c>
      <c r="E101" s="1"/>
      <c r="F101" s="1"/>
      <c r="G101" s="1"/>
      <c r="H101" s="225"/>
      <c r="I101" s="1056"/>
      <c r="J101" s="443">
        <f>SUM(J98:J100)</f>
        <v>842031.62083333335</v>
      </c>
      <c r="K101" s="1"/>
    </row>
    <row r="102" spans="1:11" ht="15" customHeight="1" x14ac:dyDescent="0.3">
      <c r="A102" s="1"/>
      <c r="B102" s="438"/>
      <c r="C102" s="1"/>
      <c r="D102" s="14" t="s">
        <v>459</v>
      </c>
      <c r="E102" s="1"/>
      <c r="F102" s="1"/>
      <c r="G102" s="1"/>
      <c r="H102" s="225"/>
      <c r="I102" s="1056"/>
      <c r="J102" s="439">
        <f>ROUND(J101-5,-1)</f>
        <v>842030</v>
      </c>
      <c r="K102" s="1"/>
    </row>
    <row r="103" spans="1:11" ht="15" customHeight="1" x14ac:dyDescent="0.3">
      <c r="A103" s="1"/>
      <c r="B103" s="438"/>
      <c r="C103" s="1"/>
      <c r="D103" s="1"/>
      <c r="E103" s="1"/>
      <c r="F103" s="1"/>
      <c r="G103" s="1"/>
      <c r="H103" s="225"/>
      <c r="I103" s="1056"/>
      <c r="J103" s="437"/>
      <c r="K103" s="1"/>
    </row>
    <row r="104" spans="1:11" ht="15" customHeight="1" x14ac:dyDescent="0.3">
      <c r="A104" s="1"/>
      <c r="B104" s="438"/>
      <c r="C104" s="1"/>
      <c r="D104" s="1"/>
      <c r="E104" s="1"/>
      <c r="F104" s="1"/>
      <c r="G104" s="1"/>
      <c r="H104" s="225"/>
      <c r="I104" s="1056"/>
      <c r="J104" s="437"/>
      <c r="K104" s="1"/>
    </row>
    <row r="105" spans="1:11" ht="15" customHeight="1" thickBot="1" x14ac:dyDescent="0.35">
      <c r="A105" s="1"/>
      <c r="B105" s="447"/>
      <c r="C105" s="4"/>
      <c r="D105" s="448"/>
      <c r="E105" s="4"/>
      <c r="F105" s="4"/>
      <c r="G105" s="4"/>
      <c r="H105" s="230"/>
      <c r="I105" s="231"/>
      <c r="J105" s="449"/>
      <c r="K105" s="1"/>
    </row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</sheetData>
  <mergeCells count="4">
    <mergeCell ref="B3:B5"/>
    <mergeCell ref="C3:H5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E61D-DD8E-4191-A00D-6FE9ED943EEA}">
  <dimension ref="A1:M251"/>
  <sheetViews>
    <sheetView topLeftCell="A49" workbookViewId="0">
      <selection activeCell="N19" sqref="N19"/>
    </sheetView>
  </sheetViews>
  <sheetFormatPr defaultColWidth="9.375" defaultRowHeight="13.8" x14ac:dyDescent="0.3"/>
  <cols>
    <col min="1" max="1" width="9.375" style="10"/>
    <col min="2" max="2" width="7.375" style="10" customWidth="1"/>
    <col min="3" max="3" width="36.5" style="10" customWidth="1"/>
    <col min="4" max="4" width="3.5" style="10" customWidth="1"/>
    <col min="5" max="5" width="9.875" style="10" customWidth="1"/>
    <col min="6" max="6" width="3" style="10" customWidth="1"/>
    <col min="7" max="7" width="9.375" style="10"/>
    <col min="8" max="8" width="9.375" style="155"/>
    <col min="9" max="9" width="19.5" style="232" customWidth="1"/>
    <col min="10" max="10" width="21.375" style="10" customWidth="1"/>
    <col min="11" max="11" width="9.375" style="10"/>
    <col min="12" max="12" width="1.625" style="10" customWidth="1"/>
    <col min="13" max="13" width="4.625" style="10" customWidth="1"/>
    <col min="14" max="16384" width="9.375" style="10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219"/>
      <c r="I1" s="220"/>
      <c r="J1" s="1"/>
      <c r="K1" s="1"/>
    </row>
    <row r="2" spans="1:11" ht="15" customHeight="1" thickBot="1" x14ac:dyDescent="0.35">
      <c r="A2" s="1"/>
      <c r="B2" s="71"/>
      <c r="C2" s="71"/>
      <c r="D2" s="71"/>
      <c r="E2" s="71"/>
      <c r="F2" s="71"/>
      <c r="G2" s="71"/>
      <c r="H2" s="221"/>
      <c r="I2" s="222"/>
      <c r="J2" s="512"/>
      <c r="K2" s="1"/>
    </row>
    <row r="3" spans="1:11" ht="15" customHeight="1" x14ac:dyDescent="0.3">
      <c r="A3" s="1"/>
      <c r="B3" s="1669" t="s">
        <v>9</v>
      </c>
      <c r="C3" s="1672" t="s">
        <v>408</v>
      </c>
      <c r="D3" s="1673"/>
      <c r="E3" s="1673"/>
      <c r="F3" s="1673"/>
      <c r="G3" s="1673"/>
      <c r="H3" s="1674"/>
      <c r="I3" s="1681" t="s">
        <v>12</v>
      </c>
      <c r="J3" s="1683" t="s">
        <v>219</v>
      </c>
      <c r="K3" s="1"/>
    </row>
    <row r="4" spans="1:11" ht="15" customHeight="1" x14ac:dyDescent="0.3">
      <c r="A4" s="1"/>
      <c r="B4" s="1670"/>
      <c r="C4" s="1675"/>
      <c r="D4" s="1685"/>
      <c r="E4" s="1685"/>
      <c r="F4" s="1685"/>
      <c r="G4" s="1685"/>
      <c r="H4" s="1677"/>
      <c r="I4" s="1682"/>
      <c r="J4" s="1684"/>
      <c r="K4" s="1"/>
    </row>
    <row r="5" spans="1:11" ht="15" customHeight="1" x14ac:dyDescent="0.3">
      <c r="A5" s="1"/>
      <c r="B5" s="1671"/>
      <c r="C5" s="1678"/>
      <c r="D5" s="1679"/>
      <c r="E5" s="1679"/>
      <c r="F5" s="1679"/>
      <c r="G5" s="1679"/>
      <c r="H5" s="1680"/>
      <c r="I5" s="223" t="s">
        <v>13</v>
      </c>
      <c r="J5" s="431" t="s">
        <v>13</v>
      </c>
      <c r="K5" s="1"/>
    </row>
    <row r="6" spans="1:11" ht="15" customHeight="1" x14ac:dyDescent="0.3">
      <c r="A6" s="1"/>
      <c r="B6" s="432"/>
      <c r="C6" s="71"/>
      <c r="D6" s="71"/>
      <c r="E6" s="71"/>
      <c r="F6" s="71"/>
      <c r="G6" s="71"/>
      <c r="H6" s="224"/>
      <c r="I6" s="1055"/>
      <c r="J6" s="433"/>
      <c r="K6" s="1"/>
    </row>
    <row r="7" spans="1:11" ht="15" customHeight="1" x14ac:dyDescent="0.3">
      <c r="A7" s="1"/>
      <c r="B7" s="434" t="s">
        <v>409</v>
      </c>
      <c r="C7" s="435" t="s">
        <v>229</v>
      </c>
      <c r="D7" s="71"/>
      <c r="E7" s="71"/>
      <c r="F7" s="71"/>
      <c r="G7" s="71"/>
      <c r="H7" s="224"/>
      <c r="I7" s="1055"/>
      <c r="J7" s="433"/>
      <c r="K7" s="1"/>
    </row>
    <row r="8" spans="1:11" ht="15" customHeight="1" x14ac:dyDescent="0.3">
      <c r="A8" s="1"/>
      <c r="B8" s="432"/>
      <c r="C8" s="71"/>
      <c r="D8" s="71"/>
      <c r="E8" s="71"/>
      <c r="F8" s="71"/>
      <c r="G8" s="71"/>
      <c r="H8" s="224"/>
      <c r="I8" s="1055"/>
      <c r="J8" s="433"/>
      <c r="K8" s="1"/>
    </row>
    <row r="9" spans="1:11" ht="15" customHeight="1" x14ac:dyDescent="0.3">
      <c r="A9" s="1"/>
      <c r="B9" s="436" t="s">
        <v>410</v>
      </c>
      <c r="C9" s="316" t="s">
        <v>411</v>
      </c>
      <c r="D9" s="1"/>
      <c r="E9" s="1"/>
      <c r="F9" s="1"/>
      <c r="G9" s="1"/>
      <c r="H9" s="225"/>
      <c r="I9" s="1056"/>
      <c r="J9" s="437"/>
      <c r="K9" s="1"/>
    </row>
    <row r="10" spans="1:11" ht="15" customHeight="1" x14ac:dyDescent="0.3">
      <c r="A10" s="1"/>
      <c r="B10" s="438"/>
      <c r="C10" s="1"/>
      <c r="D10" s="1"/>
      <c r="E10" s="1"/>
      <c r="F10" s="1"/>
      <c r="G10" s="1"/>
      <c r="H10" s="225"/>
      <c r="I10" s="1056"/>
      <c r="J10" s="437"/>
      <c r="K10" s="1"/>
    </row>
    <row r="11" spans="1:11" ht="15" customHeight="1" x14ac:dyDescent="0.3">
      <c r="A11" s="1"/>
      <c r="B11" s="438"/>
      <c r="C11" s="14" t="s">
        <v>412</v>
      </c>
      <c r="D11" s="14" t="s">
        <v>2</v>
      </c>
      <c r="E11" s="14" t="s">
        <v>413</v>
      </c>
      <c r="F11" s="1"/>
      <c r="G11" s="1"/>
      <c r="H11" s="225"/>
      <c r="I11" s="1057"/>
      <c r="J11" s="437"/>
      <c r="K11" s="1"/>
    </row>
    <row r="12" spans="1:11" ht="15" customHeight="1" x14ac:dyDescent="0.3">
      <c r="A12" s="1"/>
      <c r="B12" s="438"/>
      <c r="C12" s="14" t="s">
        <v>414</v>
      </c>
      <c r="D12" s="14" t="s">
        <v>2</v>
      </c>
      <c r="E12" s="14" t="s">
        <v>415</v>
      </c>
      <c r="F12" s="1"/>
      <c r="G12" s="1"/>
      <c r="H12" s="225"/>
      <c r="I12" s="1056"/>
      <c r="J12" s="437"/>
      <c r="K12" s="1"/>
    </row>
    <row r="13" spans="1:11" ht="15" customHeight="1" x14ac:dyDescent="0.3">
      <c r="A13" s="1"/>
      <c r="B13" s="438"/>
      <c r="C13" s="14" t="s">
        <v>416</v>
      </c>
      <c r="D13" s="14" t="s">
        <v>2</v>
      </c>
      <c r="E13" s="14" t="s">
        <v>417</v>
      </c>
      <c r="F13" s="1"/>
      <c r="G13" s="1"/>
      <c r="H13" s="226">
        <v>3</v>
      </c>
      <c r="I13" s="1058" t="s">
        <v>418</v>
      </c>
      <c r="J13" s="437"/>
      <c r="K13" s="1"/>
    </row>
    <row r="14" spans="1:11" ht="15" customHeight="1" x14ac:dyDescent="0.3">
      <c r="A14" s="1"/>
      <c r="B14" s="438"/>
      <c r="C14" s="14" t="s">
        <v>419</v>
      </c>
      <c r="D14" s="14" t="s">
        <v>2</v>
      </c>
      <c r="E14" s="14" t="s">
        <v>420</v>
      </c>
      <c r="F14" s="1"/>
      <c r="G14" s="1"/>
      <c r="H14" s="226">
        <v>2500</v>
      </c>
      <c r="I14" s="1058" t="s">
        <v>37</v>
      </c>
      <c r="J14" s="437"/>
      <c r="K14" s="1"/>
    </row>
    <row r="15" spans="1:11" ht="15" customHeight="1" x14ac:dyDescent="0.3">
      <c r="A15" s="1"/>
      <c r="B15" s="438"/>
      <c r="C15" s="14" t="s">
        <v>421</v>
      </c>
      <c r="D15" s="14" t="s">
        <v>2</v>
      </c>
      <c r="E15" s="14" t="s">
        <v>422</v>
      </c>
      <c r="F15" s="1"/>
      <c r="G15" s="1"/>
      <c r="H15" s="225"/>
      <c r="I15" s="1058">
        <v>250000000</v>
      </c>
      <c r="J15" s="437"/>
      <c r="K15" s="100">
        <f>[37]HARSAT!G35</f>
        <v>743325.29425000004</v>
      </c>
    </row>
    <row r="16" spans="1:11" ht="15" customHeight="1" x14ac:dyDescent="0.3">
      <c r="A16" s="1"/>
      <c r="B16" s="438"/>
      <c r="C16" s="14" t="s">
        <v>423</v>
      </c>
      <c r="D16" s="14" t="s">
        <v>2</v>
      </c>
      <c r="E16" s="14" t="s">
        <v>424</v>
      </c>
      <c r="F16" s="1"/>
      <c r="G16" s="1"/>
      <c r="H16" s="225"/>
      <c r="I16" s="1058">
        <f>I15*0.1</f>
        <v>25000000</v>
      </c>
      <c r="J16" s="437"/>
      <c r="K16" s="1"/>
    </row>
    <row r="17" spans="1:13" ht="15" customHeight="1" x14ac:dyDescent="0.3">
      <c r="A17" s="1"/>
      <c r="B17" s="438"/>
      <c r="C17" s="14" t="s">
        <v>425</v>
      </c>
      <c r="D17" s="14" t="s">
        <v>2</v>
      </c>
      <c r="E17" s="14" t="s">
        <v>426</v>
      </c>
      <c r="F17" s="1"/>
      <c r="G17" s="1"/>
      <c r="H17" s="225"/>
      <c r="I17" s="1058">
        <f>I15-I16</f>
        <v>225000000</v>
      </c>
      <c r="J17" s="437"/>
      <c r="K17" s="1"/>
    </row>
    <row r="18" spans="1:13" ht="15" customHeight="1" x14ac:dyDescent="0.3">
      <c r="A18" s="1"/>
      <c r="B18" s="438"/>
      <c r="C18" s="14" t="s">
        <v>427</v>
      </c>
      <c r="D18" s="14" t="s">
        <v>2</v>
      </c>
      <c r="E18" s="1"/>
      <c r="F18" s="1"/>
      <c r="G18" s="1"/>
      <c r="H18" s="225"/>
      <c r="I18" s="1056"/>
      <c r="J18" s="437"/>
      <c r="K18" s="1"/>
    </row>
    <row r="19" spans="1:13" ht="15" customHeight="1" x14ac:dyDescent="0.3">
      <c r="A19" s="1"/>
      <c r="B19" s="438"/>
      <c r="C19" s="14" t="s">
        <v>428</v>
      </c>
      <c r="D19" s="14" t="s">
        <v>2</v>
      </c>
      <c r="E19" s="14">
        <f>100/2</f>
        <v>50</v>
      </c>
      <c r="F19" s="14" t="s">
        <v>429</v>
      </c>
      <c r="G19" s="1"/>
      <c r="H19" s="225"/>
      <c r="I19" s="1056"/>
      <c r="J19" s="437"/>
      <c r="K19" s="1"/>
    </row>
    <row r="20" spans="1:13" ht="15" customHeight="1" x14ac:dyDescent="0.3">
      <c r="A20" s="1"/>
      <c r="B20" s="438"/>
      <c r="C20" s="14" t="s">
        <v>430</v>
      </c>
      <c r="D20" s="14" t="s">
        <v>2</v>
      </c>
      <c r="E20" s="14">
        <f>10/2</f>
        <v>5</v>
      </c>
      <c r="F20" s="14" t="s">
        <v>199</v>
      </c>
      <c r="G20" s="1"/>
      <c r="H20" s="225"/>
      <c r="I20" s="1056"/>
      <c r="J20" s="437"/>
      <c r="K20" s="1"/>
    </row>
    <row r="21" spans="1:13" ht="15" customHeight="1" x14ac:dyDescent="0.3">
      <c r="A21" s="1"/>
      <c r="B21" s="438"/>
      <c r="C21" s="14" t="s">
        <v>431</v>
      </c>
      <c r="D21" s="14" t="s">
        <v>2</v>
      </c>
      <c r="E21" s="14">
        <f>20/2</f>
        <v>10</v>
      </c>
      <c r="F21" s="14" t="s">
        <v>199</v>
      </c>
      <c r="G21" s="1"/>
      <c r="H21" s="225"/>
      <c r="I21" s="1056"/>
      <c r="J21" s="437"/>
      <c r="K21" s="1"/>
    </row>
    <row r="22" spans="1:13" ht="15" customHeight="1" x14ac:dyDescent="0.3">
      <c r="A22" s="1"/>
      <c r="B22" s="438"/>
      <c r="C22" s="14" t="s">
        <v>432</v>
      </c>
      <c r="D22" s="14" t="s">
        <v>2</v>
      </c>
      <c r="E22" s="14">
        <f>20/2</f>
        <v>10</v>
      </c>
      <c r="F22" s="14" t="s">
        <v>199</v>
      </c>
      <c r="G22" s="1"/>
      <c r="H22" s="225"/>
      <c r="I22" s="1056"/>
      <c r="J22" s="437"/>
      <c r="K22" s="1"/>
    </row>
    <row r="23" spans="1:13" ht="15" customHeight="1" x14ac:dyDescent="0.3">
      <c r="A23" s="1"/>
      <c r="B23" s="438"/>
      <c r="C23" s="14" t="s">
        <v>433</v>
      </c>
      <c r="D23" s="14" t="s">
        <v>2</v>
      </c>
      <c r="E23" s="14">
        <f>90/2</f>
        <v>45</v>
      </c>
      <c r="F23" s="14" t="s">
        <v>199</v>
      </c>
      <c r="G23" s="1"/>
      <c r="H23" s="225"/>
      <c r="I23" s="1056"/>
      <c r="J23" s="437"/>
      <c r="K23" s="1"/>
    </row>
    <row r="24" spans="1:13" ht="15" customHeight="1" x14ac:dyDescent="0.3">
      <c r="A24" s="1"/>
      <c r="B24" s="438"/>
      <c r="C24" s="1"/>
      <c r="D24" s="1"/>
      <c r="E24" s="1"/>
      <c r="F24" s="1"/>
      <c r="G24" s="1"/>
      <c r="H24" s="225"/>
      <c r="I24" s="1056"/>
      <c r="J24" s="437"/>
      <c r="K24" s="1"/>
    </row>
    <row r="25" spans="1:13" ht="15" customHeight="1" x14ac:dyDescent="0.3">
      <c r="A25" s="1"/>
      <c r="B25" s="438"/>
      <c r="C25" s="14" t="s">
        <v>434</v>
      </c>
      <c r="D25" s="14" t="s">
        <v>2</v>
      </c>
      <c r="E25" s="1"/>
      <c r="F25" s="1"/>
      <c r="G25" s="1"/>
      <c r="H25" s="225"/>
      <c r="I25" s="1056"/>
      <c r="J25" s="437"/>
      <c r="K25" s="1"/>
    </row>
    <row r="26" spans="1:13" ht="15" customHeight="1" x14ac:dyDescent="0.3">
      <c r="A26" s="1"/>
      <c r="B26" s="438"/>
      <c r="C26" s="14" t="s">
        <v>435</v>
      </c>
      <c r="D26" s="1"/>
      <c r="E26" s="1"/>
      <c r="F26" s="1"/>
      <c r="G26" s="1"/>
      <c r="H26" s="225"/>
      <c r="I26" s="1056"/>
      <c r="J26" s="437"/>
      <c r="K26" s="1"/>
    </row>
    <row r="27" spans="1:13" ht="15" customHeight="1" x14ac:dyDescent="0.3">
      <c r="A27" s="1"/>
      <c r="B27" s="438"/>
      <c r="C27" s="1"/>
      <c r="D27" s="1"/>
      <c r="E27" s="1"/>
      <c r="F27" s="1"/>
      <c r="G27" s="1"/>
      <c r="H27" s="225"/>
      <c r="I27" s="1056"/>
      <c r="J27" s="437"/>
      <c r="K27" s="1"/>
    </row>
    <row r="28" spans="1:13" ht="15" customHeight="1" x14ac:dyDescent="0.3">
      <c r="A28" s="1"/>
      <c r="B28" s="438"/>
      <c r="C28" s="14" t="s">
        <v>436</v>
      </c>
      <c r="D28" s="1"/>
      <c r="E28" s="1"/>
      <c r="F28" s="1"/>
      <c r="G28" s="1"/>
      <c r="H28" s="225"/>
      <c r="I28" s="1056"/>
      <c r="J28" s="437"/>
      <c r="K28" s="1"/>
    </row>
    <row r="29" spans="1:13" ht="15" customHeight="1" x14ac:dyDescent="0.3">
      <c r="A29" s="1"/>
      <c r="B29" s="438"/>
      <c r="C29" s="14" t="s">
        <v>437</v>
      </c>
      <c r="D29" s="1"/>
      <c r="E29" s="1"/>
      <c r="F29" s="1"/>
      <c r="G29" s="1"/>
      <c r="H29" s="225"/>
      <c r="I29" s="1056"/>
      <c r="J29" s="439">
        <f>I17/(H13*H14)</f>
        <v>30000</v>
      </c>
      <c r="K29" s="1"/>
    </row>
    <row r="30" spans="1:13" ht="15" customHeight="1" x14ac:dyDescent="0.3">
      <c r="A30" s="1"/>
      <c r="B30" s="438"/>
      <c r="C30" s="14" t="s">
        <v>438</v>
      </c>
      <c r="D30" s="1"/>
      <c r="E30" s="1"/>
      <c r="F30" s="1"/>
      <c r="G30" s="1"/>
      <c r="H30" s="225"/>
      <c r="I30" s="1056"/>
      <c r="J30" s="439">
        <f>(((0.25*(H13+1))/(2*H13)))*(I15/H14)</f>
        <v>16666.666666666664</v>
      </c>
      <c r="K30" s="1"/>
    </row>
    <row r="31" spans="1:13" ht="15" customHeight="1" x14ac:dyDescent="0.3">
      <c r="A31" s="1"/>
      <c r="B31" s="438"/>
      <c r="C31" s="14" t="s">
        <v>439</v>
      </c>
      <c r="D31" s="393" t="s">
        <v>440</v>
      </c>
      <c r="E31" s="440">
        <v>0.15</v>
      </c>
      <c r="F31" s="393" t="s">
        <v>238</v>
      </c>
      <c r="G31" s="14">
        <f>E19</f>
        <v>50</v>
      </c>
      <c r="H31" s="226" t="s">
        <v>441</v>
      </c>
      <c r="I31" s="1058">
        <v>6800</v>
      </c>
      <c r="J31" s="439">
        <f>E31*G31*I31</f>
        <v>51000</v>
      </c>
      <c r="K31" s="1">
        <v>0.15</v>
      </c>
    </row>
    <row r="32" spans="1:13" ht="15" customHeight="1" x14ac:dyDescent="0.3">
      <c r="A32" s="1"/>
      <c r="B32" s="438"/>
      <c r="C32" s="14" t="s">
        <v>442</v>
      </c>
      <c r="D32" s="393" t="s">
        <v>440</v>
      </c>
      <c r="E32" s="441">
        <f>E20/200</f>
        <v>2.5000000000000001E-2</v>
      </c>
      <c r="F32" s="393" t="s">
        <v>238</v>
      </c>
      <c r="G32" s="442">
        <f>E19/G31</f>
        <v>1</v>
      </c>
      <c r="H32" s="226" t="s">
        <v>441</v>
      </c>
      <c r="I32" s="1058">
        <v>9750</v>
      </c>
      <c r="J32" s="439">
        <f>E32*G32*I32</f>
        <v>243.75</v>
      </c>
      <c r="K32" s="1">
        <v>10</v>
      </c>
      <c r="L32" s="227" t="s">
        <v>443</v>
      </c>
      <c r="M32" s="513">
        <v>200</v>
      </c>
    </row>
    <row r="33" spans="1:13" ht="15" customHeight="1" x14ac:dyDescent="0.3">
      <c r="A33" s="1"/>
      <c r="B33" s="438"/>
      <c r="C33" s="14" t="s">
        <v>444</v>
      </c>
      <c r="D33" s="393" t="s">
        <v>440</v>
      </c>
      <c r="E33" s="441">
        <f>E21/250</f>
        <v>0.04</v>
      </c>
      <c r="F33" s="393" t="s">
        <v>238</v>
      </c>
      <c r="G33" s="14">
        <v>1.2</v>
      </c>
      <c r="H33" s="226" t="s">
        <v>441</v>
      </c>
      <c r="I33" s="1058">
        <v>9750</v>
      </c>
      <c r="J33" s="439">
        <f>E33*G33*I33</f>
        <v>468</v>
      </c>
      <c r="K33" s="1">
        <v>20</v>
      </c>
      <c r="L33" s="227" t="s">
        <v>443</v>
      </c>
      <c r="M33" s="513">
        <v>250</v>
      </c>
    </row>
    <row r="34" spans="1:13" ht="15" customHeight="1" x14ac:dyDescent="0.3">
      <c r="A34" s="1"/>
      <c r="B34" s="438"/>
      <c r="C34" s="14" t="s">
        <v>445</v>
      </c>
      <c r="D34" s="393" t="s">
        <v>440</v>
      </c>
      <c r="E34" s="441">
        <f>E23/450</f>
        <v>0.1</v>
      </c>
      <c r="F34" s="393" t="s">
        <v>238</v>
      </c>
      <c r="G34" s="14">
        <v>1.2</v>
      </c>
      <c r="H34" s="226" t="s">
        <v>441</v>
      </c>
      <c r="I34" s="1058">
        <v>7750</v>
      </c>
      <c r="J34" s="439">
        <f>E34*G34*I34</f>
        <v>930</v>
      </c>
      <c r="K34" s="1">
        <v>90</v>
      </c>
      <c r="L34" s="227" t="s">
        <v>443</v>
      </c>
      <c r="M34" s="513">
        <v>450</v>
      </c>
    </row>
    <row r="35" spans="1:13" ht="15" customHeight="1" x14ac:dyDescent="0.3">
      <c r="A35" s="1"/>
      <c r="B35" s="438"/>
      <c r="C35" s="14" t="s">
        <v>446</v>
      </c>
      <c r="D35" s="393" t="s">
        <v>440</v>
      </c>
      <c r="E35" s="1"/>
      <c r="F35" s="1"/>
      <c r="G35" s="14">
        <v>2</v>
      </c>
      <c r="H35" s="226" t="s">
        <v>156</v>
      </c>
      <c r="I35" s="1058">
        <v>7750</v>
      </c>
      <c r="J35" s="439">
        <f>G35*I35</f>
        <v>15500</v>
      </c>
      <c r="K35" s="1"/>
    </row>
    <row r="36" spans="1:13" ht="15" customHeight="1" x14ac:dyDescent="0.3">
      <c r="A36" s="1"/>
      <c r="B36" s="438"/>
      <c r="C36" s="14" t="s">
        <v>447</v>
      </c>
      <c r="D36" s="393" t="s">
        <v>440</v>
      </c>
      <c r="E36" s="14" t="s">
        <v>448</v>
      </c>
      <c r="F36" s="1"/>
      <c r="G36" s="1"/>
      <c r="H36" s="225"/>
      <c r="I36" s="1056"/>
      <c r="J36" s="439">
        <f>0.1*((I15/(H13*H14)))</f>
        <v>3333.3333333333339</v>
      </c>
      <c r="K36" s="1"/>
    </row>
    <row r="37" spans="1:13" ht="15" customHeight="1" x14ac:dyDescent="0.3">
      <c r="A37" s="1"/>
      <c r="B37" s="438"/>
      <c r="C37" s="1"/>
      <c r="D37" s="1"/>
      <c r="E37" s="1"/>
      <c r="F37" s="1"/>
      <c r="G37" s="1"/>
      <c r="H37" s="225"/>
      <c r="I37" s="1056"/>
      <c r="J37" s="443">
        <f>SUM(J29:J36)</f>
        <v>118141.74999999999</v>
      </c>
      <c r="K37" s="1"/>
    </row>
    <row r="38" spans="1:13" ht="15" customHeight="1" x14ac:dyDescent="0.3">
      <c r="A38" s="1"/>
      <c r="B38" s="438"/>
      <c r="C38" s="14" t="s">
        <v>449</v>
      </c>
      <c r="D38" s="1"/>
      <c r="E38" s="1"/>
      <c r="F38" s="1"/>
      <c r="G38" s="1"/>
      <c r="H38" s="225"/>
      <c r="I38" s="1056"/>
      <c r="J38" s="437"/>
      <c r="K38" s="1"/>
    </row>
    <row r="39" spans="1:13" ht="15" customHeight="1" x14ac:dyDescent="0.3">
      <c r="A39" s="1"/>
      <c r="B39" s="438"/>
      <c r="C39" s="14" t="s">
        <v>450</v>
      </c>
      <c r="D39" s="1"/>
      <c r="E39" s="1"/>
      <c r="F39" s="1"/>
      <c r="G39" s="1"/>
      <c r="H39" s="225"/>
      <c r="I39" s="1056"/>
      <c r="J39" s="439">
        <f>J37*0.1</f>
        <v>11814.174999999999</v>
      </c>
      <c r="K39" s="1"/>
    </row>
    <row r="40" spans="1:13" ht="15" customHeight="1" x14ac:dyDescent="0.3">
      <c r="A40" s="1"/>
      <c r="B40" s="438"/>
      <c r="C40" s="1"/>
      <c r="D40" s="14" t="s">
        <v>451</v>
      </c>
      <c r="E40" s="1"/>
      <c r="F40" s="1"/>
      <c r="G40" s="1"/>
      <c r="H40" s="225"/>
      <c r="I40" s="1056"/>
      <c r="J40" s="443">
        <f>SUM(J37:J39)</f>
        <v>129955.92499999999</v>
      </c>
      <c r="K40" s="1"/>
    </row>
    <row r="41" spans="1:13" ht="15" customHeight="1" x14ac:dyDescent="0.3">
      <c r="A41" s="1"/>
      <c r="B41" s="438"/>
      <c r="C41" s="1"/>
      <c r="D41" s="14" t="s">
        <v>452</v>
      </c>
      <c r="E41" s="1"/>
      <c r="F41" s="1"/>
      <c r="G41" s="1"/>
      <c r="H41" s="225"/>
      <c r="I41" s="1056"/>
      <c r="J41" s="439">
        <f>ROUND(J40-5,-1)</f>
        <v>129950</v>
      </c>
      <c r="K41" s="1"/>
    </row>
    <row r="42" spans="1:13" ht="15" customHeight="1" x14ac:dyDescent="0.3">
      <c r="A42" s="1"/>
      <c r="B42" s="444"/>
      <c r="C42" s="263"/>
      <c r="D42" s="263"/>
      <c r="E42" s="263"/>
      <c r="F42" s="263"/>
      <c r="G42" s="263"/>
      <c r="H42" s="228"/>
      <c r="I42" s="229"/>
      <c r="J42" s="445"/>
      <c r="K42" s="1"/>
    </row>
    <row r="43" spans="1:13" ht="15" customHeight="1" x14ac:dyDescent="0.3">
      <c r="A43" s="1"/>
      <c r="B43" s="438"/>
      <c r="C43" s="1"/>
      <c r="D43" s="1"/>
      <c r="E43" s="1"/>
      <c r="F43" s="1"/>
      <c r="G43" s="1"/>
      <c r="H43" s="225"/>
      <c r="I43" s="1056"/>
      <c r="J43" s="437"/>
      <c r="K43" s="1"/>
    </row>
    <row r="44" spans="1:13" ht="15" customHeight="1" x14ac:dyDescent="0.3">
      <c r="A44" s="1"/>
      <c r="B44" s="436" t="s">
        <v>453</v>
      </c>
      <c r="C44" s="316" t="s">
        <v>454</v>
      </c>
      <c r="D44" s="1"/>
      <c r="E44" s="1"/>
      <c r="F44" s="1"/>
      <c r="G44" s="1"/>
      <c r="H44" s="225"/>
      <c r="I44" s="1056"/>
      <c r="J44" s="437"/>
      <c r="K44" s="1"/>
    </row>
    <row r="45" spans="1:13" ht="15" customHeight="1" x14ac:dyDescent="0.3">
      <c r="A45" s="1"/>
      <c r="B45" s="438"/>
      <c r="C45" s="1"/>
      <c r="D45" s="1"/>
      <c r="E45" s="1"/>
      <c r="F45" s="1"/>
      <c r="G45" s="1"/>
      <c r="H45" s="225"/>
      <c r="I45" s="1056"/>
      <c r="J45" s="437"/>
      <c r="K45" s="1"/>
    </row>
    <row r="46" spans="1:13" ht="15" customHeight="1" x14ac:dyDescent="0.3">
      <c r="A46" s="1"/>
      <c r="B46" s="438"/>
      <c r="C46" s="14" t="s">
        <v>412</v>
      </c>
      <c r="D46" s="14" t="s">
        <v>2</v>
      </c>
      <c r="E46" s="14" t="s">
        <v>455</v>
      </c>
      <c r="F46" s="1"/>
      <c r="G46" s="1"/>
      <c r="H46" s="225"/>
      <c r="I46" s="1056"/>
      <c r="J46" s="437"/>
      <c r="K46" s="1"/>
    </row>
    <row r="47" spans="1:13" ht="15" customHeight="1" x14ac:dyDescent="0.3">
      <c r="A47" s="1"/>
      <c r="B47" s="438"/>
      <c r="C47" s="14" t="s">
        <v>414</v>
      </c>
      <c r="D47" s="14" t="s">
        <v>2</v>
      </c>
      <c r="E47" s="14" t="s">
        <v>415</v>
      </c>
      <c r="F47" s="1"/>
      <c r="G47" s="1"/>
      <c r="H47" s="225"/>
      <c r="I47" s="1056"/>
      <c r="J47" s="437"/>
      <c r="K47" s="1"/>
    </row>
    <row r="48" spans="1:13" ht="15" customHeight="1" x14ac:dyDescent="0.3">
      <c r="A48" s="1"/>
      <c r="B48" s="438"/>
      <c r="C48" s="14" t="s">
        <v>416</v>
      </c>
      <c r="D48" s="14" t="s">
        <v>2</v>
      </c>
      <c r="E48" s="14" t="s">
        <v>417</v>
      </c>
      <c r="F48" s="1"/>
      <c r="G48" s="1"/>
      <c r="H48" s="226">
        <v>3</v>
      </c>
      <c r="I48" s="1058" t="s">
        <v>418</v>
      </c>
      <c r="J48" s="437"/>
      <c r="K48" s="1"/>
    </row>
    <row r="49" spans="1:11" ht="15" customHeight="1" x14ac:dyDescent="0.3">
      <c r="A49" s="1"/>
      <c r="B49" s="438"/>
      <c r="C49" s="14" t="s">
        <v>419</v>
      </c>
      <c r="D49" s="14" t="s">
        <v>2</v>
      </c>
      <c r="E49" s="14" t="s">
        <v>420</v>
      </c>
      <c r="F49" s="1"/>
      <c r="G49" s="1"/>
      <c r="H49" s="226">
        <v>7500</v>
      </c>
      <c r="I49" s="1058" t="s">
        <v>37</v>
      </c>
      <c r="J49" s="437"/>
      <c r="K49" s="1"/>
    </row>
    <row r="50" spans="1:11" ht="15" customHeight="1" x14ac:dyDescent="0.3">
      <c r="A50" s="1"/>
      <c r="B50" s="438"/>
      <c r="C50" s="14" t="s">
        <v>421</v>
      </c>
      <c r="D50" s="14" t="s">
        <v>2</v>
      </c>
      <c r="E50" s="14" t="s">
        <v>422</v>
      </c>
      <c r="F50" s="1"/>
      <c r="G50" s="1"/>
      <c r="H50" s="225"/>
      <c r="I50" s="1058">
        <f>50000000-5000000+1200000+2000000+800000</f>
        <v>49000000</v>
      </c>
      <c r="J50" s="437"/>
      <c r="K50" s="1"/>
    </row>
    <row r="51" spans="1:11" ht="15" customHeight="1" x14ac:dyDescent="0.3">
      <c r="A51" s="1"/>
      <c r="B51" s="438"/>
      <c r="C51" s="14" t="s">
        <v>423</v>
      </c>
      <c r="D51" s="14" t="s">
        <v>2</v>
      </c>
      <c r="E51" s="14" t="s">
        <v>424</v>
      </c>
      <c r="F51" s="1"/>
      <c r="G51" s="1"/>
      <c r="H51" s="225"/>
      <c r="I51" s="1058">
        <f>I50*0.1</f>
        <v>4900000</v>
      </c>
      <c r="J51" s="437"/>
      <c r="K51" s="1"/>
    </row>
    <row r="52" spans="1:11" ht="15" customHeight="1" x14ac:dyDescent="0.3">
      <c r="A52" s="1"/>
      <c r="B52" s="438"/>
      <c r="C52" s="14" t="s">
        <v>425</v>
      </c>
      <c r="D52" s="14" t="s">
        <v>2</v>
      </c>
      <c r="E52" s="14" t="s">
        <v>426</v>
      </c>
      <c r="F52" s="1"/>
      <c r="G52" s="1"/>
      <c r="H52" s="225"/>
      <c r="I52" s="1058">
        <f>I50-I51</f>
        <v>44100000</v>
      </c>
      <c r="J52" s="437"/>
      <c r="K52" s="1"/>
    </row>
    <row r="53" spans="1:11" ht="15" customHeight="1" x14ac:dyDescent="0.3">
      <c r="A53" s="1"/>
      <c r="B53" s="438"/>
      <c r="C53" s="14" t="s">
        <v>427</v>
      </c>
      <c r="D53" s="14" t="s">
        <v>2</v>
      </c>
      <c r="E53" s="1"/>
      <c r="F53" s="1"/>
      <c r="G53" s="1"/>
      <c r="H53" s="225"/>
      <c r="I53" s="1056"/>
      <c r="J53" s="437"/>
      <c r="K53" s="1"/>
    </row>
    <row r="54" spans="1:11" ht="15" customHeight="1" x14ac:dyDescent="0.3">
      <c r="A54" s="1"/>
      <c r="B54" s="438"/>
      <c r="C54" s="14" t="s">
        <v>428</v>
      </c>
      <c r="D54" s="14" t="s">
        <v>2</v>
      </c>
      <c r="E54" s="14">
        <v>100</v>
      </c>
      <c r="F54" s="14" t="s">
        <v>429</v>
      </c>
      <c r="G54" s="1"/>
      <c r="H54" s="225"/>
      <c r="I54" s="1056"/>
      <c r="J54" s="437"/>
      <c r="K54" s="1"/>
    </row>
    <row r="55" spans="1:11" ht="15" customHeight="1" x14ac:dyDescent="0.3">
      <c r="A55" s="1"/>
      <c r="B55" s="438"/>
      <c r="C55" s="14" t="s">
        <v>430</v>
      </c>
      <c r="D55" s="14" t="s">
        <v>2</v>
      </c>
      <c r="E55" s="14">
        <v>10</v>
      </c>
      <c r="F55" s="14" t="s">
        <v>199</v>
      </c>
      <c r="G55" s="1"/>
      <c r="H55" s="225"/>
      <c r="I55" s="1056"/>
      <c r="J55" s="437"/>
      <c r="K55" s="1"/>
    </row>
    <row r="56" spans="1:11" ht="15" customHeight="1" x14ac:dyDescent="0.3">
      <c r="A56" s="1"/>
      <c r="B56" s="438"/>
      <c r="C56" s="1"/>
      <c r="D56" s="1"/>
      <c r="E56" s="1"/>
      <c r="F56" s="1"/>
      <c r="G56" s="1"/>
      <c r="H56" s="225"/>
      <c r="I56" s="1056"/>
      <c r="J56" s="437"/>
      <c r="K56" s="1"/>
    </row>
    <row r="57" spans="1:11" ht="15" customHeight="1" x14ac:dyDescent="0.3">
      <c r="A57" s="1"/>
      <c r="B57" s="438"/>
      <c r="C57" s="14" t="s">
        <v>434</v>
      </c>
      <c r="D57" s="14" t="s">
        <v>2</v>
      </c>
      <c r="E57" s="1"/>
      <c r="F57" s="1"/>
      <c r="G57" s="1"/>
      <c r="H57" s="225"/>
      <c r="I57" s="1056"/>
      <c r="J57" s="437"/>
      <c r="K57" s="1"/>
    </row>
    <row r="58" spans="1:11" ht="15" customHeight="1" x14ac:dyDescent="0.3">
      <c r="A58" s="1"/>
      <c r="B58" s="438"/>
      <c r="C58" s="14" t="s">
        <v>435</v>
      </c>
      <c r="D58" s="1"/>
      <c r="E58" s="1"/>
      <c r="F58" s="1"/>
      <c r="G58" s="1"/>
      <c r="H58" s="225"/>
      <c r="I58" s="1056"/>
      <c r="J58" s="437"/>
      <c r="K58" s="1"/>
    </row>
    <row r="59" spans="1:11" ht="15" customHeight="1" x14ac:dyDescent="0.3">
      <c r="A59" s="1"/>
      <c r="B59" s="438"/>
      <c r="C59" s="1"/>
      <c r="D59" s="1"/>
      <c r="E59" s="1"/>
      <c r="F59" s="1"/>
      <c r="G59" s="1"/>
      <c r="H59" s="225"/>
      <c r="I59" s="1056"/>
      <c r="J59" s="437"/>
      <c r="K59" s="1"/>
    </row>
    <row r="60" spans="1:11" ht="15" customHeight="1" x14ac:dyDescent="0.3">
      <c r="A60" s="1"/>
      <c r="B60" s="438"/>
      <c r="C60" s="14" t="s">
        <v>436</v>
      </c>
      <c r="D60" s="1"/>
      <c r="E60" s="1"/>
      <c r="F60" s="1"/>
      <c r="G60" s="1"/>
      <c r="H60" s="225"/>
      <c r="I60" s="1056"/>
      <c r="J60" s="437"/>
      <c r="K60" s="1"/>
    </row>
    <row r="61" spans="1:11" ht="15" customHeight="1" x14ac:dyDescent="0.3">
      <c r="A61" s="1"/>
      <c r="B61" s="438"/>
      <c r="C61" s="14" t="s">
        <v>456</v>
      </c>
      <c r="D61" s="1"/>
      <c r="E61" s="1"/>
      <c r="F61" s="1"/>
      <c r="G61" s="1"/>
      <c r="H61" s="225"/>
      <c r="I61" s="1056"/>
      <c r="J61" s="439">
        <f>I52/(H48*H49)</f>
        <v>1960</v>
      </c>
      <c r="K61" s="1"/>
    </row>
    <row r="62" spans="1:11" ht="15" customHeight="1" x14ac:dyDescent="0.3">
      <c r="A62" s="1"/>
      <c r="B62" s="438"/>
      <c r="C62" s="14" t="s">
        <v>438</v>
      </c>
      <c r="D62" s="1"/>
      <c r="E62" s="1"/>
      <c r="F62" s="1"/>
      <c r="G62" s="1"/>
      <c r="H62" s="225"/>
      <c r="I62" s="1056"/>
      <c r="J62" s="439">
        <f>(((0.25*(H48+1))/(2*H48)))*(I50/H49)</f>
        <v>1088.8888888888887</v>
      </c>
      <c r="K62" s="1"/>
    </row>
    <row r="63" spans="1:11" ht="15" customHeight="1" x14ac:dyDescent="0.3">
      <c r="A63" s="1"/>
      <c r="B63" s="438"/>
      <c r="C63" s="14" t="s">
        <v>439</v>
      </c>
      <c r="D63" s="393" t="s">
        <v>440</v>
      </c>
      <c r="E63" s="440">
        <v>0.15</v>
      </c>
      <c r="F63" s="393" t="s">
        <v>238</v>
      </c>
      <c r="G63" s="14">
        <f>E54</f>
        <v>100</v>
      </c>
      <c r="H63" s="226" t="s">
        <v>441</v>
      </c>
      <c r="I63" s="1058">
        <f>$I$31</f>
        <v>6800</v>
      </c>
      <c r="J63" s="439">
        <f>E63*G63*I63</f>
        <v>102000</v>
      </c>
      <c r="K63" s="1"/>
    </row>
    <row r="64" spans="1:11" ht="15" customHeight="1" x14ac:dyDescent="0.3">
      <c r="A64" s="1"/>
      <c r="B64" s="438"/>
      <c r="C64" s="14" t="s">
        <v>442</v>
      </c>
      <c r="D64" s="393" t="s">
        <v>440</v>
      </c>
      <c r="E64" s="441">
        <f>E55/200</f>
        <v>0.05</v>
      </c>
      <c r="F64" s="393" t="s">
        <v>238</v>
      </c>
      <c r="G64" s="442">
        <f>G63/E54</f>
        <v>1</v>
      </c>
      <c r="H64" s="226" t="s">
        <v>441</v>
      </c>
      <c r="I64" s="1058">
        <f>$I$32</f>
        <v>9750</v>
      </c>
      <c r="J64" s="439">
        <f>E64*G64*I64</f>
        <v>487.5</v>
      </c>
      <c r="K64" s="1"/>
    </row>
    <row r="65" spans="1:11" ht="15" customHeight="1" x14ac:dyDescent="0.3">
      <c r="A65" s="1"/>
      <c r="B65" s="438"/>
      <c r="C65" s="14" t="s">
        <v>457</v>
      </c>
      <c r="D65" s="393" t="s">
        <v>440</v>
      </c>
      <c r="E65" s="446"/>
      <c r="F65" s="1"/>
      <c r="G65" s="14">
        <v>2</v>
      </c>
      <c r="H65" s="226" t="s">
        <v>156</v>
      </c>
      <c r="I65" s="1058">
        <f>$I$34</f>
        <v>7750</v>
      </c>
      <c r="J65" s="439">
        <f>G65*I65</f>
        <v>15500</v>
      </c>
      <c r="K65" s="1"/>
    </row>
    <row r="66" spans="1:11" ht="15" customHeight="1" x14ac:dyDescent="0.3">
      <c r="A66" s="1"/>
      <c r="B66" s="438"/>
      <c r="C66" s="14" t="s">
        <v>447</v>
      </c>
      <c r="D66" s="393" t="s">
        <v>440</v>
      </c>
      <c r="E66" s="14" t="s">
        <v>448</v>
      </c>
      <c r="F66" s="1"/>
      <c r="G66" s="1"/>
      <c r="H66" s="225"/>
      <c r="I66" s="1056"/>
      <c r="J66" s="439">
        <f>0.1*((I50/(H48*H49)))</f>
        <v>217.7777777777778</v>
      </c>
      <c r="K66" s="1"/>
    </row>
    <row r="67" spans="1:11" ht="15" customHeight="1" x14ac:dyDescent="0.3">
      <c r="A67" s="1"/>
      <c r="B67" s="438"/>
      <c r="C67" s="1"/>
      <c r="D67" s="1"/>
      <c r="E67" s="1"/>
      <c r="F67" s="1"/>
      <c r="G67" s="1"/>
      <c r="H67" s="225"/>
      <c r="I67" s="1056"/>
      <c r="J67" s="443">
        <f>SUM(J61:J66)</f>
        <v>121254.16666666667</v>
      </c>
      <c r="K67" s="1"/>
    </row>
    <row r="68" spans="1:11" ht="15" customHeight="1" x14ac:dyDescent="0.3">
      <c r="A68" s="1"/>
      <c r="B68" s="438"/>
      <c r="C68" s="14" t="s">
        <v>449</v>
      </c>
      <c r="D68" s="1"/>
      <c r="E68" s="1"/>
      <c r="F68" s="1"/>
      <c r="G68" s="1"/>
      <c r="H68" s="225"/>
      <c r="I68" s="1056"/>
      <c r="J68" s="437"/>
      <c r="K68" s="1"/>
    </row>
    <row r="69" spans="1:11" ht="15" customHeight="1" x14ac:dyDescent="0.3">
      <c r="A69" s="1"/>
      <c r="B69" s="438"/>
      <c r="C69" s="14" t="s">
        <v>450</v>
      </c>
      <c r="D69" s="1"/>
      <c r="E69" s="1"/>
      <c r="F69" s="1"/>
      <c r="G69" s="1"/>
      <c r="H69" s="225"/>
      <c r="I69" s="1056"/>
      <c r="J69" s="439">
        <f>J67*0.1</f>
        <v>12125.416666666668</v>
      </c>
      <c r="K69" s="1"/>
    </row>
    <row r="70" spans="1:11" ht="15" customHeight="1" x14ac:dyDescent="0.3">
      <c r="A70" s="1"/>
      <c r="B70" s="438"/>
      <c r="C70" s="1"/>
      <c r="D70" s="14" t="s">
        <v>458</v>
      </c>
      <c r="E70" s="1"/>
      <c r="F70" s="1"/>
      <c r="G70" s="1"/>
      <c r="H70" s="225"/>
      <c r="I70" s="1056"/>
      <c r="J70" s="443">
        <f>SUM(J67:J69)</f>
        <v>133379.58333333334</v>
      </c>
      <c r="K70" s="1"/>
    </row>
    <row r="71" spans="1:11" ht="15" customHeight="1" x14ac:dyDescent="0.3">
      <c r="A71" s="1"/>
      <c r="B71" s="438"/>
      <c r="C71" s="1"/>
      <c r="D71" s="14" t="s">
        <v>459</v>
      </c>
      <c r="E71" s="1"/>
      <c r="F71" s="1"/>
      <c r="G71" s="1"/>
      <c r="H71" s="225"/>
      <c r="I71" s="1056"/>
      <c r="J71" s="439">
        <f>ROUND(J70-5,-1)</f>
        <v>133370</v>
      </c>
      <c r="K71" s="1"/>
    </row>
    <row r="72" spans="1:11" ht="15" customHeight="1" x14ac:dyDescent="0.3">
      <c r="A72" s="1"/>
      <c r="B72" s="438"/>
      <c r="C72" s="1"/>
      <c r="D72" s="14"/>
      <c r="E72" s="1"/>
      <c r="F72" s="1"/>
      <c r="G72" s="1"/>
      <c r="H72" s="225"/>
      <c r="I72" s="1056"/>
      <c r="J72" s="439"/>
      <c r="K72" s="1"/>
    </row>
    <row r="73" spans="1:11" ht="15" customHeight="1" x14ac:dyDescent="0.3">
      <c r="A73" s="1"/>
      <c r="B73" s="436" t="s">
        <v>460</v>
      </c>
      <c r="C73" s="316" t="s">
        <v>461</v>
      </c>
      <c r="D73" s="1"/>
      <c r="E73" s="1"/>
      <c r="F73" s="1"/>
      <c r="G73" s="1"/>
      <c r="H73" s="225"/>
      <c r="I73" s="1056"/>
      <c r="J73" s="437"/>
      <c r="K73" s="1"/>
    </row>
    <row r="74" spans="1:11" ht="15" customHeight="1" x14ac:dyDescent="0.3">
      <c r="A74" s="1"/>
      <c r="B74" s="438"/>
      <c r="C74" s="1"/>
      <c r="D74" s="1"/>
      <c r="E74" s="1"/>
      <c r="F74" s="1"/>
      <c r="G74" s="1"/>
      <c r="H74" s="225"/>
      <c r="I74" s="1056"/>
      <c r="J74" s="437"/>
      <c r="K74" s="1"/>
    </row>
    <row r="75" spans="1:11" ht="15" customHeight="1" x14ac:dyDescent="0.3">
      <c r="A75" s="1"/>
      <c r="B75" s="438"/>
      <c r="C75" s="14" t="s">
        <v>412</v>
      </c>
      <c r="D75" s="14" t="s">
        <v>2</v>
      </c>
      <c r="E75" s="14" t="s">
        <v>462</v>
      </c>
      <c r="F75" s="1"/>
      <c r="G75" s="1"/>
      <c r="H75" s="225"/>
      <c r="I75" s="1056"/>
      <c r="J75" s="437"/>
      <c r="K75" s="1"/>
    </row>
    <row r="76" spans="1:11" ht="15" customHeight="1" x14ac:dyDescent="0.3">
      <c r="A76" s="1"/>
      <c r="B76" s="438"/>
      <c r="C76" s="14" t="s">
        <v>414</v>
      </c>
      <c r="D76" s="14" t="s">
        <v>2</v>
      </c>
      <c r="E76" s="14" t="s">
        <v>463</v>
      </c>
      <c r="F76" s="1"/>
      <c r="G76" s="1"/>
      <c r="H76" s="225"/>
      <c r="I76" s="1056"/>
      <c r="J76" s="437"/>
      <c r="K76" s="1"/>
    </row>
    <row r="77" spans="1:11" ht="15" customHeight="1" x14ac:dyDescent="0.3">
      <c r="A77" s="1"/>
      <c r="B77" s="438"/>
      <c r="C77" s="14" t="s">
        <v>416</v>
      </c>
      <c r="D77" s="14" t="s">
        <v>2</v>
      </c>
      <c r="E77" s="14" t="s">
        <v>417</v>
      </c>
      <c r="F77" s="1"/>
      <c r="G77" s="1"/>
      <c r="H77" s="226">
        <v>2</v>
      </c>
      <c r="I77" s="1058" t="s">
        <v>418</v>
      </c>
      <c r="J77" s="437"/>
      <c r="K77" s="1"/>
    </row>
    <row r="78" spans="1:11" ht="15" customHeight="1" x14ac:dyDescent="0.3">
      <c r="A78" s="1"/>
      <c r="B78" s="438"/>
      <c r="C78" s="14" t="s">
        <v>419</v>
      </c>
      <c r="D78" s="14" t="s">
        <v>2</v>
      </c>
      <c r="E78" s="14" t="s">
        <v>420</v>
      </c>
      <c r="F78" s="1"/>
      <c r="G78" s="1"/>
      <c r="H78" s="226">
        <v>600</v>
      </c>
      <c r="I78" s="1058" t="s">
        <v>37</v>
      </c>
      <c r="J78" s="437"/>
      <c r="K78" s="1"/>
    </row>
    <row r="79" spans="1:11" ht="15" customHeight="1" x14ac:dyDescent="0.3">
      <c r="A79" s="1"/>
      <c r="B79" s="438"/>
      <c r="C79" s="14" t="s">
        <v>421</v>
      </c>
      <c r="D79" s="14" t="s">
        <v>2</v>
      </c>
      <c r="E79" s="14" t="s">
        <v>422</v>
      </c>
      <c r="F79" s="1"/>
      <c r="G79" s="1"/>
      <c r="H79" s="225"/>
      <c r="I79" s="1058">
        <f>500000000-55000000+20000000+15000000+10000000-90000000-9000000-5000000</f>
        <v>386000000</v>
      </c>
      <c r="J79" s="437"/>
      <c r="K79" s="1"/>
    </row>
    <row r="80" spans="1:11" ht="15" customHeight="1" x14ac:dyDescent="0.3">
      <c r="A80" s="1"/>
      <c r="B80" s="438"/>
      <c r="C80" s="14" t="s">
        <v>423</v>
      </c>
      <c r="D80" s="14" t="s">
        <v>2</v>
      </c>
      <c r="E80" s="14" t="s">
        <v>424</v>
      </c>
      <c r="F80" s="1"/>
      <c r="G80" s="1"/>
      <c r="H80" s="225"/>
      <c r="I80" s="1058">
        <f>I79*0.1</f>
        <v>38600000</v>
      </c>
      <c r="J80" s="437"/>
      <c r="K80" s="1"/>
    </row>
    <row r="81" spans="1:11" ht="15" customHeight="1" x14ac:dyDescent="0.3">
      <c r="A81" s="1"/>
      <c r="B81" s="438"/>
      <c r="C81" s="14" t="s">
        <v>425</v>
      </c>
      <c r="D81" s="14" t="s">
        <v>2</v>
      </c>
      <c r="E81" s="14" t="s">
        <v>426</v>
      </c>
      <c r="F81" s="1"/>
      <c r="G81" s="1"/>
      <c r="H81" s="225"/>
      <c r="I81" s="1058">
        <f>I79-I80</f>
        <v>347400000</v>
      </c>
      <c r="J81" s="437"/>
      <c r="K81" s="1"/>
    </row>
    <row r="82" spans="1:11" ht="15" customHeight="1" x14ac:dyDescent="0.3">
      <c r="A82" s="1"/>
      <c r="B82" s="438"/>
      <c r="C82" s="14" t="s">
        <v>427</v>
      </c>
      <c r="D82" s="14" t="s">
        <v>2</v>
      </c>
      <c r="E82" s="1"/>
      <c r="F82" s="1"/>
      <c r="G82" s="1"/>
      <c r="H82" s="225"/>
      <c r="I82" s="1056"/>
      <c r="J82" s="437"/>
      <c r="K82" s="1"/>
    </row>
    <row r="83" spans="1:11" ht="15" customHeight="1" x14ac:dyDescent="0.3">
      <c r="A83" s="1"/>
      <c r="B83" s="438"/>
      <c r="C83" s="14" t="s">
        <v>428</v>
      </c>
      <c r="D83" s="14" t="s">
        <v>2</v>
      </c>
      <c r="E83" s="14">
        <v>300</v>
      </c>
      <c r="F83" s="14" t="s">
        <v>429</v>
      </c>
      <c r="G83" s="1"/>
      <c r="H83" s="225"/>
      <c r="I83" s="1056"/>
      <c r="J83" s="437"/>
      <c r="K83" s="1"/>
    </row>
    <row r="84" spans="1:11" ht="15" customHeight="1" x14ac:dyDescent="0.3">
      <c r="A84" s="1"/>
      <c r="B84" s="438"/>
      <c r="C84" s="14" t="s">
        <v>430</v>
      </c>
      <c r="D84" s="14" t="s">
        <v>2</v>
      </c>
      <c r="E84" s="14">
        <v>15.5</v>
      </c>
      <c r="F84" s="14" t="s">
        <v>199</v>
      </c>
      <c r="G84" s="1"/>
      <c r="H84" s="225"/>
      <c r="I84" s="1056"/>
      <c r="J84" s="437"/>
      <c r="K84" s="1"/>
    </row>
    <row r="85" spans="1:11" ht="15" customHeight="1" x14ac:dyDescent="0.3">
      <c r="A85" s="1"/>
      <c r="B85" s="438"/>
      <c r="C85" s="14" t="s">
        <v>431</v>
      </c>
      <c r="D85" s="14" t="s">
        <v>2</v>
      </c>
      <c r="E85" s="14">
        <v>20</v>
      </c>
      <c r="F85" s="14" t="s">
        <v>199</v>
      </c>
      <c r="G85" s="1"/>
      <c r="H85" s="225"/>
      <c r="I85" s="1056"/>
      <c r="J85" s="437"/>
      <c r="K85" s="1"/>
    </row>
    <row r="86" spans="1:11" ht="15" customHeight="1" x14ac:dyDescent="0.3">
      <c r="A86" s="1"/>
      <c r="B86" s="438"/>
      <c r="C86" s="1"/>
      <c r="D86" s="1"/>
      <c r="E86" s="1"/>
      <c r="F86" s="1"/>
      <c r="G86" s="1"/>
      <c r="H86" s="225"/>
      <c r="I86" s="1056"/>
      <c r="J86" s="437"/>
      <c r="K86" s="1"/>
    </row>
    <row r="87" spans="1:11" ht="15" customHeight="1" x14ac:dyDescent="0.3">
      <c r="A87" s="1"/>
      <c r="B87" s="438"/>
      <c r="C87" s="14" t="s">
        <v>434</v>
      </c>
      <c r="D87" s="14" t="s">
        <v>2</v>
      </c>
      <c r="E87" s="1"/>
      <c r="F87" s="1"/>
      <c r="G87" s="1"/>
      <c r="H87" s="225"/>
      <c r="I87" s="1056"/>
      <c r="J87" s="437"/>
      <c r="K87" s="1"/>
    </row>
    <row r="88" spans="1:11" ht="15" customHeight="1" x14ac:dyDescent="0.3">
      <c r="A88" s="1"/>
      <c r="B88" s="438"/>
      <c r="C88" s="14" t="s">
        <v>435</v>
      </c>
      <c r="D88" s="1"/>
      <c r="E88" s="1"/>
      <c r="F88" s="1"/>
      <c r="G88" s="1"/>
      <c r="H88" s="225"/>
      <c r="I88" s="1056"/>
      <c r="J88" s="437"/>
      <c r="K88" s="1"/>
    </row>
    <row r="89" spans="1:11" ht="15" customHeight="1" x14ac:dyDescent="0.3">
      <c r="A89" s="1"/>
      <c r="B89" s="444"/>
      <c r="C89" s="263"/>
      <c r="D89" s="263"/>
      <c r="E89" s="263"/>
      <c r="F89" s="263"/>
      <c r="G89" s="263"/>
      <c r="H89" s="228"/>
      <c r="I89" s="229"/>
      <c r="J89" s="445"/>
      <c r="K89" s="1"/>
    </row>
    <row r="90" spans="1:11" ht="15" customHeight="1" x14ac:dyDescent="0.3">
      <c r="A90" s="1"/>
      <c r="B90" s="438"/>
      <c r="C90" s="14" t="s">
        <v>436</v>
      </c>
      <c r="D90" s="1"/>
      <c r="E90" s="1"/>
      <c r="F90" s="1"/>
      <c r="G90" s="1"/>
      <c r="H90" s="225"/>
      <c r="I90" s="1056"/>
      <c r="J90" s="437"/>
      <c r="K90" s="1"/>
    </row>
    <row r="91" spans="1:11" ht="15" customHeight="1" x14ac:dyDescent="0.3">
      <c r="A91" s="1"/>
      <c r="B91" s="438"/>
      <c r="C91" s="14" t="s">
        <v>456</v>
      </c>
      <c r="D91" s="1"/>
      <c r="E91" s="1"/>
      <c r="F91" s="1"/>
      <c r="G91" s="1"/>
      <c r="H91" s="225"/>
      <c r="I91" s="1056"/>
      <c r="J91" s="439">
        <f>I81/(H77*H78)</f>
        <v>289500</v>
      </c>
      <c r="K91" s="1"/>
    </row>
    <row r="92" spans="1:11" ht="15" customHeight="1" x14ac:dyDescent="0.3">
      <c r="A92" s="1"/>
      <c r="B92" s="438"/>
      <c r="C92" s="14" t="s">
        <v>438</v>
      </c>
      <c r="D92" s="1"/>
      <c r="E92" s="1"/>
      <c r="F92" s="1"/>
      <c r="G92" s="1"/>
      <c r="H92" s="225"/>
      <c r="I92" s="1056"/>
      <c r="J92" s="439">
        <f>(((0.25*(H77+1))/(2*H77)))*(I79/H78)</f>
        <v>120625</v>
      </c>
      <c r="K92" s="1"/>
    </row>
    <row r="93" spans="1:11" ht="15" customHeight="1" x14ac:dyDescent="0.3">
      <c r="A93" s="1"/>
      <c r="B93" s="438"/>
      <c r="C93" s="14" t="s">
        <v>439</v>
      </c>
      <c r="D93" s="393" t="s">
        <v>440</v>
      </c>
      <c r="E93" s="14">
        <v>0.15</v>
      </c>
      <c r="F93" s="393" t="s">
        <v>238</v>
      </c>
      <c r="G93" s="14">
        <f>E83</f>
        <v>300</v>
      </c>
      <c r="H93" s="226" t="s">
        <v>441</v>
      </c>
      <c r="I93" s="1058">
        <f>I63</f>
        <v>6800</v>
      </c>
      <c r="J93" s="439">
        <f>E93*G93*I93</f>
        <v>306000</v>
      </c>
      <c r="K93" s="1"/>
    </row>
    <row r="94" spans="1:11" ht="15" customHeight="1" x14ac:dyDescent="0.3">
      <c r="A94" s="1"/>
      <c r="B94" s="438"/>
      <c r="C94" s="14" t="s">
        <v>442</v>
      </c>
      <c r="D94" s="393" t="s">
        <v>440</v>
      </c>
      <c r="E94" s="441">
        <f>E84/200</f>
        <v>7.7499999999999999E-2</v>
      </c>
      <c r="F94" s="393" t="s">
        <v>238</v>
      </c>
      <c r="G94" s="442">
        <f>E83/G93</f>
        <v>1</v>
      </c>
      <c r="H94" s="226" t="s">
        <v>441</v>
      </c>
      <c r="I94" s="1058">
        <f>I64</f>
        <v>9750</v>
      </c>
      <c r="J94" s="439">
        <f>E94*G94*I94</f>
        <v>755.625</v>
      </c>
      <c r="K94" s="1"/>
    </row>
    <row r="95" spans="1:11" ht="15" customHeight="1" x14ac:dyDescent="0.3">
      <c r="A95" s="1"/>
      <c r="B95" s="438"/>
      <c r="C95" s="14" t="s">
        <v>444</v>
      </c>
      <c r="D95" s="393" t="s">
        <v>440</v>
      </c>
      <c r="E95" s="441">
        <f>E85/250</f>
        <v>0.08</v>
      </c>
      <c r="F95" s="393" t="s">
        <v>238</v>
      </c>
      <c r="G95" s="14">
        <v>1.2</v>
      </c>
      <c r="H95" s="226" t="s">
        <v>441</v>
      </c>
      <c r="I95" s="1058">
        <f>I94</f>
        <v>9750</v>
      </c>
      <c r="J95" s="439">
        <f>E95*G95*I95</f>
        <v>936</v>
      </c>
      <c r="K95" s="1"/>
    </row>
    <row r="96" spans="1:11" ht="15" customHeight="1" x14ac:dyDescent="0.3">
      <c r="A96" s="1"/>
      <c r="B96" s="438"/>
      <c r="C96" s="14" t="s">
        <v>464</v>
      </c>
      <c r="D96" s="393" t="s">
        <v>440</v>
      </c>
      <c r="E96" s="446"/>
      <c r="F96" s="1"/>
      <c r="G96" s="14">
        <v>2</v>
      </c>
      <c r="H96" s="226" t="s">
        <v>156</v>
      </c>
      <c r="I96" s="1058">
        <f>I65</f>
        <v>7750</v>
      </c>
      <c r="J96" s="439">
        <f>G96*I96</f>
        <v>15500</v>
      </c>
      <c r="K96" s="1"/>
    </row>
    <row r="97" spans="1:11" ht="15" customHeight="1" x14ac:dyDescent="0.3">
      <c r="A97" s="1"/>
      <c r="B97" s="438"/>
      <c r="C97" s="14" t="s">
        <v>447</v>
      </c>
      <c r="D97" s="393" t="s">
        <v>440</v>
      </c>
      <c r="E97" s="14" t="s">
        <v>448</v>
      </c>
      <c r="F97" s="1"/>
      <c r="G97" s="1"/>
      <c r="H97" s="225"/>
      <c r="I97" s="1056"/>
      <c r="J97" s="439">
        <f>0.1*((I79/(H77*H78)))</f>
        <v>32166.666666666672</v>
      </c>
      <c r="K97" s="1"/>
    </row>
    <row r="98" spans="1:11" ht="15" customHeight="1" x14ac:dyDescent="0.3">
      <c r="A98" s="1"/>
      <c r="B98" s="438"/>
      <c r="C98" s="1"/>
      <c r="D98" s="1"/>
      <c r="E98" s="1"/>
      <c r="F98" s="1"/>
      <c r="G98" s="1"/>
      <c r="H98" s="225"/>
      <c r="I98" s="1056"/>
      <c r="J98" s="443">
        <f>SUM(J91:J97)</f>
        <v>765483.29166666663</v>
      </c>
      <c r="K98" s="1"/>
    </row>
    <row r="99" spans="1:11" ht="15" customHeight="1" x14ac:dyDescent="0.3">
      <c r="A99" s="1"/>
      <c r="B99" s="438"/>
      <c r="C99" s="14" t="s">
        <v>449</v>
      </c>
      <c r="D99" s="1"/>
      <c r="E99" s="1"/>
      <c r="F99" s="1"/>
      <c r="G99" s="1"/>
      <c r="H99" s="225"/>
      <c r="I99" s="1056"/>
      <c r="J99" s="437"/>
      <c r="K99" s="1"/>
    </row>
    <row r="100" spans="1:11" ht="15" customHeight="1" x14ac:dyDescent="0.3">
      <c r="A100" s="1"/>
      <c r="B100" s="438"/>
      <c r="C100" s="14" t="s">
        <v>450</v>
      </c>
      <c r="D100" s="1"/>
      <c r="E100" s="1"/>
      <c r="F100" s="1"/>
      <c r="G100" s="1"/>
      <c r="H100" s="225"/>
      <c r="I100" s="1056"/>
      <c r="J100" s="439">
        <f>J98*0.1</f>
        <v>76548.329166666663</v>
      </c>
      <c r="K100" s="1"/>
    </row>
    <row r="101" spans="1:11" ht="15" customHeight="1" x14ac:dyDescent="0.3">
      <c r="A101" s="1"/>
      <c r="B101" s="438"/>
      <c r="C101" s="1"/>
      <c r="D101" s="14" t="s">
        <v>465</v>
      </c>
      <c r="E101" s="1"/>
      <c r="F101" s="1"/>
      <c r="G101" s="1"/>
      <c r="H101" s="225"/>
      <c r="I101" s="1056"/>
      <c r="J101" s="443">
        <f>SUM(J98:J100)</f>
        <v>842031.62083333335</v>
      </c>
      <c r="K101" s="1"/>
    </row>
    <row r="102" spans="1:11" ht="15" customHeight="1" x14ac:dyDescent="0.3">
      <c r="A102" s="1"/>
      <c r="B102" s="438"/>
      <c r="C102" s="1"/>
      <c r="D102" s="14" t="s">
        <v>459</v>
      </c>
      <c r="E102" s="1"/>
      <c r="F102" s="1"/>
      <c r="G102" s="1"/>
      <c r="H102" s="225"/>
      <c r="I102" s="1056"/>
      <c r="J102" s="439">
        <f>ROUND(J101-5,-1)</f>
        <v>842030</v>
      </c>
      <c r="K102" s="1"/>
    </row>
    <row r="103" spans="1:11" ht="15" customHeight="1" x14ac:dyDescent="0.3">
      <c r="A103" s="1"/>
      <c r="B103" s="438"/>
      <c r="C103" s="1"/>
      <c r="D103" s="1"/>
      <c r="E103" s="1"/>
      <c r="F103" s="1"/>
      <c r="G103" s="1"/>
      <c r="H103" s="225"/>
      <c r="I103" s="1056"/>
      <c r="J103" s="437"/>
      <c r="K103" s="1"/>
    </row>
    <row r="104" spans="1:11" ht="15" customHeight="1" x14ac:dyDescent="0.3">
      <c r="A104" s="1"/>
      <c r="B104" s="438"/>
      <c r="C104" s="1"/>
      <c r="D104" s="1"/>
      <c r="E104" s="1"/>
      <c r="F104" s="1"/>
      <c r="G104" s="1"/>
      <c r="H104" s="225"/>
      <c r="I104" s="1056"/>
      <c r="J104" s="437"/>
      <c r="K104" s="1"/>
    </row>
    <row r="105" spans="1:11" ht="15" customHeight="1" thickBot="1" x14ac:dyDescent="0.35">
      <c r="A105" s="1"/>
      <c r="B105" s="447"/>
      <c r="C105" s="4"/>
      <c r="D105" s="448"/>
      <c r="E105" s="4"/>
      <c r="F105" s="4"/>
      <c r="G105" s="4"/>
      <c r="H105" s="230"/>
      <c r="I105" s="231"/>
      <c r="J105" s="449"/>
      <c r="K105" s="1"/>
    </row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</sheetData>
  <mergeCells count="4">
    <mergeCell ref="B3:B5"/>
    <mergeCell ref="C3:H5"/>
    <mergeCell ref="I3:I4"/>
    <mergeCell ref="J3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D895-251B-47EC-AC3E-F7DB759EAA66}">
  <dimension ref="A1:M251"/>
  <sheetViews>
    <sheetView topLeftCell="A19" workbookViewId="0">
      <selection activeCell="N17" sqref="N17"/>
    </sheetView>
  </sheetViews>
  <sheetFormatPr defaultColWidth="9.375" defaultRowHeight="13.8" x14ac:dyDescent="0.3"/>
  <cols>
    <col min="1" max="1" width="9.375" style="10"/>
    <col min="2" max="2" width="7.375" style="10" customWidth="1"/>
    <col min="3" max="3" width="36.5" style="10" customWidth="1"/>
    <col min="4" max="4" width="3.5" style="10" customWidth="1"/>
    <col min="5" max="5" width="9.875" style="10" customWidth="1"/>
    <col min="6" max="6" width="3" style="10" customWidth="1"/>
    <col min="7" max="7" width="9.375" style="10"/>
    <col min="8" max="8" width="9.375" style="155"/>
    <col min="9" max="9" width="19.5" style="232" customWidth="1"/>
    <col min="10" max="10" width="21.375" style="10" customWidth="1"/>
    <col min="11" max="11" width="14" style="10" customWidth="1"/>
    <col min="12" max="12" width="1.625" style="10" customWidth="1"/>
    <col min="13" max="13" width="4.625" style="10" customWidth="1"/>
    <col min="14" max="16384" width="9.375" style="10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219"/>
      <c r="I1" s="220"/>
      <c r="J1" s="1"/>
      <c r="K1" s="1"/>
    </row>
    <row r="2" spans="1:11" ht="15" customHeight="1" thickBot="1" x14ac:dyDescent="0.35">
      <c r="A2" s="1"/>
      <c r="B2" s="71"/>
      <c r="C2" s="71"/>
      <c r="D2" s="71"/>
      <c r="E2" s="71"/>
      <c r="F2" s="71"/>
      <c r="G2" s="71"/>
      <c r="H2" s="221"/>
      <c r="I2" s="222"/>
      <c r="J2" s="512"/>
      <c r="K2" s="1"/>
    </row>
    <row r="3" spans="1:11" ht="15" customHeight="1" x14ac:dyDescent="0.3">
      <c r="A3" s="1"/>
      <c r="B3" s="1669" t="s">
        <v>9</v>
      </c>
      <c r="C3" s="1672" t="s">
        <v>408</v>
      </c>
      <c r="D3" s="1673"/>
      <c r="E3" s="1673"/>
      <c r="F3" s="1673"/>
      <c r="G3" s="1673"/>
      <c r="H3" s="1674"/>
      <c r="I3" s="1681" t="s">
        <v>12</v>
      </c>
      <c r="J3" s="1683" t="s">
        <v>219</v>
      </c>
      <c r="K3" s="1"/>
    </row>
    <row r="4" spans="1:11" ht="15" customHeight="1" x14ac:dyDescent="0.3">
      <c r="A4" s="1"/>
      <c r="B4" s="1670"/>
      <c r="C4" s="1675"/>
      <c r="D4" s="1676"/>
      <c r="E4" s="1676"/>
      <c r="F4" s="1676"/>
      <c r="G4" s="1676"/>
      <c r="H4" s="1677"/>
      <c r="I4" s="1682"/>
      <c r="J4" s="1684"/>
      <c r="K4" s="1"/>
    </row>
    <row r="5" spans="1:11" ht="15" customHeight="1" x14ac:dyDescent="0.3">
      <c r="A5" s="1"/>
      <c r="B5" s="1671"/>
      <c r="C5" s="1678"/>
      <c r="D5" s="1679"/>
      <c r="E5" s="1679"/>
      <c r="F5" s="1679"/>
      <c r="G5" s="1679"/>
      <c r="H5" s="1680"/>
      <c r="I5" s="223" t="s">
        <v>13</v>
      </c>
      <c r="J5" s="431" t="s">
        <v>13</v>
      </c>
      <c r="K5" s="1"/>
    </row>
    <row r="6" spans="1:11" ht="15" customHeight="1" x14ac:dyDescent="0.3">
      <c r="A6" s="1"/>
      <c r="B6" s="432"/>
      <c r="C6" s="71"/>
      <c r="D6" s="71"/>
      <c r="E6" s="71"/>
      <c r="F6" s="71"/>
      <c r="G6" s="71"/>
      <c r="H6" s="224"/>
      <c r="I6" s="1055"/>
      <c r="J6" s="433"/>
      <c r="K6" s="1"/>
    </row>
    <row r="7" spans="1:11" ht="15" customHeight="1" x14ac:dyDescent="0.3">
      <c r="A7" s="1"/>
      <c r="B7" s="434" t="s">
        <v>409</v>
      </c>
      <c r="C7" s="435" t="s">
        <v>229</v>
      </c>
      <c r="D7" s="71"/>
      <c r="E7" s="71"/>
      <c r="F7" s="71"/>
      <c r="G7" s="71"/>
      <c r="H7" s="224"/>
      <c r="I7" s="1055"/>
      <c r="J7" s="433"/>
      <c r="K7" s="1"/>
    </row>
    <row r="8" spans="1:11" ht="15" customHeight="1" x14ac:dyDescent="0.3">
      <c r="A8" s="1"/>
      <c r="B8" s="432"/>
      <c r="C8" s="71"/>
      <c r="D8" s="71"/>
      <c r="E8" s="71"/>
      <c r="F8" s="71"/>
      <c r="G8" s="71"/>
      <c r="H8" s="224"/>
      <c r="I8" s="1055"/>
      <c r="J8" s="433"/>
      <c r="K8" s="1"/>
    </row>
    <row r="9" spans="1:11" ht="15" customHeight="1" x14ac:dyDescent="0.3">
      <c r="A9" s="1"/>
      <c r="B9" s="436" t="s">
        <v>410</v>
      </c>
      <c r="C9" s="316" t="s">
        <v>411</v>
      </c>
      <c r="D9" s="1"/>
      <c r="E9" s="1"/>
      <c r="F9" s="1"/>
      <c r="G9" s="1"/>
      <c r="H9" s="225"/>
      <c r="I9" s="1056"/>
      <c r="J9" s="437"/>
      <c r="K9" s="1"/>
    </row>
    <row r="10" spans="1:11" ht="15" customHeight="1" x14ac:dyDescent="0.3">
      <c r="A10" s="1"/>
      <c r="B10" s="438"/>
      <c r="C10" s="1"/>
      <c r="D10" s="1"/>
      <c r="E10" s="1"/>
      <c r="F10" s="1"/>
      <c r="G10" s="1"/>
      <c r="H10" s="225"/>
      <c r="I10" s="1056"/>
      <c r="J10" s="437"/>
      <c r="K10" s="1"/>
    </row>
    <row r="11" spans="1:11" ht="15" customHeight="1" x14ac:dyDescent="0.3">
      <c r="A11" s="1"/>
      <c r="B11" s="438"/>
      <c r="C11" s="14" t="s">
        <v>412</v>
      </c>
      <c r="D11" s="14" t="s">
        <v>2</v>
      </c>
      <c r="E11" s="14" t="s">
        <v>413</v>
      </c>
      <c r="F11" s="1"/>
      <c r="G11" s="1"/>
      <c r="H11" s="225"/>
      <c r="I11" s="1057"/>
      <c r="J11" s="437"/>
      <c r="K11" s="1"/>
    </row>
    <row r="12" spans="1:11" ht="15" customHeight="1" x14ac:dyDescent="0.3">
      <c r="A12" s="1"/>
      <c r="B12" s="438"/>
      <c r="C12" s="14" t="s">
        <v>414</v>
      </c>
      <c r="D12" s="14" t="s">
        <v>2</v>
      </c>
      <c r="E12" s="14" t="s">
        <v>415</v>
      </c>
      <c r="F12" s="1"/>
      <c r="G12" s="1"/>
      <c r="H12" s="225"/>
      <c r="I12" s="1056"/>
      <c r="J12" s="437"/>
      <c r="K12" s="1"/>
    </row>
    <row r="13" spans="1:11" ht="15" customHeight="1" x14ac:dyDescent="0.3">
      <c r="A13" s="1"/>
      <c r="B13" s="438"/>
      <c r="C13" s="14" t="s">
        <v>416</v>
      </c>
      <c r="D13" s="14" t="s">
        <v>2</v>
      </c>
      <c r="E13" s="14" t="s">
        <v>417</v>
      </c>
      <c r="F13" s="1"/>
      <c r="G13" s="1"/>
      <c r="H13" s="226">
        <v>3</v>
      </c>
      <c r="I13" s="1058" t="s">
        <v>418</v>
      </c>
      <c r="J13" s="437"/>
      <c r="K13" s="1"/>
    </row>
    <row r="14" spans="1:11" ht="15" customHeight="1" x14ac:dyDescent="0.3">
      <c r="A14" s="1"/>
      <c r="B14" s="438"/>
      <c r="C14" s="14" t="s">
        <v>419</v>
      </c>
      <c r="D14" s="14" t="s">
        <v>2</v>
      </c>
      <c r="E14" s="14" t="s">
        <v>420</v>
      </c>
      <c r="F14" s="1"/>
      <c r="G14" s="1"/>
      <c r="H14" s="226">
        <v>2500</v>
      </c>
      <c r="I14" s="1058" t="s">
        <v>37</v>
      </c>
      <c r="J14" s="437"/>
      <c r="K14" s="1"/>
    </row>
    <row r="15" spans="1:11" ht="15" customHeight="1" x14ac:dyDescent="0.3">
      <c r="A15" s="1"/>
      <c r="B15" s="438"/>
      <c r="C15" s="14" t="s">
        <v>421</v>
      </c>
      <c r="D15" s="14" t="s">
        <v>2</v>
      </c>
      <c r="E15" s="14" t="s">
        <v>422</v>
      </c>
      <c r="F15" s="1"/>
      <c r="G15" s="1"/>
      <c r="H15" s="225"/>
      <c r="I15" s="1058">
        <v>150000000</v>
      </c>
      <c r="J15" s="437"/>
      <c r="K15" s="100">
        <v>150000000</v>
      </c>
    </row>
    <row r="16" spans="1:11" ht="15" customHeight="1" x14ac:dyDescent="0.3">
      <c r="A16" s="1"/>
      <c r="B16" s="438"/>
      <c r="C16" s="14" t="s">
        <v>423</v>
      </c>
      <c r="D16" s="14" t="s">
        <v>2</v>
      </c>
      <c r="E16" s="14" t="s">
        <v>424</v>
      </c>
      <c r="F16" s="1"/>
      <c r="G16" s="1"/>
      <c r="H16" s="225"/>
      <c r="I16" s="1058">
        <v>15000000</v>
      </c>
      <c r="J16" s="437"/>
      <c r="K16" s="1">
        <v>15000000</v>
      </c>
    </row>
    <row r="17" spans="1:13" ht="15" customHeight="1" x14ac:dyDescent="0.3">
      <c r="A17" s="1"/>
      <c r="B17" s="438"/>
      <c r="C17" s="14" t="s">
        <v>425</v>
      </c>
      <c r="D17" s="14" t="s">
        <v>2</v>
      </c>
      <c r="E17" s="14" t="s">
        <v>426</v>
      </c>
      <c r="F17" s="1"/>
      <c r="G17" s="1"/>
      <c r="H17" s="225"/>
      <c r="I17" s="1058">
        <v>135000000</v>
      </c>
      <c r="J17" s="437"/>
      <c r="K17" s="1">
        <v>135000000</v>
      </c>
    </row>
    <row r="18" spans="1:13" ht="15" customHeight="1" x14ac:dyDescent="0.3">
      <c r="A18" s="1"/>
      <c r="B18" s="438"/>
      <c r="C18" s="14" t="s">
        <v>427</v>
      </c>
      <c r="D18" s="14" t="s">
        <v>2</v>
      </c>
      <c r="E18" s="1"/>
      <c r="F18" s="1"/>
      <c r="G18" s="1"/>
      <c r="H18" s="225"/>
      <c r="I18" s="1056"/>
      <c r="J18" s="437"/>
      <c r="K18" s="1"/>
    </row>
    <row r="19" spans="1:13" ht="15" customHeight="1" x14ac:dyDescent="0.3">
      <c r="A19" s="1"/>
      <c r="B19" s="438"/>
      <c r="C19" s="14" t="s">
        <v>428</v>
      </c>
      <c r="D19" s="14" t="s">
        <v>2</v>
      </c>
      <c r="E19" s="14">
        <f>100/4</f>
        <v>25</v>
      </c>
      <c r="F19" s="14" t="s">
        <v>429</v>
      </c>
      <c r="G19" s="1"/>
      <c r="H19" s="225"/>
      <c r="I19" s="1056"/>
      <c r="J19" s="437"/>
      <c r="K19" s="1"/>
    </row>
    <row r="20" spans="1:13" ht="15" customHeight="1" x14ac:dyDescent="0.3">
      <c r="A20" s="1"/>
      <c r="B20" s="438"/>
      <c r="C20" s="14" t="s">
        <v>430</v>
      </c>
      <c r="D20" s="14" t="s">
        <v>2</v>
      </c>
      <c r="E20" s="14">
        <f>10/4</f>
        <v>2.5</v>
      </c>
      <c r="F20" s="14" t="s">
        <v>199</v>
      </c>
      <c r="G20" s="1"/>
      <c r="H20" s="225"/>
      <c r="I20" s="1056"/>
      <c r="J20" s="437"/>
      <c r="K20" s="1"/>
    </row>
    <row r="21" spans="1:13" ht="15" customHeight="1" x14ac:dyDescent="0.3">
      <c r="A21" s="1"/>
      <c r="B21" s="438"/>
      <c r="C21" s="14" t="s">
        <v>431</v>
      </c>
      <c r="D21" s="14" t="s">
        <v>2</v>
      </c>
      <c r="E21" s="14">
        <f>20/4</f>
        <v>5</v>
      </c>
      <c r="F21" s="14" t="s">
        <v>199</v>
      </c>
      <c r="G21" s="1"/>
      <c r="H21" s="225"/>
      <c r="I21" s="1056"/>
      <c r="J21" s="437"/>
      <c r="K21" s="1"/>
    </row>
    <row r="22" spans="1:13" ht="15" customHeight="1" x14ac:dyDescent="0.3">
      <c r="A22" s="1"/>
      <c r="B22" s="438"/>
      <c r="C22" s="14" t="s">
        <v>432</v>
      </c>
      <c r="D22" s="14" t="s">
        <v>2</v>
      </c>
      <c r="E22" s="14">
        <f>20/4</f>
        <v>5</v>
      </c>
      <c r="F22" s="14" t="s">
        <v>199</v>
      </c>
      <c r="G22" s="1"/>
      <c r="H22" s="225"/>
      <c r="I22" s="1056"/>
      <c r="J22" s="437"/>
      <c r="K22" s="1"/>
    </row>
    <row r="23" spans="1:13" ht="15" customHeight="1" x14ac:dyDescent="0.3">
      <c r="A23" s="1"/>
      <c r="B23" s="438"/>
      <c r="C23" s="14" t="s">
        <v>433</v>
      </c>
      <c r="D23" s="14" t="s">
        <v>2</v>
      </c>
      <c r="E23" s="14">
        <f>90/4</f>
        <v>22.5</v>
      </c>
      <c r="F23" s="14" t="s">
        <v>199</v>
      </c>
      <c r="G23" s="1"/>
      <c r="H23" s="225"/>
      <c r="I23" s="1056"/>
      <c r="J23" s="437"/>
      <c r="K23" s="1"/>
    </row>
    <row r="24" spans="1:13" ht="15" customHeight="1" x14ac:dyDescent="0.3">
      <c r="A24" s="1"/>
      <c r="B24" s="438"/>
      <c r="C24" s="1"/>
      <c r="D24" s="1"/>
      <c r="E24" s="1"/>
      <c r="F24" s="1"/>
      <c r="G24" s="1"/>
      <c r="H24" s="225"/>
      <c r="I24" s="1056"/>
      <c r="J24" s="437"/>
      <c r="K24" s="1"/>
    </row>
    <row r="25" spans="1:13" ht="15" customHeight="1" x14ac:dyDescent="0.3">
      <c r="A25" s="1"/>
      <c r="B25" s="438"/>
      <c r="C25" s="14" t="s">
        <v>434</v>
      </c>
      <c r="D25" s="14" t="s">
        <v>2</v>
      </c>
      <c r="E25" s="1"/>
      <c r="F25" s="1"/>
      <c r="G25" s="1"/>
      <c r="H25" s="225"/>
      <c r="I25" s="1056"/>
      <c r="J25" s="437"/>
      <c r="K25" s="1"/>
    </row>
    <row r="26" spans="1:13" ht="15" customHeight="1" x14ac:dyDescent="0.3">
      <c r="A26" s="1"/>
      <c r="B26" s="438"/>
      <c r="C26" s="14" t="s">
        <v>435</v>
      </c>
      <c r="D26" s="1"/>
      <c r="E26" s="1"/>
      <c r="F26" s="1"/>
      <c r="G26" s="1"/>
      <c r="H26" s="225"/>
      <c r="I26" s="1056"/>
      <c r="J26" s="437"/>
      <c r="K26" s="1"/>
    </row>
    <row r="27" spans="1:13" ht="15" customHeight="1" x14ac:dyDescent="0.3">
      <c r="A27" s="1"/>
      <c r="B27" s="438"/>
      <c r="C27" s="1"/>
      <c r="D27" s="1"/>
      <c r="E27" s="1"/>
      <c r="F27" s="1"/>
      <c r="G27" s="1"/>
      <c r="H27" s="225"/>
      <c r="I27" s="1056"/>
      <c r="J27" s="437"/>
      <c r="K27" s="1"/>
    </row>
    <row r="28" spans="1:13" ht="15" customHeight="1" x14ac:dyDescent="0.3">
      <c r="A28" s="1"/>
      <c r="B28" s="438"/>
      <c r="C28" s="14" t="s">
        <v>436</v>
      </c>
      <c r="D28" s="1"/>
      <c r="E28" s="1"/>
      <c r="F28" s="1"/>
      <c r="G28" s="1"/>
      <c r="H28" s="225"/>
      <c r="I28" s="1056"/>
      <c r="J28" s="437"/>
      <c r="K28" s="1"/>
    </row>
    <row r="29" spans="1:13" ht="15" customHeight="1" x14ac:dyDescent="0.3">
      <c r="A29" s="1"/>
      <c r="B29" s="438"/>
      <c r="C29" s="14" t="s">
        <v>437</v>
      </c>
      <c r="D29" s="1"/>
      <c r="E29" s="1"/>
      <c r="F29" s="1"/>
      <c r="G29" s="1"/>
      <c r="H29" s="225"/>
      <c r="I29" s="1056"/>
      <c r="J29" s="439">
        <f>I17/(H13*H14)</f>
        <v>18000</v>
      </c>
      <c r="K29" s="1"/>
    </row>
    <row r="30" spans="1:13" ht="15" customHeight="1" x14ac:dyDescent="0.3">
      <c r="A30" s="1"/>
      <c r="B30" s="438"/>
      <c r="C30" s="14" t="s">
        <v>438</v>
      </c>
      <c r="D30" s="1"/>
      <c r="E30" s="1"/>
      <c r="F30" s="1"/>
      <c r="G30" s="1"/>
      <c r="H30" s="225"/>
      <c r="I30" s="1056"/>
      <c r="J30" s="439">
        <f>(((0.25*(H13+1))/(2*H13)))*(I15/H14)</f>
        <v>10000</v>
      </c>
      <c r="K30" s="1"/>
    </row>
    <row r="31" spans="1:13" ht="15" customHeight="1" x14ac:dyDescent="0.3">
      <c r="A31" s="1"/>
      <c r="B31" s="438"/>
      <c r="C31" s="14" t="s">
        <v>439</v>
      </c>
      <c r="D31" s="393" t="s">
        <v>440</v>
      </c>
      <c r="E31" s="440">
        <v>0.15</v>
      </c>
      <c r="F31" s="393" t="s">
        <v>238</v>
      </c>
      <c r="G31" s="14">
        <f>E19</f>
        <v>25</v>
      </c>
      <c r="H31" s="226" t="s">
        <v>441</v>
      </c>
      <c r="I31" s="1058">
        <v>6800</v>
      </c>
      <c r="J31" s="439">
        <f>E31*G31*I31</f>
        <v>25500</v>
      </c>
      <c r="K31" s="1">
        <v>0.15</v>
      </c>
    </row>
    <row r="32" spans="1:13" ht="15" customHeight="1" x14ac:dyDescent="0.3">
      <c r="A32" s="1"/>
      <c r="B32" s="438"/>
      <c r="C32" s="14" t="s">
        <v>442</v>
      </c>
      <c r="D32" s="393" t="s">
        <v>440</v>
      </c>
      <c r="E32" s="441">
        <f>E20/200</f>
        <v>1.2500000000000001E-2</v>
      </c>
      <c r="F32" s="393" t="s">
        <v>238</v>
      </c>
      <c r="G32" s="442">
        <f>E19/G31</f>
        <v>1</v>
      </c>
      <c r="H32" s="226" t="s">
        <v>441</v>
      </c>
      <c r="I32" s="1058">
        <f>10000-3000+1500+1000+250</f>
        <v>9750</v>
      </c>
      <c r="J32" s="439">
        <f>E32*G32*I32</f>
        <v>121.875</v>
      </c>
      <c r="K32" s="1">
        <v>10</v>
      </c>
      <c r="L32" s="227" t="s">
        <v>443</v>
      </c>
      <c r="M32" s="513">
        <v>200</v>
      </c>
    </row>
    <row r="33" spans="1:13" ht="15" customHeight="1" x14ac:dyDescent="0.3">
      <c r="A33" s="1"/>
      <c r="B33" s="438"/>
      <c r="C33" s="14" t="s">
        <v>444</v>
      </c>
      <c r="D33" s="393" t="s">
        <v>440</v>
      </c>
      <c r="E33" s="441">
        <f>E21/250</f>
        <v>0.02</v>
      </c>
      <c r="F33" s="393" t="s">
        <v>238</v>
      </c>
      <c r="G33" s="14">
        <v>1.2</v>
      </c>
      <c r="H33" s="226" t="s">
        <v>441</v>
      </c>
      <c r="I33" s="1058">
        <f>I32</f>
        <v>9750</v>
      </c>
      <c r="J33" s="439">
        <f>E33*G33*I33</f>
        <v>234</v>
      </c>
      <c r="K33" s="1">
        <v>20</v>
      </c>
      <c r="L33" s="227" t="s">
        <v>443</v>
      </c>
      <c r="M33" s="513">
        <v>250</v>
      </c>
    </row>
    <row r="34" spans="1:13" ht="15" customHeight="1" x14ac:dyDescent="0.3">
      <c r="A34" s="1"/>
      <c r="B34" s="438"/>
      <c r="C34" s="14" t="s">
        <v>445</v>
      </c>
      <c r="D34" s="393" t="s">
        <v>440</v>
      </c>
      <c r="E34" s="441">
        <f>E23/450</f>
        <v>0.05</v>
      </c>
      <c r="F34" s="393" t="s">
        <v>238</v>
      </c>
      <c r="G34" s="14">
        <v>1.2</v>
      </c>
      <c r="H34" s="226" t="s">
        <v>441</v>
      </c>
      <c r="I34" s="1058">
        <f>8000-2500+1300+700+250</f>
        <v>7750</v>
      </c>
      <c r="J34" s="439">
        <f>E34*G34*I34</f>
        <v>465</v>
      </c>
      <c r="K34" s="1">
        <v>90</v>
      </c>
      <c r="L34" s="227" t="s">
        <v>443</v>
      </c>
      <c r="M34" s="513">
        <v>450</v>
      </c>
    </row>
    <row r="35" spans="1:13" ht="15" customHeight="1" x14ac:dyDescent="0.3">
      <c r="A35" s="1"/>
      <c r="B35" s="438"/>
      <c r="C35" s="14" t="s">
        <v>446</v>
      </c>
      <c r="D35" s="393" t="s">
        <v>440</v>
      </c>
      <c r="E35" s="1"/>
      <c r="F35" s="1"/>
      <c r="G35" s="14">
        <v>2</v>
      </c>
      <c r="H35" s="226" t="s">
        <v>156</v>
      </c>
      <c r="I35" s="1058">
        <f>I34</f>
        <v>7750</v>
      </c>
      <c r="J35" s="439">
        <f>G35*I35</f>
        <v>15500</v>
      </c>
      <c r="K35" s="1"/>
    </row>
    <row r="36" spans="1:13" ht="15" customHeight="1" x14ac:dyDescent="0.3">
      <c r="A36" s="1"/>
      <c r="B36" s="438"/>
      <c r="C36" s="14" t="s">
        <v>447</v>
      </c>
      <c r="D36" s="393" t="s">
        <v>440</v>
      </c>
      <c r="E36" s="14" t="s">
        <v>448</v>
      </c>
      <c r="F36" s="1"/>
      <c r="G36" s="1"/>
      <c r="H36" s="225"/>
      <c r="I36" s="1056"/>
      <c r="J36" s="439">
        <f>0.1*((I15/(H13*H14)))</f>
        <v>2000</v>
      </c>
      <c r="K36" s="1"/>
    </row>
    <row r="37" spans="1:13" ht="15" customHeight="1" x14ac:dyDescent="0.3">
      <c r="A37" s="1"/>
      <c r="B37" s="438"/>
      <c r="C37" s="1"/>
      <c r="D37" s="1"/>
      <c r="E37" s="1"/>
      <c r="F37" s="1"/>
      <c r="G37" s="1"/>
      <c r="H37" s="225"/>
      <c r="I37" s="1056"/>
      <c r="J37" s="443">
        <f>SUM(J29:J36)</f>
        <v>71820.875</v>
      </c>
      <c r="K37" s="1"/>
    </row>
    <row r="38" spans="1:13" ht="15" customHeight="1" x14ac:dyDescent="0.3">
      <c r="A38" s="1"/>
      <c r="B38" s="438"/>
      <c r="C38" s="14" t="s">
        <v>449</v>
      </c>
      <c r="D38" s="1"/>
      <c r="E38" s="1"/>
      <c r="F38" s="1"/>
      <c r="G38" s="1"/>
      <c r="H38" s="225"/>
      <c r="I38" s="1056"/>
      <c r="J38" s="437"/>
      <c r="K38" s="1"/>
    </row>
    <row r="39" spans="1:13" ht="15" customHeight="1" x14ac:dyDescent="0.3">
      <c r="A39" s="1"/>
      <c r="B39" s="438"/>
      <c r="C39" s="14" t="s">
        <v>450</v>
      </c>
      <c r="D39" s="1"/>
      <c r="E39" s="1"/>
      <c r="F39" s="1"/>
      <c r="G39" s="1"/>
      <c r="H39" s="225"/>
      <c r="I39" s="1056"/>
      <c r="J39" s="439">
        <f>J37*0.1</f>
        <v>7182.0875000000005</v>
      </c>
      <c r="K39" s="1"/>
    </row>
    <row r="40" spans="1:13" ht="15" customHeight="1" x14ac:dyDescent="0.3">
      <c r="A40" s="1"/>
      <c r="B40" s="438"/>
      <c r="C40" s="1"/>
      <c r="D40" s="14" t="s">
        <v>451</v>
      </c>
      <c r="E40" s="1"/>
      <c r="F40" s="1"/>
      <c r="G40" s="1"/>
      <c r="H40" s="225"/>
      <c r="I40" s="1056"/>
      <c r="J40" s="443">
        <f>SUM(J37:J39)</f>
        <v>79002.962499999994</v>
      </c>
      <c r="K40" s="1"/>
    </row>
    <row r="41" spans="1:13" ht="15" customHeight="1" x14ac:dyDescent="0.3">
      <c r="A41" s="1"/>
      <c r="B41" s="438"/>
      <c r="C41" s="1"/>
      <c r="D41" s="14" t="s">
        <v>452</v>
      </c>
      <c r="E41" s="1"/>
      <c r="F41" s="1"/>
      <c r="G41" s="1"/>
      <c r="H41" s="225"/>
      <c r="I41" s="1056"/>
      <c r="J41" s="439">
        <f>ROUND(J40-5,-1)</f>
        <v>79000</v>
      </c>
      <c r="K41" s="1"/>
    </row>
    <row r="42" spans="1:13" ht="15" customHeight="1" x14ac:dyDescent="0.3">
      <c r="A42" s="1"/>
      <c r="B42" s="444"/>
      <c r="C42" s="263"/>
      <c r="D42" s="263"/>
      <c r="E42" s="263"/>
      <c r="F42" s="263"/>
      <c r="G42" s="263"/>
      <c r="H42" s="228"/>
      <c r="I42" s="229"/>
      <c r="J42" s="445"/>
      <c r="K42" s="1"/>
    </row>
    <row r="43" spans="1:13" ht="15" customHeight="1" x14ac:dyDescent="0.3">
      <c r="A43" s="1"/>
      <c r="B43" s="438"/>
      <c r="C43" s="1"/>
      <c r="D43" s="1"/>
      <c r="E43" s="1"/>
      <c r="F43" s="1"/>
      <c r="G43" s="1"/>
      <c r="H43" s="225"/>
      <c r="I43" s="1056"/>
      <c r="J43" s="437"/>
      <c r="K43" s="1"/>
    </row>
    <row r="44" spans="1:13" ht="15" customHeight="1" x14ac:dyDescent="0.3">
      <c r="A44" s="1"/>
      <c r="B44" s="436" t="s">
        <v>453</v>
      </c>
      <c r="C44" s="316" t="s">
        <v>454</v>
      </c>
      <c r="D44" s="1"/>
      <c r="E44" s="1"/>
      <c r="F44" s="1"/>
      <c r="G44" s="1"/>
      <c r="H44" s="225"/>
      <c r="I44" s="1056"/>
      <c r="J44" s="437"/>
      <c r="K44" s="1"/>
    </row>
    <row r="45" spans="1:13" ht="15" customHeight="1" x14ac:dyDescent="0.3">
      <c r="A45" s="1"/>
      <c r="B45" s="438"/>
      <c r="C45" s="1"/>
      <c r="D45" s="1"/>
      <c r="E45" s="1"/>
      <c r="F45" s="1"/>
      <c r="G45" s="1"/>
      <c r="H45" s="225"/>
      <c r="I45" s="1056"/>
      <c r="J45" s="437"/>
      <c r="K45" s="1"/>
    </row>
    <row r="46" spans="1:13" ht="15" customHeight="1" x14ac:dyDescent="0.3">
      <c r="A46" s="1"/>
      <c r="B46" s="438"/>
      <c r="C46" s="14" t="s">
        <v>412</v>
      </c>
      <c r="D46" s="14" t="s">
        <v>2</v>
      </c>
      <c r="E46" s="14" t="s">
        <v>455</v>
      </c>
      <c r="F46" s="1"/>
      <c r="G46" s="1"/>
      <c r="H46" s="225"/>
      <c r="I46" s="1056"/>
      <c r="J46" s="437"/>
      <c r="K46" s="1"/>
    </row>
    <row r="47" spans="1:13" ht="15" customHeight="1" x14ac:dyDescent="0.3">
      <c r="A47" s="1"/>
      <c r="B47" s="438"/>
      <c r="C47" s="14" t="s">
        <v>414</v>
      </c>
      <c r="D47" s="14" t="s">
        <v>2</v>
      </c>
      <c r="E47" s="14" t="s">
        <v>415</v>
      </c>
      <c r="F47" s="1"/>
      <c r="G47" s="1"/>
      <c r="H47" s="225"/>
      <c r="I47" s="1056"/>
      <c r="J47" s="437"/>
      <c r="K47" s="1"/>
    </row>
    <row r="48" spans="1:13" ht="15" customHeight="1" x14ac:dyDescent="0.3">
      <c r="A48" s="1"/>
      <c r="B48" s="438"/>
      <c r="C48" s="14" t="s">
        <v>416</v>
      </c>
      <c r="D48" s="14" t="s">
        <v>2</v>
      </c>
      <c r="E48" s="14" t="s">
        <v>417</v>
      </c>
      <c r="F48" s="1"/>
      <c r="G48" s="1"/>
      <c r="H48" s="226">
        <v>3</v>
      </c>
      <c r="I48" s="1058" t="s">
        <v>418</v>
      </c>
      <c r="J48" s="437"/>
      <c r="K48" s="1"/>
    </row>
    <row r="49" spans="1:11" ht="15" customHeight="1" x14ac:dyDescent="0.3">
      <c r="A49" s="1"/>
      <c r="B49" s="438"/>
      <c r="C49" s="14" t="s">
        <v>419</v>
      </c>
      <c r="D49" s="14" t="s">
        <v>2</v>
      </c>
      <c r="E49" s="14" t="s">
        <v>420</v>
      </c>
      <c r="F49" s="1"/>
      <c r="G49" s="1"/>
      <c r="H49" s="226">
        <v>7500</v>
      </c>
      <c r="I49" s="1058" t="s">
        <v>37</v>
      </c>
      <c r="J49" s="437"/>
      <c r="K49" s="1"/>
    </row>
    <row r="50" spans="1:11" ht="15" customHeight="1" x14ac:dyDescent="0.3">
      <c r="A50" s="1"/>
      <c r="B50" s="438"/>
      <c r="C50" s="14" t="s">
        <v>421</v>
      </c>
      <c r="D50" s="14" t="s">
        <v>2</v>
      </c>
      <c r="E50" s="14" t="s">
        <v>422</v>
      </c>
      <c r="F50" s="1"/>
      <c r="G50" s="1"/>
      <c r="H50" s="225"/>
      <c r="I50" s="1058">
        <f>50000000-5000000+1200000+2000000+800000</f>
        <v>49000000</v>
      </c>
      <c r="J50" s="437"/>
      <c r="K50" s="1">
        <v>49000000</v>
      </c>
    </row>
    <row r="51" spans="1:11" ht="15" customHeight="1" x14ac:dyDescent="0.3">
      <c r="A51" s="1"/>
      <c r="B51" s="438"/>
      <c r="C51" s="14" t="s">
        <v>423</v>
      </c>
      <c r="D51" s="14" t="s">
        <v>2</v>
      </c>
      <c r="E51" s="14" t="s">
        <v>424</v>
      </c>
      <c r="F51" s="1"/>
      <c r="G51" s="1"/>
      <c r="H51" s="225"/>
      <c r="I51" s="1058">
        <f>I50*0.1</f>
        <v>4900000</v>
      </c>
      <c r="J51" s="437"/>
      <c r="K51" s="1">
        <v>4900000</v>
      </c>
    </row>
    <row r="52" spans="1:11" ht="15" customHeight="1" x14ac:dyDescent="0.3">
      <c r="A52" s="1"/>
      <c r="B52" s="438"/>
      <c r="C52" s="14" t="s">
        <v>425</v>
      </c>
      <c r="D52" s="14" t="s">
        <v>2</v>
      </c>
      <c r="E52" s="14" t="s">
        <v>426</v>
      </c>
      <c r="F52" s="1"/>
      <c r="G52" s="1"/>
      <c r="H52" s="225"/>
      <c r="I52" s="1058">
        <f>I50-I51</f>
        <v>44100000</v>
      </c>
      <c r="J52" s="437"/>
      <c r="K52" s="1">
        <v>44100000</v>
      </c>
    </row>
    <row r="53" spans="1:11" ht="15" customHeight="1" x14ac:dyDescent="0.3">
      <c r="A53" s="1"/>
      <c r="B53" s="438"/>
      <c r="C53" s="14" t="s">
        <v>427</v>
      </c>
      <c r="D53" s="14" t="s">
        <v>2</v>
      </c>
      <c r="E53" s="1"/>
      <c r="F53" s="1"/>
      <c r="G53" s="1"/>
      <c r="H53" s="225"/>
      <c r="I53" s="1056"/>
      <c r="J53" s="437"/>
      <c r="K53" s="1"/>
    </row>
    <row r="54" spans="1:11" ht="15" customHeight="1" x14ac:dyDescent="0.3">
      <c r="A54" s="1"/>
      <c r="B54" s="438"/>
      <c r="C54" s="14" t="s">
        <v>428</v>
      </c>
      <c r="D54" s="14" t="s">
        <v>2</v>
      </c>
      <c r="E54" s="14">
        <v>100</v>
      </c>
      <c r="F54" s="14" t="s">
        <v>429</v>
      </c>
      <c r="G54" s="1"/>
      <c r="H54" s="225"/>
      <c r="I54" s="1056"/>
      <c r="J54" s="437"/>
      <c r="K54" s="1"/>
    </row>
    <row r="55" spans="1:11" ht="15" customHeight="1" x14ac:dyDescent="0.3">
      <c r="A55" s="1"/>
      <c r="B55" s="438"/>
      <c r="C55" s="14" t="s">
        <v>430</v>
      </c>
      <c r="D55" s="14" t="s">
        <v>2</v>
      </c>
      <c r="E55" s="14">
        <v>10</v>
      </c>
      <c r="F55" s="14" t="s">
        <v>199</v>
      </c>
      <c r="G55" s="1"/>
      <c r="H55" s="225"/>
      <c r="I55" s="1056"/>
      <c r="J55" s="437"/>
      <c r="K55" s="1"/>
    </row>
    <row r="56" spans="1:11" ht="15" customHeight="1" x14ac:dyDescent="0.3">
      <c r="A56" s="1"/>
      <c r="B56" s="438"/>
      <c r="C56" s="1"/>
      <c r="D56" s="1"/>
      <c r="E56" s="1"/>
      <c r="F56" s="1"/>
      <c r="G56" s="1"/>
      <c r="H56" s="225"/>
      <c r="I56" s="1056"/>
      <c r="J56" s="437"/>
      <c r="K56" s="1"/>
    </row>
    <row r="57" spans="1:11" ht="15" customHeight="1" x14ac:dyDescent="0.3">
      <c r="A57" s="1"/>
      <c r="B57" s="438"/>
      <c r="C57" s="14" t="s">
        <v>434</v>
      </c>
      <c r="D57" s="14" t="s">
        <v>2</v>
      </c>
      <c r="E57" s="1"/>
      <c r="F57" s="1"/>
      <c r="G57" s="1"/>
      <c r="H57" s="225"/>
      <c r="I57" s="1056"/>
      <c r="J57" s="437"/>
      <c r="K57" s="1"/>
    </row>
    <row r="58" spans="1:11" ht="15" customHeight="1" x14ac:dyDescent="0.3">
      <c r="A58" s="1"/>
      <c r="B58" s="438"/>
      <c r="C58" s="14" t="s">
        <v>435</v>
      </c>
      <c r="D58" s="1"/>
      <c r="E58" s="1"/>
      <c r="F58" s="1"/>
      <c r="G58" s="1"/>
      <c r="H58" s="225"/>
      <c r="I58" s="1056"/>
      <c r="J58" s="437"/>
      <c r="K58" s="1"/>
    </row>
    <row r="59" spans="1:11" ht="15" customHeight="1" x14ac:dyDescent="0.3">
      <c r="A59" s="1"/>
      <c r="B59" s="438"/>
      <c r="C59" s="1"/>
      <c r="D59" s="1"/>
      <c r="E59" s="1"/>
      <c r="F59" s="1"/>
      <c r="G59" s="1"/>
      <c r="H59" s="225"/>
      <c r="I59" s="1056"/>
      <c r="J59" s="437"/>
      <c r="K59" s="1"/>
    </row>
    <row r="60" spans="1:11" ht="15" customHeight="1" x14ac:dyDescent="0.3">
      <c r="A60" s="1"/>
      <c r="B60" s="438"/>
      <c r="C60" s="14" t="s">
        <v>436</v>
      </c>
      <c r="D60" s="1"/>
      <c r="E60" s="1"/>
      <c r="F60" s="1"/>
      <c r="G60" s="1"/>
      <c r="H60" s="225"/>
      <c r="I60" s="1056"/>
      <c r="J60" s="437"/>
      <c r="K60" s="1"/>
    </row>
    <row r="61" spans="1:11" ht="15" customHeight="1" x14ac:dyDescent="0.3">
      <c r="A61" s="1"/>
      <c r="B61" s="438"/>
      <c r="C61" s="14" t="s">
        <v>456</v>
      </c>
      <c r="D61" s="1"/>
      <c r="E61" s="1"/>
      <c r="F61" s="1"/>
      <c r="G61" s="1"/>
      <c r="H61" s="225"/>
      <c r="I61" s="1056"/>
      <c r="J61" s="439">
        <f>I52/(H48*H49)</f>
        <v>1960</v>
      </c>
      <c r="K61" s="1"/>
    </row>
    <row r="62" spans="1:11" ht="15" customHeight="1" x14ac:dyDescent="0.3">
      <c r="A62" s="1"/>
      <c r="B62" s="438"/>
      <c r="C62" s="14" t="s">
        <v>438</v>
      </c>
      <c r="D62" s="1"/>
      <c r="E62" s="1"/>
      <c r="F62" s="1"/>
      <c r="G62" s="1"/>
      <c r="H62" s="225"/>
      <c r="I62" s="1056"/>
      <c r="J62" s="439">
        <f>(((0.25*(H48+1))/(2*H48)))*(I50/H49)</f>
        <v>1088.8888888888887</v>
      </c>
      <c r="K62" s="1"/>
    </row>
    <row r="63" spans="1:11" ht="15" customHeight="1" x14ac:dyDescent="0.3">
      <c r="A63" s="1"/>
      <c r="B63" s="438"/>
      <c r="C63" s="14" t="s">
        <v>439</v>
      </c>
      <c r="D63" s="393" t="s">
        <v>440</v>
      </c>
      <c r="E63" s="440">
        <v>0.15</v>
      </c>
      <c r="F63" s="393" t="s">
        <v>238</v>
      </c>
      <c r="G63" s="14">
        <f>E54</f>
        <v>100</v>
      </c>
      <c r="H63" s="226" t="s">
        <v>441</v>
      </c>
      <c r="I63" s="1058">
        <f>$I$31</f>
        <v>6800</v>
      </c>
      <c r="J63" s="439">
        <f>E63*G63*I63</f>
        <v>102000</v>
      </c>
      <c r="K63" s="1"/>
    </row>
    <row r="64" spans="1:11" ht="15" customHeight="1" x14ac:dyDescent="0.3">
      <c r="A64" s="1"/>
      <c r="B64" s="438"/>
      <c r="C64" s="14" t="s">
        <v>442</v>
      </c>
      <c r="D64" s="393" t="s">
        <v>440</v>
      </c>
      <c r="E64" s="441">
        <f>E55/200</f>
        <v>0.05</v>
      </c>
      <c r="F64" s="393" t="s">
        <v>238</v>
      </c>
      <c r="G64" s="442">
        <f>G63/E54</f>
        <v>1</v>
      </c>
      <c r="H64" s="226" t="s">
        <v>441</v>
      </c>
      <c r="I64" s="1058">
        <f>$I$32</f>
        <v>9750</v>
      </c>
      <c r="J64" s="439">
        <f>E64*G64*I64</f>
        <v>487.5</v>
      </c>
      <c r="K64" s="1"/>
    </row>
    <row r="65" spans="1:11" ht="15" customHeight="1" x14ac:dyDescent="0.3">
      <c r="A65" s="1"/>
      <c r="B65" s="438"/>
      <c r="C65" s="14" t="s">
        <v>457</v>
      </c>
      <c r="D65" s="393" t="s">
        <v>440</v>
      </c>
      <c r="E65" s="446"/>
      <c r="F65" s="1"/>
      <c r="G65" s="14">
        <v>2</v>
      </c>
      <c r="H65" s="226" t="s">
        <v>156</v>
      </c>
      <c r="I65" s="1058">
        <f>$I$34</f>
        <v>7750</v>
      </c>
      <c r="J65" s="439">
        <f>G65*I65</f>
        <v>15500</v>
      </c>
      <c r="K65" s="1"/>
    </row>
    <row r="66" spans="1:11" ht="15" customHeight="1" x14ac:dyDescent="0.3">
      <c r="A66" s="1"/>
      <c r="B66" s="438"/>
      <c r="C66" s="14" t="s">
        <v>447</v>
      </c>
      <c r="D66" s="393" t="s">
        <v>440</v>
      </c>
      <c r="E66" s="14" t="s">
        <v>448</v>
      </c>
      <c r="F66" s="1"/>
      <c r="G66" s="1"/>
      <c r="H66" s="225"/>
      <c r="I66" s="1056"/>
      <c r="J66" s="439">
        <f>0.1*((I50/(H48*H49)))</f>
        <v>217.7777777777778</v>
      </c>
      <c r="K66" s="1"/>
    </row>
    <row r="67" spans="1:11" ht="15" customHeight="1" x14ac:dyDescent="0.3">
      <c r="A67" s="1"/>
      <c r="B67" s="438"/>
      <c r="C67" s="1"/>
      <c r="D67" s="1"/>
      <c r="E67" s="1"/>
      <c r="F67" s="1"/>
      <c r="G67" s="1"/>
      <c r="H67" s="225"/>
      <c r="I67" s="1056"/>
      <c r="J67" s="443">
        <f>SUM(J61:J66)</f>
        <v>121254.16666666667</v>
      </c>
      <c r="K67" s="1"/>
    </row>
    <row r="68" spans="1:11" ht="15" customHeight="1" x14ac:dyDescent="0.3">
      <c r="A68" s="1"/>
      <c r="B68" s="438"/>
      <c r="C68" s="14" t="s">
        <v>449</v>
      </c>
      <c r="D68" s="1"/>
      <c r="E68" s="1"/>
      <c r="F68" s="1"/>
      <c r="G68" s="1"/>
      <c r="H68" s="225"/>
      <c r="I68" s="1056"/>
      <c r="J68" s="437"/>
      <c r="K68" s="1"/>
    </row>
    <row r="69" spans="1:11" ht="15" customHeight="1" x14ac:dyDescent="0.3">
      <c r="A69" s="1"/>
      <c r="B69" s="438"/>
      <c r="C69" s="14" t="s">
        <v>450</v>
      </c>
      <c r="D69" s="1"/>
      <c r="E69" s="1"/>
      <c r="F69" s="1"/>
      <c r="G69" s="1"/>
      <c r="H69" s="225"/>
      <c r="I69" s="1056"/>
      <c r="J69" s="439">
        <f>J67*0.1</f>
        <v>12125.416666666668</v>
      </c>
      <c r="K69" s="1"/>
    </row>
    <row r="70" spans="1:11" ht="15" customHeight="1" x14ac:dyDescent="0.3">
      <c r="A70" s="1"/>
      <c r="B70" s="438"/>
      <c r="C70" s="1"/>
      <c r="D70" s="14" t="s">
        <v>458</v>
      </c>
      <c r="E70" s="1"/>
      <c r="F70" s="1"/>
      <c r="G70" s="1"/>
      <c r="H70" s="225"/>
      <c r="I70" s="1056"/>
      <c r="J70" s="443">
        <f>SUM(J67:J69)</f>
        <v>133379.58333333334</v>
      </c>
      <c r="K70" s="1"/>
    </row>
    <row r="71" spans="1:11" ht="15" customHeight="1" x14ac:dyDescent="0.3">
      <c r="A71" s="1"/>
      <c r="B71" s="438"/>
      <c r="C71" s="1"/>
      <c r="D71" s="14" t="s">
        <v>459</v>
      </c>
      <c r="E71" s="1"/>
      <c r="F71" s="1"/>
      <c r="G71" s="1"/>
      <c r="H71" s="225"/>
      <c r="I71" s="1056"/>
      <c r="J71" s="439">
        <f>ROUND(J70-5,-1)</f>
        <v>133370</v>
      </c>
      <c r="K71" s="1"/>
    </row>
    <row r="72" spans="1:11" ht="15" customHeight="1" x14ac:dyDescent="0.3">
      <c r="A72" s="1"/>
      <c r="B72" s="438"/>
      <c r="C72" s="1"/>
      <c r="D72" s="14"/>
      <c r="E72" s="1"/>
      <c r="F72" s="1"/>
      <c r="G72" s="1"/>
      <c r="H72" s="225"/>
      <c r="I72" s="1056"/>
      <c r="J72" s="439"/>
      <c r="K72" s="1"/>
    </row>
    <row r="73" spans="1:11" ht="15" customHeight="1" x14ac:dyDescent="0.3">
      <c r="A73" s="1"/>
      <c r="B73" s="436" t="s">
        <v>460</v>
      </c>
      <c r="C73" s="316" t="s">
        <v>461</v>
      </c>
      <c r="D73" s="1"/>
      <c r="E73" s="1"/>
      <c r="F73" s="1"/>
      <c r="G73" s="1"/>
      <c r="H73" s="225"/>
      <c r="I73" s="1056"/>
      <c r="J73" s="437"/>
      <c r="K73" s="1"/>
    </row>
    <row r="74" spans="1:11" ht="15" customHeight="1" x14ac:dyDescent="0.3">
      <c r="A74" s="1"/>
      <c r="B74" s="438"/>
      <c r="C74" s="1"/>
      <c r="D74" s="1"/>
      <c r="E74" s="1"/>
      <c r="F74" s="1"/>
      <c r="G74" s="1"/>
      <c r="H74" s="225"/>
      <c r="I74" s="1056"/>
      <c r="J74" s="437"/>
      <c r="K74" s="1"/>
    </row>
    <row r="75" spans="1:11" ht="15" customHeight="1" x14ac:dyDescent="0.3">
      <c r="A75" s="1"/>
      <c r="B75" s="438"/>
      <c r="C75" s="14" t="s">
        <v>412</v>
      </c>
      <c r="D75" s="14" t="s">
        <v>2</v>
      </c>
      <c r="E75" s="14" t="s">
        <v>462</v>
      </c>
      <c r="F75" s="1"/>
      <c r="G75" s="1"/>
      <c r="H75" s="225"/>
      <c r="I75" s="1056"/>
      <c r="J75" s="437"/>
      <c r="K75" s="1"/>
    </row>
    <row r="76" spans="1:11" ht="15" customHeight="1" x14ac:dyDescent="0.3">
      <c r="A76" s="1"/>
      <c r="B76" s="438"/>
      <c r="C76" s="14" t="s">
        <v>414</v>
      </c>
      <c r="D76" s="14" t="s">
        <v>2</v>
      </c>
      <c r="E76" s="14" t="s">
        <v>463</v>
      </c>
      <c r="F76" s="1"/>
      <c r="G76" s="1"/>
      <c r="H76" s="225"/>
      <c r="I76" s="1056"/>
      <c r="J76" s="437"/>
      <c r="K76" s="1"/>
    </row>
    <row r="77" spans="1:11" ht="15" customHeight="1" x14ac:dyDescent="0.3">
      <c r="A77" s="1"/>
      <c r="B77" s="438"/>
      <c r="C77" s="14" t="s">
        <v>416</v>
      </c>
      <c r="D77" s="14" t="s">
        <v>2</v>
      </c>
      <c r="E77" s="14" t="s">
        <v>417</v>
      </c>
      <c r="F77" s="1"/>
      <c r="G77" s="1"/>
      <c r="H77" s="226">
        <v>2</v>
      </c>
      <c r="I77" s="1058" t="s">
        <v>418</v>
      </c>
      <c r="J77" s="437"/>
      <c r="K77" s="1"/>
    </row>
    <row r="78" spans="1:11" ht="15" customHeight="1" x14ac:dyDescent="0.3">
      <c r="A78" s="1"/>
      <c r="B78" s="438"/>
      <c r="C78" s="14" t="s">
        <v>419</v>
      </c>
      <c r="D78" s="14" t="s">
        <v>2</v>
      </c>
      <c r="E78" s="14" t="s">
        <v>420</v>
      </c>
      <c r="F78" s="1"/>
      <c r="G78" s="1"/>
      <c r="H78" s="226">
        <v>600</v>
      </c>
      <c r="I78" s="1058" t="s">
        <v>37</v>
      </c>
      <c r="J78" s="437"/>
      <c r="K78" s="1"/>
    </row>
    <row r="79" spans="1:11" ht="15" customHeight="1" x14ac:dyDescent="0.3">
      <c r="A79" s="1"/>
      <c r="B79" s="438"/>
      <c r="C79" s="14" t="s">
        <v>421</v>
      </c>
      <c r="D79" s="14" t="s">
        <v>2</v>
      </c>
      <c r="E79" s="14" t="s">
        <v>422</v>
      </c>
      <c r="F79" s="1"/>
      <c r="G79" s="1"/>
      <c r="H79" s="225"/>
      <c r="I79" s="1058">
        <f>500000000-55000000+20000000+15000000+10000000-90000000-9000000-5000000</f>
        <v>386000000</v>
      </c>
      <c r="J79" s="437"/>
      <c r="K79" s="1"/>
    </row>
    <row r="80" spans="1:11" ht="15" customHeight="1" x14ac:dyDescent="0.3">
      <c r="A80" s="1"/>
      <c r="B80" s="438"/>
      <c r="C80" s="14" t="s">
        <v>423</v>
      </c>
      <c r="D80" s="14" t="s">
        <v>2</v>
      </c>
      <c r="E80" s="14" t="s">
        <v>424</v>
      </c>
      <c r="F80" s="1"/>
      <c r="G80" s="1"/>
      <c r="H80" s="225"/>
      <c r="I80" s="1058">
        <f>I79*0.1</f>
        <v>38600000</v>
      </c>
      <c r="J80" s="437"/>
      <c r="K80" s="1"/>
    </row>
    <row r="81" spans="1:11" ht="15" customHeight="1" x14ac:dyDescent="0.3">
      <c r="A81" s="1"/>
      <c r="B81" s="438"/>
      <c r="C81" s="14" t="s">
        <v>425</v>
      </c>
      <c r="D81" s="14" t="s">
        <v>2</v>
      </c>
      <c r="E81" s="14" t="s">
        <v>426</v>
      </c>
      <c r="F81" s="1"/>
      <c r="G81" s="1"/>
      <c r="H81" s="225"/>
      <c r="I81" s="1058">
        <f>I79-I80</f>
        <v>347400000</v>
      </c>
      <c r="J81" s="437"/>
      <c r="K81" s="1"/>
    </row>
    <row r="82" spans="1:11" ht="15" customHeight="1" x14ac:dyDescent="0.3">
      <c r="A82" s="1"/>
      <c r="B82" s="438"/>
      <c r="C82" s="14" t="s">
        <v>427</v>
      </c>
      <c r="D82" s="14" t="s">
        <v>2</v>
      </c>
      <c r="E82" s="1"/>
      <c r="F82" s="1"/>
      <c r="G82" s="1"/>
      <c r="H82" s="225"/>
      <c r="I82" s="1056"/>
      <c r="J82" s="437"/>
      <c r="K82" s="1"/>
    </row>
    <row r="83" spans="1:11" ht="15" customHeight="1" x14ac:dyDescent="0.3">
      <c r="A83" s="1"/>
      <c r="B83" s="438"/>
      <c r="C83" s="14" t="s">
        <v>428</v>
      </c>
      <c r="D83" s="14" t="s">
        <v>2</v>
      </c>
      <c r="E83" s="14">
        <v>300</v>
      </c>
      <c r="F83" s="14" t="s">
        <v>429</v>
      </c>
      <c r="G83" s="1"/>
      <c r="H83" s="225"/>
      <c r="I83" s="1056"/>
      <c r="J83" s="437"/>
      <c r="K83" s="1"/>
    </row>
    <row r="84" spans="1:11" ht="15" customHeight="1" x14ac:dyDescent="0.3">
      <c r="A84" s="1"/>
      <c r="B84" s="438"/>
      <c r="C84" s="14" t="s">
        <v>430</v>
      </c>
      <c r="D84" s="14" t="s">
        <v>2</v>
      </c>
      <c r="E84" s="14">
        <v>15.5</v>
      </c>
      <c r="F84" s="14" t="s">
        <v>199</v>
      </c>
      <c r="G84" s="1"/>
      <c r="H84" s="225"/>
      <c r="I84" s="1056"/>
      <c r="J84" s="437"/>
      <c r="K84" s="1"/>
    </row>
    <row r="85" spans="1:11" ht="15" customHeight="1" x14ac:dyDescent="0.3">
      <c r="A85" s="1"/>
      <c r="B85" s="438"/>
      <c r="C85" s="14" t="s">
        <v>431</v>
      </c>
      <c r="D85" s="14" t="s">
        <v>2</v>
      </c>
      <c r="E85" s="14">
        <v>20</v>
      </c>
      <c r="F85" s="14" t="s">
        <v>199</v>
      </c>
      <c r="G85" s="1"/>
      <c r="H85" s="225"/>
      <c r="I85" s="1056"/>
      <c r="J85" s="437"/>
      <c r="K85" s="1"/>
    </row>
    <row r="86" spans="1:11" ht="15" customHeight="1" x14ac:dyDescent="0.3">
      <c r="A86" s="1"/>
      <c r="B86" s="438"/>
      <c r="C86" s="1"/>
      <c r="D86" s="1"/>
      <c r="E86" s="1"/>
      <c r="F86" s="1"/>
      <c r="G86" s="1"/>
      <c r="H86" s="225"/>
      <c r="I86" s="1056"/>
      <c r="J86" s="437"/>
      <c r="K86" s="1"/>
    </row>
    <row r="87" spans="1:11" ht="15" customHeight="1" x14ac:dyDescent="0.3">
      <c r="A87" s="1"/>
      <c r="B87" s="438"/>
      <c r="C87" s="14" t="s">
        <v>434</v>
      </c>
      <c r="D87" s="14" t="s">
        <v>2</v>
      </c>
      <c r="E87" s="1"/>
      <c r="F87" s="1"/>
      <c r="G87" s="1"/>
      <c r="H87" s="225"/>
      <c r="I87" s="1056"/>
      <c r="J87" s="437"/>
      <c r="K87" s="1"/>
    </row>
    <row r="88" spans="1:11" ht="15" customHeight="1" x14ac:dyDescent="0.3">
      <c r="A88" s="1"/>
      <c r="B88" s="438"/>
      <c r="C88" s="14" t="s">
        <v>435</v>
      </c>
      <c r="D88" s="1"/>
      <c r="E88" s="1"/>
      <c r="F88" s="1"/>
      <c r="G88" s="1"/>
      <c r="H88" s="225"/>
      <c r="I88" s="1056"/>
      <c r="J88" s="437"/>
      <c r="K88" s="1"/>
    </row>
    <row r="89" spans="1:11" ht="15" customHeight="1" x14ac:dyDescent="0.3">
      <c r="A89" s="1"/>
      <c r="B89" s="444"/>
      <c r="C89" s="263"/>
      <c r="D89" s="263"/>
      <c r="E89" s="263"/>
      <c r="F89" s="263"/>
      <c r="G89" s="263"/>
      <c r="H89" s="228"/>
      <c r="I89" s="229"/>
      <c r="J89" s="445"/>
      <c r="K89" s="1"/>
    </row>
    <row r="90" spans="1:11" ht="15" customHeight="1" x14ac:dyDescent="0.3">
      <c r="A90" s="1"/>
      <c r="B90" s="438"/>
      <c r="C90" s="14" t="s">
        <v>436</v>
      </c>
      <c r="D90" s="1"/>
      <c r="E90" s="1"/>
      <c r="F90" s="1"/>
      <c r="G90" s="1"/>
      <c r="H90" s="225"/>
      <c r="I90" s="1056"/>
      <c r="J90" s="437"/>
      <c r="K90" s="1"/>
    </row>
    <row r="91" spans="1:11" ht="15" customHeight="1" x14ac:dyDescent="0.3">
      <c r="A91" s="1"/>
      <c r="B91" s="438"/>
      <c r="C91" s="14" t="s">
        <v>456</v>
      </c>
      <c r="D91" s="1"/>
      <c r="E91" s="1"/>
      <c r="F91" s="1"/>
      <c r="G91" s="1"/>
      <c r="H91" s="225"/>
      <c r="I91" s="1056"/>
      <c r="J91" s="439">
        <f>I81/(H77*H78)</f>
        <v>289500</v>
      </c>
      <c r="K91" s="1"/>
    </row>
    <row r="92" spans="1:11" ht="15" customHeight="1" x14ac:dyDescent="0.3">
      <c r="A92" s="1"/>
      <c r="B92" s="438"/>
      <c r="C92" s="14" t="s">
        <v>438</v>
      </c>
      <c r="D92" s="1"/>
      <c r="E92" s="1"/>
      <c r="F92" s="1"/>
      <c r="G92" s="1"/>
      <c r="H92" s="225"/>
      <c r="I92" s="1056"/>
      <c r="J92" s="439">
        <f>(((0.25*(H77+1))/(2*H77)))*(I79/H78)</f>
        <v>120625</v>
      </c>
      <c r="K92" s="1"/>
    </row>
    <row r="93" spans="1:11" ht="15" customHeight="1" x14ac:dyDescent="0.3">
      <c r="A93" s="1"/>
      <c r="B93" s="438"/>
      <c r="C93" s="14" t="s">
        <v>439</v>
      </c>
      <c r="D93" s="393" t="s">
        <v>440</v>
      </c>
      <c r="E93" s="14">
        <v>0.15</v>
      </c>
      <c r="F93" s="393" t="s">
        <v>238</v>
      </c>
      <c r="G93" s="14">
        <f>E83</f>
        <v>300</v>
      </c>
      <c r="H93" s="226" t="s">
        <v>441</v>
      </c>
      <c r="I93" s="1058">
        <f>I63</f>
        <v>6800</v>
      </c>
      <c r="J93" s="439">
        <f>E93*G93*I93</f>
        <v>306000</v>
      </c>
      <c r="K93" s="1"/>
    </row>
    <row r="94" spans="1:11" ht="15" customHeight="1" x14ac:dyDescent="0.3">
      <c r="A94" s="1"/>
      <c r="B94" s="438"/>
      <c r="C94" s="14" t="s">
        <v>442</v>
      </c>
      <c r="D94" s="393" t="s">
        <v>440</v>
      </c>
      <c r="E94" s="441">
        <f>E84/200</f>
        <v>7.7499999999999999E-2</v>
      </c>
      <c r="F94" s="393" t="s">
        <v>238</v>
      </c>
      <c r="G94" s="442">
        <f>E83/G93</f>
        <v>1</v>
      </c>
      <c r="H94" s="226" t="s">
        <v>441</v>
      </c>
      <c r="I94" s="1058">
        <f>I64</f>
        <v>9750</v>
      </c>
      <c r="J94" s="439">
        <f>E94*G94*I94</f>
        <v>755.625</v>
      </c>
      <c r="K94" s="1"/>
    </row>
    <row r="95" spans="1:11" ht="15" customHeight="1" x14ac:dyDescent="0.3">
      <c r="A95" s="1"/>
      <c r="B95" s="438"/>
      <c r="C95" s="14" t="s">
        <v>444</v>
      </c>
      <c r="D95" s="393" t="s">
        <v>440</v>
      </c>
      <c r="E95" s="441">
        <f>E85/250</f>
        <v>0.08</v>
      </c>
      <c r="F95" s="393" t="s">
        <v>238</v>
      </c>
      <c r="G95" s="14">
        <v>1.2</v>
      </c>
      <c r="H95" s="226" t="s">
        <v>441</v>
      </c>
      <c r="I95" s="1058">
        <f>I94</f>
        <v>9750</v>
      </c>
      <c r="J95" s="439">
        <f>E95*G95*I95</f>
        <v>936</v>
      </c>
      <c r="K95" s="1"/>
    </row>
    <row r="96" spans="1:11" ht="15" customHeight="1" x14ac:dyDescent="0.3">
      <c r="A96" s="1"/>
      <c r="B96" s="438"/>
      <c r="C96" s="14" t="s">
        <v>464</v>
      </c>
      <c r="D96" s="393" t="s">
        <v>440</v>
      </c>
      <c r="E96" s="446"/>
      <c r="F96" s="1"/>
      <c r="G96" s="14">
        <v>2</v>
      </c>
      <c r="H96" s="226" t="s">
        <v>156</v>
      </c>
      <c r="I96" s="1058">
        <f>I65</f>
        <v>7750</v>
      </c>
      <c r="J96" s="439">
        <f>G96*I96</f>
        <v>15500</v>
      </c>
      <c r="K96" s="1"/>
    </row>
    <row r="97" spans="1:11" ht="15" customHeight="1" x14ac:dyDescent="0.3">
      <c r="A97" s="1"/>
      <c r="B97" s="438"/>
      <c r="C97" s="14" t="s">
        <v>447</v>
      </c>
      <c r="D97" s="393" t="s">
        <v>440</v>
      </c>
      <c r="E97" s="14" t="s">
        <v>448</v>
      </c>
      <c r="F97" s="1"/>
      <c r="G97" s="1"/>
      <c r="H97" s="225"/>
      <c r="I97" s="1056"/>
      <c r="J97" s="439">
        <f>0.1*((I79/(H77*H78)))</f>
        <v>32166.666666666672</v>
      </c>
      <c r="K97" s="1"/>
    </row>
    <row r="98" spans="1:11" ht="15" customHeight="1" x14ac:dyDescent="0.3">
      <c r="A98" s="1"/>
      <c r="B98" s="438"/>
      <c r="C98" s="1"/>
      <c r="D98" s="1"/>
      <c r="E98" s="1"/>
      <c r="F98" s="1"/>
      <c r="G98" s="1"/>
      <c r="H98" s="225"/>
      <c r="I98" s="1056"/>
      <c r="J98" s="443">
        <f>SUM(J91:J97)</f>
        <v>765483.29166666663</v>
      </c>
      <c r="K98" s="1"/>
    </row>
    <row r="99" spans="1:11" ht="15" customHeight="1" x14ac:dyDescent="0.3">
      <c r="A99" s="1"/>
      <c r="B99" s="438"/>
      <c r="C99" s="14" t="s">
        <v>449</v>
      </c>
      <c r="D99" s="1"/>
      <c r="E99" s="1"/>
      <c r="F99" s="1"/>
      <c r="G99" s="1"/>
      <c r="H99" s="225"/>
      <c r="I99" s="1056"/>
      <c r="J99" s="437"/>
      <c r="K99" s="1"/>
    </row>
    <row r="100" spans="1:11" ht="15" customHeight="1" x14ac:dyDescent="0.3">
      <c r="A100" s="1"/>
      <c r="B100" s="438"/>
      <c r="C100" s="14" t="s">
        <v>450</v>
      </c>
      <c r="D100" s="1"/>
      <c r="E100" s="1"/>
      <c r="F100" s="1"/>
      <c r="G100" s="1"/>
      <c r="H100" s="225"/>
      <c r="I100" s="1056"/>
      <c r="J100" s="439">
        <f>J98*0.1</f>
        <v>76548.329166666663</v>
      </c>
      <c r="K100" s="1"/>
    </row>
    <row r="101" spans="1:11" ht="15" customHeight="1" x14ac:dyDescent="0.3">
      <c r="A101" s="1"/>
      <c r="B101" s="438"/>
      <c r="C101" s="1"/>
      <c r="D101" s="14" t="s">
        <v>465</v>
      </c>
      <c r="E101" s="1"/>
      <c r="F101" s="1"/>
      <c r="G101" s="1"/>
      <c r="H101" s="225"/>
      <c r="I101" s="1056"/>
      <c r="J101" s="443">
        <f>SUM(J98:J100)</f>
        <v>842031.62083333335</v>
      </c>
      <c r="K101" s="1"/>
    </row>
    <row r="102" spans="1:11" ht="15" customHeight="1" x14ac:dyDescent="0.3">
      <c r="A102" s="1"/>
      <c r="B102" s="438"/>
      <c r="C102" s="1"/>
      <c r="D102" s="14" t="s">
        <v>459</v>
      </c>
      <c r="E102" s="1"/>
      <c r="F102" s="1"/>
      <c r="G102" s="1"/>
      <c r="H102" s="225"/>
      <c r="I102" s="1056"/>
      <c r="J102" s="439">
        <f>ROUND(J101-5,-1)</f>
        <v>842030</v>
      </c>
      <c r="K102" s="1"/>
    </row>
    <row r="103" spans="1:11" ht="15" customHeight="1" x14ac:dyDescent="0.3">
      <c r="A103" s="1"/>
      <c r="B103" s="438"/>
      <c r="C103" s="1"/>
      <c r="D103" s="1"/>
      <c r="E103" s="1"/>
      <c r="F103" s="1"/>
      <c r="G103" s="1"/>
      <c r="H103" s="225"/>
      <c r="I103" s="1056"/>
      <c r="J103" s="437"/>
      <c r="K103" s="1"/>
    </row>
    <row r="104" spans="1:11" ht="15" customHeight="1" x14ac:dyDescent="0.3">
      <c r="A104" s="1"/>
      <c r="B104" s="438"/>
      <c r="C104" s="1"/>
      <c r="D104" s="1"/>
      <c r="E104" s="1"/>
      <c r="F104" s="1"/>
      <c r="G104" s="1"/>
      <c r="H104" s="225"/>
      <c r="I104" s="1056"/>
      <c r="J104" s="437"/>
      <c r="K104" s="1"/>
    </row>
    <row r="105" spans="1:11" ht="15" customHeight="1" thickBot="1" x14ac:dyDescent="0.35">
      <c r="A105" s="1"/>
      <c r="B105" s="447"/>
      <c r="C105" s="4"/>
      <c r="D105" s="448"/>
      <c r="E105" s="4"/>
      <c r="F105" s="4"/>
      <c r="G105" s="4"/>
      <c r="H105" s="230"/>
      <c r="I105" s="231"/>
      <c r="J105" s="449"/>
      <c r="K105" s="1"/>
    </row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</sheetData>
  <mergeCells count="4">
    <mergeCell ref="B3:B5"/>
    <mergeCell ref="C3:H5"/>
    <mergeCell ref="I3:I4"/>
    <mergeCell ref="J3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448F-214F-4E2B-8D7B-0F217303A89E}">
  <dimension ref="A1:M251"/>
  <sheetViews>
    <sheetView topLeftCell="A18" workbookViewId="0">
      <selection activeCell="I16" sqref="I16"/>
    </sheetView>
  </sheetViews>
  <sheetFormatPr defaultColWidth="9.375" defaultRowHeight="13.8" x14ac:dyDescent="0.3"/>
  <cols>
    <col min="1" max="1" width="9.375" style="10"/>
    <col min="2" max="2" width="7.375" style="10" customWidth="1"/>
    <col min="3" max="3" width="36.5" style="10" customWidth="1"/>
    <col min="4" max="4" width="3.5" style="10" customWidth="1"/>
    <col min="5" max="5" width="9.875" style="10" customWidth="1"/>
    <col min="6" max="6" width="3" style="10" customWidth="1"/>
    <col min="7" max="7" width="9.375" style="10"/>
    <col min="8" max="8" width="9.375" style="155"/>
    <col min="9" max="9" width="19.5" style="232" customWidth="1"/>
    <col min="10" max="10" width="21.375" style="10" customWidth="1"/>
    <col min="11" max="11" width="14" style="10" customWidth="1"/>
    <col min="12" max="12" width="1.625" style="10" customWidth="1"/>
    <col min="13" max="13" width="4.625" style="10" customWidth="1"/>
    <col min="14" max="16384" width="9.375" style="10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219"/>
      <c r="I1" s="220"/>
      <c r="J1" s="1"/>
      <c r="K1" s="1"/>
    </row>
    <row r="2" spans="1:11" ht="15" customHeight="1" thickBot="1" x14ac:dyDescent="0.35">
      <c r="A2" s="1"/>
      <c r="B2" s="71"/>
      <c r="C2" s="71"/>
      <c r="D2" s="71"/>
      <c r="E2" s="71"/>
      <c r="F2" s="71"/>
      <c r="G2" s="71"/>
      <c r="H2" s="221"/>
      <c r="I2" s="222"/>
      <c r="J2" s="512"/>
      <c r="K2" s="1"/>
    </row>
    <row r="3" spans="1:11" ht="15" customHeight="1" x14ac:dyDescent="0.3">
      <c r="A3" s="1"/>
      <c r="B3" s="1669" t="s">
        <v>9</v>
      </c>
      <c r="C3" s="1672" t="s">
        <v>408</v>
      </c>
      <c r="D3" s="1673"/>
      <c r="E3" s="1673"/>
      <c r="F3" s="1673"/>
      <c r="G3" s="1673"/>
      <c r="H3" s="1674"/>
      <c r="I3" s="1681" t="s">
        <v>12</v>
      </c>
      <c r="J3" s="1683" t="s">
        <v>219</v>
      </c>
      <c r="K3" s="1"/>
    </row>
    <row r="4" spans="1:11" ht="15" customHeight="1" x14ac:dyDescent="0.3">
      <c r="A4" s="1"/>
      <c r="B4" s="1670"/>
      <c r="C4" s="1675"/>
      <c r="D4" s="1676"/>
      <c r="E4" s="1676"/>
      <c r="F4" s="1676"/>
      <c r="G4" s="1676"/>
      <c r="H4" s="1677"/>
      <c r="I4" s="1682"/>
      <c r="J4" s="1684"/>
      <c r="K4" s="1"/>
    </row>
    <row r="5" spans="1:11" ht="15" customHeight="1" x14ac:dyDescent="0.3">
      <c r="A5" s="1"/>
      <c r="B5" s="1671"/>
      <c r="C5" s="1678"/>
      <c r="D5" s="1679"/>
      <c r="E5" s="1679"/>
      <c r="F5" s="1679"/>
      <c r="G5" s="1679"/>
      <c r="H5" s="1680"/>
      <c r="I5" s="223" t="s">
        <v>13</v>
      </c>
      <c r="J5" s="431" t="s">
        <v>13</v>
      </c>
      <c r="K5" s="1"/>
    </row>
    <row r="6" spans="1:11" ht="15" customHeight="1" x14ac:dyDescent="0.3">
      <c r="A6" s="1"/>
      <c r="B6" s="432"/>
      <c r="C6" s="71"/>
      <c r="D6" s="71"/>
      <c r="E6" s="71"/>
      <c r="F6" s="71"/>
      <c r="G6" s="71"/>
      <c r="H6" s="224"/>
      <c r="I6" s="1268"/>
      <c r="J6" s="433"/>
      <c r="K6" s="1"/>
    </row>
    <row r="7" spans="1:11" ht="15" customHeight="1" x14ac:dyDescent="0.3">
      <c r="A7" s="1"/>
      <c r="B7" s="434" t="s">
        <v>409</v>
      </c>
      <c r="C7" s="435" t="s">
        <v>229</v>
      </c>
      <c r="D7" s="71"/>
      <c r="E7" s="71"/>
      <c r="F7" s="71"/>
      <c r="G7" s="71"/>
      <c r="H7" s="224"/>
      <c r="I7" s="1268"/>
      <c r="J7" s="433"/>
      <c r="K7" s="1"/>
    </row>
    <row r="8" spans="1:11" ht="15" customHeight="1" x14ac:dyDescent="0.3">
      <c r="A8" s="1"/>
      <c r="B8" s="432"/>
      <c r="C8" s="71"/>
      <c r="D8" s="71"/>
      <c r="E8" s="71"/>
      <c r="F8" s="71"/>
      <c r="G8" s="71"/>
      <c r="H8" s="224"/>
      <c r="I8" s="1268"/>
      <c r="J8" s="433"/>
      <c r="K8" s="1"/>
    </row>
    <row r="9" spans="1:11" ht="15" customHeight="1" x14ac:dyDescent="0.3">
      <c r="A9" s="1"/>
      <c r="B9" s="436" t="s">
        <v>410</v>
      </c>
      <c r="C9" s="316" t="s">
        <v>411</v>
      </c>
      <c r="D9" s="1"/>
      <c r="E9" s="1"/>
      <c r="F9" s="1"/>
      <c r="G9" s="1"/>
      <c r="H9" s="225"/>
      <c r="I9" s="1056"/>
      <c r="J9" s="437"/>
      <c r="K9" s="1"/>
    </row>
    <row r="10" spans="1:11" ht="15" customHeight="1" x14ac:dyDescent="0.3">
      <c r="A10" s="1"/>
      <c r="B10" s="438"/>
      <c r="C10" s="1"/>
      <c r="D10" s="1"/>
      <c r="E10" s="1"/>
      <c r="F10" s="1"/>
      <c r="G10" s="1"/>
      <c r="H10" s="225"/>
      <c r="I10" s="1056"/>
      <c r="J10" s="437"/>
      <c r="K10" s="1"/>
    </row>
    <row r="11" spans="1:11" ht="15" customHeight="1" x14ac:dyDescent="0.3">
      <c r="A11" s="1"/>
      <c r="B11" s="438"/>
      <c r="C11" s="14" t="s">
        <v>412</v>
      </c>
      <c r="D11" s="14" t="s">
        <v>2</v>
      </c>
      <c r="E11" s="14" t="s">
        <v>1034</v>
      </c>
      <c r="F11" s="1"/>
      <c r="G11" s="1"/>
      <c r="H11" s="225"/>
      <c r="I11" s="1057"/>
      <c r="J11" s="437"/>
      <c r="K11" s="1"/>
    </row>
    <row r="12" spans="1:11" ht="15" customHeight="1" x14ac:dyDescent="0.3">
      <c r="A12" s="1"/>
      <c r="B12" s="438"/>
      <c r="C12" s="14" t="s">
        <v>414</v>
      </c>
      <c r="D12" s="14" t="s">
        <v>2</v>
      </c>
      <c r="E12" s="14" t="str">
        <f>E11</f>
        <v>Rakitan</v>
      </c>
      <c r="F12" s="1"/>
      <c r="G12" s="1"/>
      <c r="H12" s="225"/>
      <c r="I12" s="1056"/>
      <c r="J12" s="437"/>
      <c r="K12" s="1"/>
    </row>
    <row r="13" spans="1:11" ht="15" customHeight="1" x14ac:dyDescent="0.3">
      <c r="A13" s="1"/>
      <c r="B13" s="438"/>
      <c r="C13" s="14" t="s">
        <v>416</v>
      </c>
      <c r="D13" s="14" t="s">
        <v>2</v>
      </c>
      <c r="E13" s="14" t="s">
        <v>417</v>
      </c>
      <c r="F13" s="1"/>
      <c r="G13" s="1"/>
      <c r="H13" s="226">
        <v>3</v>
      </c>
      <c r="I13" s="1058" t="s">
        <v>418</v>
      </c>
      <c r="J13" s="437"/>
      <c r="K13" s="1"/>
    </row>
    <row r="14" spans="1:11" ht="15" customHeight="1" x14ac:dyDescent="0.3">
      <c r="A14" s="1"/>
      <c r="B14" s="438"/>
      <c r="C14" s="14" t="s">
        <v>419</v>
      </c>
      <c r="D14" s="14" t="s">
        <v>2</v>
      </c>
      <c r="E14" s="14" t="s">
        <v>420</v>
      </c>
      <c r="F14" s="1"/>
      <c r="G14" s="1"/>
      <c r="H14" s="226">
        <v>2500</v>
      </c>
      <c r="I14" s="1058" t="s">
        <v>37</v>
      </c>
      <c r="J14" s="437"/>
      <c r="K14" s="1"/>
    </row>
    <row r="15" spans="1:11" ht="15" customHeight="1" x14ac:dyDescent="0.3">
      <c r="A15" s="1"/>
      <c r="B15" s="438"/>
      <c r="C15" s="14" t="s">
        <v>421</v>
      </c>
      <c r="D15" s="14" t="s">
        <v>2</v>
      </c>
      <c r="E15" s="14" t="s">
        <v>422</v>
      </c>
      <c r="F15" s="1"/>
      <c r="G15" s="1"/>
      <c r="H15" s="225"/>
      <c r="I15" s="1058">
        <v>40000000</v>
      </c>
      <c r="J15" s="437"/>
      <c r="K15" s="100"/>
    </row>
    <row r="16" spans="1:11" ht="15" customHeight="1" x14ac:dyDescent="0.3">
      <c r="A16" s="1"/>
      <c r="B16" s="438"/>
      <c r="C16" s="14" t="s">
        <v>423</v>
      </c>
      <c r="D16" s="14" t="s">
        <v>2</v>
      </c>
      <c r="E16" s="14" t="s">
        <v>424</v>
      </c>
      <c r="F16" s="1"/>
      <c r="G16" s="1"/>
      <c r="H16" s="225"/>
      <c r="I16" s="1058">
        <f>I15*0.1</f>
        <v>4000000</v>
      </c>
      <c r="J16" s="437"/>
      <c r="K16" s="1"/>
    </row>
    <row r="17" spans="1:13" ht="15" customHeight="1" x14ac:dyDescent="0.3">
      <c r="A17" s="1"/>
      <c r="B17" s="438"/>
      <c r="C17" s="14" t="s">
        <v>425</v>
      </c>
      <c r="D17" s="14" t="s">
        <v>2</v>
      </c>
      <c r="E17" s="14" t="s">
        <v>426</v>
      </c>
      <c r="F17" s="1"/>
      <c r="G17" s="1"/>
      <c r="H17" s="225"/>
      <c r="I17" s="1058">
        <f>I15-I16</f>
        <v>36000000</v>
      </c>
      <c r="J17" s="437"/>
      <c r="K17" s="1"/>
    </row>
    <row r="18" spans="1:13" ht="15" customHeight="1" x14ac:dyDescent="0.3">
      <c r="A18" s="1"/>
      <c r="B18" s="438"/>
      <c r="C18" s="14" t="s">
        <v>427</v>
      </c>
      <c r="D18" s="14" t="s">
        <v>2</v>
      </c>
      <c r="E18" s="1"/>
      <c r="F18" s="1"/>
      <c r="G18" s="1"/>
      <c r="H18" s="225"/>
      <c r="I18" s="1056"/>
      <c r="J18" s="437"/>
      <c r="K18" s="1"/>
    </row>
    <row r="19" spans="1:13" ht="15" customHeight="1" x14ac:dyDescent="0.3">
      <c r="A19" s="1"/>
      <c r="B19" s="438"/>
      <c r="C19" s="14" t="s">
        <v>428</v>
      </c>
      <c r="D19" s="14" t="s">
        <v>2</v>
      </c>
      <c r="E19" s="14">
        <f>100/5</f>
        <v>20</v>
      </c>
      <c r="F19" s="14" t="s">
        <v>429</v>
      </c>
      <c r="G19" s="1"/>
      <c r="H19" s="225"/>
      <c r="I19" s="1056"/>
      <c r="J19" s="437"/>
      <c r="K19" s="1"/>
    </row>
    <row r="20" spans="1:13" ht="15" customHeight="1" x14ac:dyDescent="0.3">
      <c r="A20" s="1"/>
      <c r="B20" s="438"/>
      <c r="C20" s="14" t="s">
        <v>430</v>
      </c>
      <c r="D20" s="14" t="s">
        <v>2</v>
      </c>
      <c r="E20" s="14">
        <f>10/5</f>
        <v>2</v>
      </c>
      <c r="F20" s="14" t="s">
        <v>199</v>
      </c>
      <c r="G20" s="1"/>
      <c r="H20" s="225"/>
      <c r="I20" s="1056"/>
      <c r="J20" s="437"/>
      <c r="K20" s="1"/>
    </row>
    <row r="21" spans="1:13" ht="15" customHeight="1" x14ac:dyDescent="0.3">
      <c r="A21" s="1"/>
      <c r="B21" s="438"/>
      <c r="C21" s="14" t="s">
        <v>431</v>
      </c>
      <c r="D21" s="14" t="s">
        <v>2</v>
      </c>
      <c r="E21" s="14">
        <f>20/5</f>
        <v>4</v>
      </c>
      <c r="F21" s="14" t="s">
        <v>199</v>
      </c>
      <c r="G21" s="1"/>
      <c r="H21" s="225"/>
      <c r="I21" s="1056"/>
      <c r="J21" s="437"/>
      <c r="K21" s="1"/>
    </row>
    <row r="22" spans="1:13" ht="15" customHeight="1" x14ac:dyDescent="0.3">
      <c r="A22" s="1"/>
      <c r="B22" s="438"/>
      <c r="C22" s="14" t="s">
        <v>432</v>
      </c>
      <c r="D22" s="14" t="s">
        <v>2</v>
      </c>
      <c r="E22" s="14">
        <f>20/5</f>
        <v>4</v>
      </c>
      <c r="F22" s="14" t="s">
        <v>199</v>
      </c>
      <c r="G22" s="1"/>
      <c r="H22" s="225"/>
      <c r="I22" s="1056"/>
      <c r="J22" s="437"/>
      <c r="K22" s="1"/>
    </row>
    <row r="23" spans="1:13" ht="15" customHeight="1" x14ac:dyDescent="0.3">
      <c r="A23" s="1"/>
      <c r="B23" s="438"/>
      <c r="C23" s="14" t="s">
        <v>433</v>
      </c>
      <c r="D23" s="14" t="s">
        <v>2</v>
      </c>
      <c r="E23" s="14">
        <f>90/5</f>
        <v>18</v>
      </c>
      <c r="F23" s="14" t="s">
        <v>199</v>
      </c>
      <c r="G23" s="1"/>
      <c r="H23" s="225"/>
      <c r="I23" s="1056"/>
      <c r="J23" s="437"/>
      <c r="K23" s="1"/>
    </row>
    <row r="24" spans="1:13" ht="15" customHeight="1" x14ac:dyDescent="0.3">
      <c r="A24" s="1"/>
      <c r="B24" s="438"/>
      <c r="C24" s="1"/>
      <c r="D24" s="1"/>
      <c r="E24" s="1"/>
      <c r="F24" s="1"/>
      <c r="G24" s="1"/>
      <c r="H24" s="225"/>
      <c r="I24" s="1056"/>
      <c r="J24" s="437"/>
      <c r="K24" s="1"/>
    </row>
    <row r="25" spans="1:13" ht="15" customHeight="1" x14ac:dyDescent="0.3">
      <c r="A25" s="1"/>
      <c r="B25" s="438"/>
      <c r="C25" s="14" t="s">
        <v>434</v>
      </c>
      <c r="D25" s="14" t="s">
        <v>2</v>
      </c>
      <c r="E25" s="1"/>
      <c r="F25" s="1"/>
      <c r="G25" s="1"/>
      <c r="H25" s="225"/>
      <c r="I25" s="1056"/>
      <c r="J25" s="437"/>
      <c r="K25" s="1"/>
    </row>
    <row r="26" spans="1:13" ht="15" customHeight="1" x14ac:dyDescent="0.3">
      <c r="A26" s="1"/>
      <c r="B26" s="438"/>
      <c r="C26" s="14" t="s">
        <v>435</v>
      </c>
      <c r="D26" s="1"/>
      <c r="E26" s="1"/>
      <c r="F26" s="1"/>
      <c r="G26" s="1"/>
      <c r="H26" s="225"/>
      <c r="I26" s="1056"/>
      <c r="J26" s="437"/>
      <c r="K26" s="1"/>
    </row>
    <row r="27" spans="1:13" ht="15" customHeight="1" x14ac:dyDescent="0.3">
      <c r="A27" s="1"/>
      <c r="B27" s="438"/>
      <c r="C27" s="1"/>
      <c r="D27" s="1"/>
      <c r="E27" s="1"/>
      <c r="F27" s="1"/>
      <c r="G27" s="1"/>
      <c r="H27" s="225"/>
      <c r="I27" s="1056"/>
      <c r="J27" s="437"/>
      <c r="K27" s="1"/>
    </row>
    <row r="28" spans="1:13" ht="15" customHeight="1" x14ac:dyDescent="0.3">
      <c r="A28" s="1"/>
      <c r="B28" s="438"/>
      <c r="C28" s="14" t="s">
        <v>436</v>
      </c>
      <c r="D28" s="1"/>
      <c r="E28" s="1"/>
      <c r="F28" s="1"/>
      <c r="G28" s="1"/>
      <c r="H28" s="225"/>
      <c r="I28" s="1056"/>
      <c r="J28" s="437"/>
      <c r="K28" s="1"/>
    </row>
    <row r="29" spans="1:13" ht="15" customHeight="1" x14ac:dyDescent="0.3">
      <c r="A29" s="1"/>
      <c r="B29" s="438"/>
      <c r="C29" s="14" t="s">
        <v>437</v>
      </c>
      <c r="D29" s="1"/>
      <c r="E29" s="1"/>
      <c r="F29" s="1"/>
      <c r="G29" s="1"/>
      <c r="H29" s="225"/>
      <c r="I29" s="1056"/>
      <c r="J29" s="439">
        <f>I17/(H13*H14)</f>
        <v>4800</v>
      </c>
      <c r="K29" s="1"/>
    </row>
    <row r="30" spans="1:13" ht="15" customHeight="1" x14ac:dyDescent="0.3">
      <c r="A30" s="1"/>
      <c r="B30" s="438"/>
      <c r="C30" s="14" t="s">
        <v>438</v>
      </c>
      <c r="D30" s="1"/>
      <c r="E30" s="1"/>
      <c r="F30" s="1"/>
      <c r="G30" s="1"/>
      <c r="H30" s="225"/>
      <c r="I30" s="1056"/>
      <c r="J30" s="439">
        <f>(((0.25*(H13+1))/(2*H13)))*(I15/H14)</f>
        <v>2666.6666666666665</v>
      </c>
      <c r="K30" s="1"/>
    </row>
    <row r="31" spans="1:13" ht="15" customHeight="1" x14ac:dyDescent="0.3">
      <c r="A31" s="1"/>
      <c r="B31" s="438"/>
      <c r="C31" s="14" t="s">
        <v>439</v>
      </c>
      <c r="D31" s="393" t="s">
        <v>440</v>
      </c>
      <c r="E31" s="440">
        <v>0.15</v>
      </c>
      <c r="F31" s="393" t="s">
        <v>238</v>
      </c>
      <c r="G31" s="14">
        <f>E19</f>
        <v>20</v>
      </c>
      <c r="H31" s="226" t="s">
        <v>441</v>
      </c>
      <c r="I31" s="1058">
        <v>6800</v>
      </c>
      <c r="J31" s="439">
        <f>E31*G31*I31</f>
        <v>20400</v>
      </c>
      <c r="K31" s="1">
        <v>0.15</v>
      </c>
    </row>
    <row r="32" spans="1:13" ht="15" customHeight="1" x14ac:dyDescent="0.3">
      <c r="A32" s="1"/>
      <c r="B32" s="438"/>
      <c r="C32" s="14" t="s">
        <v>442</v>
      </c>
      <c r="D32" s="393" t="s">
        <v>440</v>
      </c>
      <c r="E32" s="441">
        <f>E20/200</f>
        <v>0.01</v>
      </c>
      <c r="F32" s="393" t="s">
        <v>238</v>
      </c>
      <c r="G32" s="442">
        <f>E19/G31</f>
        <v>1</v>
      </c>
      <c r="H32" s="226" t="s">
        <v>441</v>
      </c>
      <c r="I32" s="1058">
        <f>10000-3000+1500+1000+250</f>
        <v>9750</v>
      </c>
      <c r="J32" s="439">
        <f>E32*G32*I32</f>
        <v>97.5</v>
      </c>
      <c r="K32" s="1">
        <v>10</v>
      </c>
      <c r="L32" s="227" t="s">
        <v>443</v>
      </c>
      <c r="M32" s="513">
        <v>200</v>
      </c>
    </row>
    <row r="33" spans="1:13" ht="15" customHeight="1" x14ac:dyDescent="0.3">
      <c r="A33" s="1"/>
      <c r="B33" s="438"/>
      <c r="C33" s="14" t="s">
        <v>444</v>
      </c>
      <c r="D33" s="393" t="s">
        <v>440</v>
      </c>
      <c r="E33" s="441">
        <f>E21/250</f>
        <v>1.6E-2</v>
      </c>
      <c r="F33" s="393" t="s">
        <v>238</v>
      </c>
      <c r="G33" s="14">
        <v>1.2</v>
      </c>
      <c r="H33" s="226" t="s">
        <v>441</v>
      </c>
      <c r="I33" s="1058">
        <f>I32</f>
        <v>9750</v>
      </c>
      <c r="J33" s="439">
        <f>E33*G33*I33</f>
        <v>187.2</v>
      </c>
      <c r="K33" s="1">
        <v>20</v>
      </c>
      <c r="L33" s="227" t="s">
        <v>443</v>
      </c>
      <c r="M33" s="513">
        <v>250</v>
      </c>
    </row>
    <row r="34" spans="1:13" ht="15" customHeight="1" x14ac:dyDescent="0.3">
      <c r="A34" s="1"/>
      <c r="B34" s="438"/>
      <c r="C34" s="14" t="s">
        <v>445</v>
      </c>
      <c r="D34" s="393" t="s">
        <v>440</v>
      </c>
      <c r="E34" s="441">
        <f>E23/450</f>
        <v>0.04</v>
      </c>
      <c r="F34" s="393" t="s">
        <v>238</v>
      </c>
      <c r="G34" s="14">
        <v>1.2</v>
      </c>
      <c r="H34" s="226" t="s">
        <v>441</v>
      </c>
      <c r="I34" s="1058">
        <f>8000-2500+1300+700+250</f>
        <v>7750</v>
      </c>
      <c r="J34" s="439">
        <f>E34*G34*I34</f>
        <v>372</v>
      </c>
      <c r="K34" s="1">
        <v>90</v>
      </c>
      <c r="L34" s="227" t="s">
        <v>443</v>
      </c>
      <c r="M34" s="513">
        <v>450</v>
      </c>
    </row>
    <row r="35" spans="1:13" ht="15" customHeight="1" x14ac:dyDescent="0.3">
      <c r="A35" s="1"/>
      <c r="B35" s="438"/>
      <c r="C35" s="14" t="s">
        <v>446</v>
      </c>
      <c r="D35" s="393" t="s">
        <v>440</v>
      </c>
      <c r="E35" s="1"/>
      <c r="F35" s="1"/>
      <c r="G35" s="14">
        <v>2</v>
      </c>
      <c r="H35" s="226" t="s">
        <v>156</v>
      </c>
      <c r="I35" s="1058">
        <f>I34</f>
        <v>7750</v>
      </c>
      <c r="J35" s="439">
        <f>G35*I35</f>
        <v>15500</v>
      </c>
      <c r="K35" s="1"/>
    </row>
    <row r="36" spans="1:13" ht="15" customHeight="1" x14ac:dyDescent="0.3">
      <c r="A36" s="1"/>
      <c r="B36" s="438"/>
      <c r="C36" s="14" t="s">
        <v>447</v>
      </c>
      <c r="D36" s="393" t="s">
        <v>440</v>
      </c>
      <c r="E36" s="14" t="s">
        <v>448</v>
      </c>
      <c r="F36" s="1"/>
      <c r="G36" s="1"/>
      <c r="H36" s="225"/>
      <c r="I36" s="1056"/>
      <c r="J36" s="439">
        <f>0.1*((I15/(H13*H14)))</f>
        <v>533.33333333333337</v>
      </c>
      <c r="K36" s="1"/>
    </row>
    <row r="37" spans="1:13" ht="15" customHeight="1" x14ac:dyDescent="0.3">
      <c r="A37" s="1"/>
      <c r="B37" s="438"/>
      <c r="C37" s="1"/>
      <c r="D37" s="1"/>
      <c r="E37" s="1"/>
      <c r="F37" s="1"/>
      <c r="G37" s="1"/>
      <c r="H37" s="225"/>
      <c r="I37" s="1056"/>
      <c r="J37" s="443">
        <f>SUM(J29:J36)</f>
        <v>44556.700000000004</v>
      </c>
      <c r="K37" s="1"/>
    </row>
    <row r="38" spans="1:13" ht="15" customHeight="1" x14ac:dyDescent="0.3">
      <c r="A38" s="1"/>
      <c r="B38" s="438"/>
      <c r="C38" s="14" t="s">
        <v>449</v>
      </c>
      <c r="D38" s="1"/>
      <c r="E38" s="1"/>
      <c r="F38" s="1"/>
      <c r="G38" s="1"/>
      <c r="H38" s="225"/>
      <c r="I38" s="1056"/>
      <c r="J38" s="437"/>
      <c r="K38" s="1"/>
    </row>
    <row r="39" spans="1:13" ht="15" customHeight="1" x14ac:dyDescent="0.3">
      <c r="A39" s="1"/>
      <c r="B39" s="438"/>
      <c r="C39" s="14" t="s">
        <v>450</v>
      </c>
      <c r="D39" s="1"/>
      <c r="E39" s="1"/>
      <c r="F39" s="1"/>
      <c r="G39" s="1"/>
      <c r="H39" s="225"/>
      <c r="I39" s="1056"/>
      <c r="J39" s="439">
        <f>J37*0.1</f>
        <v>4455.670000000001</v>
      </c>
      <c r="K39" s="1"/>
    </row>
    <row r="40" spans="1:13" ht="15" customHeight="1" x14ac:dyDescent="0.3">
      <c r="A40" s="1"/>
      <c r="B40" s="438"/>
      <c r="C40" s="1"/>
      <c r="D40" s="14" t="s">
        <v>451</v>
      </c>
      <c r="E40" s="1"/>
      <c r="F40" s="1"/>
      <c r="G40" s="1"/>
      <c r="H40" s="225"/>
      <c r="I40" s="1056"/>
      <c r="J40" s="443">
        <f>SUM(J37:J39)</f>
        <v>49012.37</v>
      </c>
      <c r="K40" s="1"/>
    </row>
    <row r="41" spans="1:13" ht="15" customHeight="1" x14ac:dyDescent="0.3">
      <c r="A41" s="1"/>
      <c r="B41" s="438"/>
      <c r="C41" s="1"/>
      <c r="D41" s="14" t="s">
        <v>452</v>
      </c>
      <c r="E41" s="1"/>
      <c r="F41" s="1"/>
      <c r="G41" s="1"/>
      <c r="H41" s="225"/>
      <c r="I41" s="1056"/>
      <c r="J41" s="439">
        <f>ROUND(J40-5,-1)</f>
        <v>49010</v>
      </c>
      <c r="K41" s="1"/>
    </row>
    <row r="42" spans="1:13" ht="15" customHeight="1" x14ac:dyDescent="0.3">
      <c r="A42" s="1"/>
      <c r="B42" s="444"/>
      <c r="C42" s="263"/>
      <c r="D42" s="263"/>
      <c r="E42" s="263"/>
      <c r="F42" s="263"/>
      <c r="G42" s="263"/>
      <c r="H42" s="228"/>
      <c r="I42" s="229"/>
      <c r="J42" s="445"/>
      <c r="K42" s="1"/>
    </row>
    <row r="43" spans="1:13" ht="15" hidden="1" customHeight="1" x14ac:dyDescent="0.3">
      <c r="A43" s="1"/>
      <c r="B43" s="438"/>
      <c r="C43" s="1"/>
      <c r="D43" s="1"/>
      <c r="E43" s="1"/>
      <c r="F43" s="1"/>
      <c r="G43" s="1"/>
      <c r="H43" s="225"/>
      <c r="I43" s="1056"/>
      <c r="J43" s="437"/>
      <c r="K43" s="1"/>
    </row>
    <row r="44" spans="1:13" ht="15" hidden="1" customHeight="1" x14ac:dyDescent="0.3">
      <c r="A44" s="1"/>
      <c r="B44" s="436" t="s">
        <v>453</v>
      </c>
      <c r="C44" s="316" t="s">
        <v>454</v>
      </c>
      <c r="D44" s="1"/>
      <c r="E44" s="1"/>
      <c r="F44" s="1"/>
      <c r="G44" s="1"/>
      <c r="H44" s="225"/>
      <c r="I44" s="1056"/>
      <c r="J44" s="437"/>
      <c r="K44" s="1"/>
    </row>
    <row r="45" spans="1:13" ht="15" hidden="1" customHeight="1" x14ac:dyDescent="0.3">
      <c r="A45" s="1"/>
      <c r="B45" s="438"/>
      <c r="C45" s="1"/>
      <c r="D45" s="1"/>
      <c r="E45" s="1"/>
      <c r="F45" s="1"/>
      <c r="G45" s="1"/>
      <c r="H45" s="225"/>
      <c r="I45" s="1056"/>
      <c r="J45" s="437"/>
      <c r="K45" s="1"/>
    </row>
    <row r="46" spans="1:13" ht="15" hidden="1" customHeight="1" x14ac:dyDescent="0.3">
      <c r="A46" s="1"/>
      <c r="B46" s="438"/>
      <c r="C46" s="14" t="s">
        <v>412</v>
      </c>
      <c r="D46" s="14" t="s">
        <v>2</v>
      </c>
      <c r="E46" s="14" t="s">
        <v>455</v>
      </c>
      <c r="F46" s="1"/>
      <c r="G46" s="1"/>
      <c r="H46" s="225"/>
      <c r="I46" s="1056"/>
      <c r="J46" s="437"/>
      <c r="K46" s="1"/>
    </row>
    <row r="47" spans="1:13" ht="15" hidden="1" customHeight="1" x14ac:dyDescent="0.3">
      <c r="A47" s="1"/>
      <c r="B47" s="438"/>
      <c r="C47" s="14" t="s">
        <v>414</v>
      </c>
      <c r="D47" s="14" t="s">
        <v>2</v>
      </c>
      <c r="E47" s="14" t="s">
        <v>415</v>
      </c>
      <c r="F47" s="1"/>
      <c r="G47" s="1"/>
      <c r="H47" s="225"/>
      <c r="I47" s="1056"/>
      <c r="J47" s="437"/>
      <c r="K47" s="1"/>
    </row>
    <row r="48" spans="1:13" ht="15" hidden="1" customHeight="1" x14ac:dyDescent="0.3">
      <c r="A48" s="1"/>
      <c r="B48" s="438"/>
      <c r="C48" s="14" t="s">
        <v>416</v>
      </c>
      <c r="D48" s="14" t="s">
        <v>2</v>
      </c>
      <c r="E48" s="14" t="s">
        <v>417</v>
      </c>
      <c r="F48" s="1"/>
      <c r="G48" s="1"/>
      <c r="H48" s="226">
        <v>3</v>
      </c>
      <c r="I48" s="1058" t="s">
        <v>418</v>
      </c>
      <c r="J48" s="437"/>
      <c r="K48" s="1"/>
    </row>
    <row r="49" spans="1:11" ht="15" hidden="1" customHeight="1" x14ac:dyDescent="0.3">
      <c r="A49" s="1"/>
      <c r="B49" s="438"/>
      <c r="C49" s="14" t="s">
        <v>419</v>
      </c>
      <c r="D49" s="14" t="s">
        <v>2</v>
      </c>
      <c r="E49" s="14" t="s">
        <v>420</v>
      </c>
      <c r="F49" s="1"/>
      <c r="G49" s="1"/>
      <c r="H49" s="226">
        <v>7500</v>
      </c>
      <c r="I49" s="1058" t="s">
        <v>37</v>
      </c>
      <c r="J49" s="437"/>
      <c r="K49" s="1"/>
    </row>
    <row r="50" spans="1:11" ht="15" hidden="1" customHeight="1" x14ac:dyDescent="0.3">
      <c r="A50" s="1"/>
      <c r="B50" s="438"/>
      <c r="C50" s="14" t="s">
        <v>421</v>
      </c>
      <c r="D50" s="14" t="s">
        <v>2</v>
      </c>
      <c r="E50" s="14" t="s">
        <v>422</v>
      </c>
      <c r="F50" s="1"/>
      <c r="G50" s="1"/>
      <c r="H50" s="225"/>
      <c r="I50" s="1058">
        <f>50000000-5000000+1200000+2000000+800000</f>
        <v>49000000</v>
      </c>
      <c r="J50" s="437"/>
      <c r="K50" s="1">
        <v>49000000</v>
      </c>
    </row>
    <row r="51" spans="1:11" ht="15" hidden="1" customHeight="1" x14ac:dyDescent="0.3">
      <c r="A51" s="1"/>
      <c r="B51" s="438"/>
      <c r="C51" s="14" t="s">
        <v>423</v>
      </c>
      <c r="D51" s="14" t="s">
        <v>2</v>
      </c>
      <c r="E51" s="14" t="s">
        <v>424</v>
      </c>
      <c r="F51" s="1"/>
      <c r="G51" s="1"/>
      <c r="H51" s="225"/>
      <c r="I51" s="1058">
        <f>I50*0.1</f>
        <v>4900000</v>
      </c>
      <c r="J51" s="437"/>
      <c r="K51" s="1">
        <v>4900000</v>
      </c>
    </row>
    <row r="52" spans="1:11" ht="15" hidden="1" customHeight="1" x14ac:dyDescent="0.3">
      <c r="A52" s="1"/>
      <c r="B52" s="438"/>
      <c r="C52" s="14" t="s">
        <v>425</v>
      </c>
      <c r="D52" s="14" t="s">
        <v>2</v>
      </c>
      <c r="E52" s="14" t="s">
        <v>426</v>
      </c>
      <c r="F52" s="1"/>
      <c r="G52" s="1"/>
      <c r="H52" s="225"/>
      <c r="I52" s="1058">
        <f>I50-I51</f>
        <v>44100000</v>
      </c>
      <c r="J52" s="437"/>
      <c r="K52" s="1">
        <v>44100000</v>
      </c>
    </row>
    <row r="53" spans="1:11" ht="15" hidden="1" customHeight="1" x14ac:dyDescent="0.3">
      <c r="A53" s="1"/>
      <c r="B53" s="438"/>
      <c r="C53" s="14" t="s">
        <v>427</v>
      </c>
      <c r="D53" s="14" t="s">
        <v>2</v>
      </c>
      <c r="E53" s="1"/>
      <c r="F53" s="1"/>
      <c r="G53" s="1"/>
      <c r="H53" s="225"/>
      <c r="I53" s="1056"/>
      <c r="J53" s="437"/>
      <c r="K53" s="1"/>
    </row>
    <row r="54" spans="1:11" ht="15" hidden="1" customHeight="1" x14ac:dyDescent="0.3">
      <c r="A54" s="1"/>
      <c r="B54" s="438"/>
      <c r="C54" s="14" t="s">
        <v>428</v>
      </c>
      <c r="D54" s="14" t="s">
        <v>2</v>
      </c>
      <c r="E54" s="14">
        <v>100</v>
      </c>
      <c r="F54" s="14" t="s">
        <v>429</v>
      </c>
      <c r="G54" s="1"/>
      <c r="H54" s="225"/>
      <c r="I54" s="1056"/>
      <c r="J54" s="437"/>
      <c r="K54" s="1"/>
    </row>
    <row r="55" spans="1:11" ht="15" hidden="1" customHeight="1" x14ac:dyDescent="0.3">
      <c r="A55" s="1"/>
      <c r="B55" s="438"/>
      <c r="C55" s="14" t="s">
        <v>430</v>
      </c>
      <c r="D55" s="14" t="s">
        <v>2</v>
      </c>
      <c r="E55" s="14">
        <v>10</v>
      </c>
      <c r="F55" s="14" t="s">
        <v>199</v>
      </c>
      <c r="G55" s="1"/>
      <c r="H55" s="225"/>
      <c r="I55" s="1056"/>
      <c r="J55" s="437"/>
      <c r="K55" s="1"/>
    </row>
    <row r="56" spans="1:11" ht="15" hidden="1" customHeight="1" x14ac:dyDescent="0.3">
      <c r="A56" s="1"/>
      <c r="B56" s="438"/>
      <c r="C56" s="1"/>
      <c r="D56" s="1"/>
      <c r="E56" s="1"/>
      <c r="F56" s="1"/>
      <c r="G56" s="1"/>
      <c r="H56" s="225"/>
      <c r="I56" s="1056"/>
      <c r="J56" s="437"/>
      <c r="K56" s="1"/>
    </row>
    <row r="57" spans="1:11" ht="15" hidden="1" customHeight="1" x14ac:dyDescent="0.3">
      <c r="A57" s="1"/>
      <c r="B57" s="438"/>
      <c r="C57" s="14" t="s">
        <v>434</v>
      </c>
      <c r="D57" s="14" t="s">
        <v>2</v>
      </c>
      <c r="E57" s="1"/>
      <c r="F57" s="1"/>
      <c r="G57" s="1"/>
      <c r="H57" s="225"/>
      <c r="I57" s="1056"/>
      <c r="J57" s="437"/>
      <c r="K57" s="1"/>
    </row>
    <row r="58" spans="1:11" ht="15" hidden="1" customHeight="1" x14ac:dyDescent="0.3">
      <c r="A58" s="1"/>
      <c r="B58" s="438"/>
      <c r="C58" s="14" t="s">
        <v>435</v>
      </c>
      <c r="D58" s="1"/>
      <c r="E58" s="1"/>
      <c r="F58" s="1"/>
      <c r="G58" s="1"/>
      <c r="H58" s="225"/>
      <c r="I58" s="1056"/>
      <c r="J58" s="437"/>
      <c r="K58" s="1"/>
    </row>
    <row r="59" spans="1:11" ht="15" hidden="1" customHeight="1" x14ac:dyDescent="0.3">
      <c r="A59" s="1"/>
      <c r="B59" s="438"/>
      <c r="C59" s="1"/>
      <c r="D59" s="1"/>
      <c r="E59" s="1"/>
      <c r="F59" s="1"/>
      <c r="G59" s="1"/>
      <c r="H59" s="225"/>
      <c r="I59" s="1056"/>
      <c r="J59" s="437"/>
      <c r="K59" s="1"/>
    </row>
    <row r="60" spans="1:11" ht="15" hidden="1" customHeight="1" x14ac:dyDescent="0.3">
      <c r="A60" s="1"/>
      <c r="B60" s="438"/>
      <c r="C60" s="14" t="s">
        <v>436</v>
      </c>
      <c r="D60" s="1"/>
      <c r="E60" s="1"/>
      <c r="F60" s="1"/>
      <c r="G60" s="1"/>
      <c r="H60" s="225"/>
      <c r="I60" s="1056"/>
      <c r="J60" s="437"/>
      <c r="K60" s="1"/>
    </row>
    <row r="61" spans="1:11" ht="15" hidden="1" customHeight="1" x14ac:dyDescent="0.3">
      <c r="A61" s="1"/>
      <c r="B61" s="438"/>
      <c r="C61" s="14" t="s">
        <v>456</v>
      </c>
      <c r="D61" s="1"/>
      <c r="E61" s="1"/>
      <c r="F61" s="1"/>
      <c r="G61" s="1"/>
      <c r="H61" s="225"/>
      <c r="I61" s="1056"/>
      <c r="J61" s="439">
        <f>I52/(H48*H49)</f>
        <v>1960</v>
      </c>
      <c r="K61" s="1"/>
    </row>
    <row r="62" spans="1:11" ht="15" hidden="1" customHeight="1" x14ac:dyDescent="0.3">
      <c r="A62" s="1"/>
      <c r="B62" s="438"/>
      <c r="C62" s="14" t="s">
        <v>438</v>
      </c>
      <c r="D62" s="1"/>
      <c r="E62" s="1"/>
      <c r="F62" s="1"/>
      <c r="G62" s="1"/>
      <c r="H62" s="225"/>
      <c r="I62" s="1056"/>
      <c r="J62" s="439">
        <f>(((0.25*(H48+1))/(2*H48)))*(I50/H49)</f>
        <v>1088.8888888888887</v>
      </c>
      <c r="K62" s="1"/>
    </row>
    <row r="63" spans="1:11" ht="15" hidden="1" customHeight="1" x14ac:dyDescent="0.3">
      <c r="A63" s="1"/>
      <c r="B63" s="438"/>
      <c r="C63" s="14" t="s">
        <v>439</v>
      </c>
      <c r="D63" s="393" t="s">
        <v>440</v>
      </c>
      <c r="E63" s="440">
        <v>0.15</v>
      </c>
      <c r="F63" s="393" t="s">
        <v>238</v>
      </c>
      <c r="G63" s="14">
        <f>E54</f>
        <v>100</v>
      </c>
      <c r="H63" s="226" t="s">
        <v>441</v>
      </c>
      <c r="I63" s="1058">
        <f>$I$31</f>
        <v>6800</v>
      </c>
      <c r="J63" s="439">
        <f>E63*G63*I63</f>
        <v>102000</v>
      </c>
      <c r="K63" s="1"/>
    </row>
    <row r="64" spans="1:11" ht="15" hidden="1" customHeight="1" x14ac:dyDescent="0.3">
      <c r="A64" s="1"/>
      <c r="B64" s="438"/>
      <c r="C64" s="14" t="s">
        <v>442</v>
      </c>
      <c r="D64" s="393" t="s">
        <v>440</v>
      </c>
      <c r="E64" s="441">
        <f>E55/200</f>
        <v>0.05</v>
      </c>
      <c r="F64" s="393" t="s">
        <v>238</v>
      </c>
      <c r="G64" s="442">
        <f>G63/E54</f>
        <v>1</v>
      </c>
      <c r="H64" s="226" t="s">
        <v>441</v>
      </c>
      <c r="I64" s="1058">
        <f>$I$32</f>
        <v>9750</v>
      </c>
      <c r="J64" s="439">
        <f>E64*G64*I64</f>
        <v>487.5</v>
      </c>
      <c r="K64" s="1"/>
    </row>
    <row r="65" spans="1:11" ht="15" hidden="1" customHeight="1" x14ac:dyDescent="0.3">
      <c r="A65" s="1"/>
      <c r="B65" s="438"/>
      <c r="C65" s="14" t="s">
        <v>457</v>
      </c>
      <c r="D65" s="393" t="s">
        <v>440</v>
      </c>
      <c r="E65" s="446"/>
      <c r="F65" s="1"/>
      <c r="G65" s="14">
        <v>2</v>
      </c>
      <c r="H65" s="226" t="s">
        <v>156</v>
      </c>
      <c r="I65" s="1058">
        <f>$I$34</f>
        <v>7750</v>
      </c>
      <c r="J65" s="439">
        <f>G65*I65</f>
        <v>15500</v>
      </c>
      <c r="K65" s="1"/>
    </row>
    <row r="66" spans="1:11" ht="15" hidden="1" customHeight="1" x14ac:dyDescent="0.3">
      <c r="A66" s="1"/>
      <c r="B66" s="438"/>
      <c r="C66" s="14" t="s">
        <v>447</v>
      </c>
      <c r="D66" s="393" t="s">
        <v>440</v>
      </c>
      <c r="E66" s="14" t="s">
        <v>448</v>
      </c>
      <c r="F66" s="1"/>
      <c r="G66" s="1"/>
      <c r="H66" s="225"/>
      <c r="I66" s="1056"/>
      <c r="J66" s="439">
        <f>0.1*((I50/(H48*H49)))</f>
        <v>217.7777777777778</v>
      </c>
      <c r="K66" s="1"/>
    </row>
    <row r="67" spans="1:11" ht="15" hidden="1" customHeight="1" x14ac:dyDescent="0.3">
      <c r="A67" s="1"/>
      <c r="B67" s="438"/>
      <c r="C67" s="1"/>
      <c r="D67" s="1"/>
      <c r="E67" s="1"/>
      <c r="F67" s="1"/>
      <c r="G67" s="1"/>
      <c r="H67" s="225"/>
      <c r="I67" s="1056"/>
      <c r="J67" s="443">
        <f>SUM(J61:J66)</f>
        <v>121254.16666666667</v>
      </c>
      <c r="K67" s="1"/>
    </row>
    <row r="68" spans="1:11" ht="15" hidden="1" customHeight="1" x14ac:dyDescent="0.3">
      <c r="A68" s="1"/>
      <c r="B68" s="438"/>
      <c r="C68" s="14" t="s">
        <v>449</v>
      </c>
      <c r="D68" s="1"/>
      <c r="E68" s="1"/>
      <c r="F68" s="1"/>
      <c r="G68" s="1"/>
      <c r="H68" s="225"/>
      <c r="I68" s="1056"/>
      <c r="J68" s="437"/>
      <c r="K68" s="1"/>
    </row>
    <row r="69" spans="1:11" ht="15" hidden="1" customHeight="1" x14ac:dyDescent="0.3">
      <c r="A69" s="1"/>
      <c r="B69" s="438"/>
      <c r="C69" s="14" t="s">
        <v>450</v>
      </c>
      <c r="D69" s="1"/>
      <c r="E69" s="1"/>
      <c r="F69" s="1"/>
      <c r="G69" s="1"/>
      <c r="H69" s="225"/>
      <c r="I69" s="1056"/>
      <c r="J69" s="439">
        <f>J67*0.1</f>
        <v>12125.416666666668</v>
      </c>
      <c r="K69" s="1"/>
    </row>
    <row r="70" spans="1:11" ht="15" hidden="1" customHeight="1" x14ac:dyDescent="0.3">
      <c r="A70" s="1"/>
      <c r="B70" s="438"/>
      <c r="C70" s="1"/>
      <c r="D70" s="14" t="s">
        <v>458</v>
      </c>
      <c r="E70" s="1"/>
      <c r="F70" s="1"/>
      <c r="G70" s="1"/>
      <c r="H70" s="225"/>
      <c r="I70" s="1056"/>
      <c r="J70" s="443">
        <f>SUM(J67:J69)</f>
        <v>133379.58333333334</v>
      </c>
      <c r="K70" s="1"/>
    </row>
    <row r="71" spans="1:11" ht="15" hidden="1" customHeight="1" x14ac:dyDescent="0.3">
      <c r="A71" s="1"/>
      <c r="B71" s="438"/>
      <c r="C71" s="1"/>
      <c r="D71" s="14" t="s">
        <v>459</v>
      </c>
      <c r="E71" s="1"/>
      <c r="F71" s="1"/>
      <c r="G71" s="1"/>
      <c r="H71" s="225"/>
      <c r="I71" s="1056"/>
      <c r="J71" s="439">
        <f>ROUND(J70-5,-1)</f>
        <v>133370</v>
      </c>
      <c r="K71" s="1"/>
    </row>
    <row r="72" spans="1:11" ht="15" hidden="1" customHeight="1" x14ac:dyDescent="0.3">
      <c r="A72" s="1"/>
      <c r="B72" s="438"/>
      <c r="C72" s="1"/>
      <c r="D72" s="14"/>
      <c r="E72" s="1"/>
      <c r="F72" s="1"/>
      <c r="G72" s="1"/>
      <c r="H72" s="225"/>
      <c r="I72" s="1056"/>
      <c r="J72" s="439"/>
      <c r="K72" s="1"/>
    </row>
    <row r="73" spans="1:11" ht="15" hidden="1" customHeight="1" x14ac:dyDescent="0.3">
      <c r="A73" s="1"/>
      <c r="B73" s="436" t="s">
        <v>460</v>
      </c>
      <c r="C73" s="316" t="s">
        <v>461</v>
      </c>
      <c r="D73" s="1"/>
      <c r="E73" s="1"/>
      <c r="F73" s="1"/>
      <c r="G73" s="1"/>
      <c r="H73" s="225"/>
      <c r="I73" s="1056"/>
      <c r="J73" s="437"/>
      <c r="K73" s="1"/>
    </row>
    <row r="74" spans="1:11" ht="15" hidden="1" customHeight="1" x14ac:dyDescent="0.3">
      <c r="A74" s="1"/>
      <c r="B74" s="438"/>
      <c r="C74" s="1"/>
      <c r="D74" s="1"/>
      <c r="E74" s="1"/>
      <c r="F74" s="1"/>
      <c r="G74" s="1"/>
      <c r="H74" s="225"/>
      <c r="I74" s="1056"/>
      <c r="J74" s="437"/>
      <c r="K74" s="1"/>
    </row>
    <row r="75" spans="1:11" ht="15" hidden="1" customHeight="1" x14ac:dyDescent="0.3">
      <c r="A75" s="1"/>
      <c r="B75" s="438"/>
      <c r="C75" s="14" t="s">
        <v>412</v>
      </c>
      <c r="D75" s="14" t="s">
        <v>2</v>
      </c>
      <c r="E75" s="14" t="s">
        <v>462</v>
      </c>
      <c r="F75" s="1"/>
      <c r="G75" s="1"/>
      <c r="H75" s="225"/>
      <c r="I75" s="1056"/>
      <c r="J75" s="437"/>
      <c r="K75" s="1"/>
    </row>
    <row r="76" spans="1:11" ht="15" hidden="1" customHeight="1" x14ac:dyDescent="0.3">
      <c r="A76" s="1"/>
      <c r="B76" s="438"/>
      <c r="C76" s="14" t="s">
        <v>414</v>
      </c>
      <c r="D76" s="14" t="s">
        <v>2</v>
      </c>
      <c r="E76" s="14" t="s">
        <v>463</v>
      </c>
      <c r="F76" s="1"/>
      <c r="G76" s="1"/>
      <c r="H76" s="225"/>
      <c r="I76" s="1056"/>
      <c r="J76" s="437"/>
      <c r="K76" s="1"/>
    </row>
    <row r="77" spans="1:11" ht="15" hidden="1" customHeight="1" x14ac:dyDescent="0.3">
      <c r="A77" s="1"/>
      <c r="B77" s="438"/>
      <c r="C77" s="14" t="s">
        <v>416</v>
      </c>
      <c r="D77" s="14" t="s">
        <v>2</v>
      </c>
      <c r="E77" s="14" t="s">
        <v>417</v>
      </c>
      <c r="F77" s="1"/>
      <c r="G77" s="1"/>
      <c r="H77" s="226">
        <v>2</v>
      </c>
      <c r="I77" s="1058" t="s">
        <v>418</v>
      </c>
      <c r="J77" s="437"/>
      <c r="K77" s="1"/>
    </row>
    <row r="78" spans="1:11" ht="15" hidden="1" customHeight="1" x14ac:dyDescent="0.3">
      <c r="A78" s="1"/>
      <c r="B78" s="438"/>
      <c r="C78" s="14" t="s">
        <v>419</v>
      </c>
      <c r="D78" s="14" t="s">
        <v>2</v>
      </c>
      <c r="E78" s="14" t="s">
        <v>420</v>
      </c>
      <c r="F78" s="1"/>
      <c r="G78" s="1"/>
      <c r="H78" s="226">
        <v>600</v>
      </c>
      <c r="I78" s="1058" t="s">
        <v>37</v>
      </c>
      <c r="J78" s="437"/>
      <c r="K78" s="1"/>
    </row>
    <row r="79" spans="1:11" ht="15" hidden="1" customHeight="1" x14ac:dyDescent="0.3">
      <c r="A79" s="1"/>
      <c r="B79" s="438"/>
      <c r="C79" s="14" t="s">
        <v>421</v>
      </c>
      <c r="D79" s="14" t="s">
        <v>2</v>
      </c>
      <c r="E79" s="14" t="s">
        <v>422</v>
      </c>
      <c r="F79" s="1"/>
      <c r="G79" s="1"/>
      <c r="H79" s="225"/>
      <c r="I79" s="1058">
        <f>500000000-55000000+20000000+15000000+10000000-90000000-9000000-5000000</f>
        <v>386000000</v>
      </c>
      <c r="J79" s="437"/>
      <c r="K79" s="1"/>
    </row>
    <row r="80" spans="1:11" ht="15" hidden="1" customHeight="1" x14ac:dyDescent="0.3">
      <c r="A80" s="1"/>
      <c r="B80" s="438"/>
      <c r="C80" s="14" t="s">
        <v>423</v>
      </c>
      <c r="D80" s="14" t="s">
        <v>2</v>
      </c>
      <c r="E80" s="14" t="s">
        <v>424</v>
      </c>
      <c r="F80" s="1"/>
      <c r="G80" s="1"/>
      <c r="H80" s="225"/>
      <c r="I80" s="1058">
        <f>I79*0.1</f>
        <v>38600000</v>
      </c>
      <c r="J80" s="437"/>
      <c r="K80" s="1"/>
    </row>
    <row r="81" spans="1:11" ht="15" hidden="1" customHeight="1" x14ac:dyDescent="0.3">
      <c r="A81" s="1"/>
      <c r="B81" s="438"/>
      <c r="C81" s="14" t="s">
        <v>425</v>
      </c>
      <c r="D81" s="14" t="s">
        <v>2</v>
      </c>
      <c r="E81" s="14" t="s">
        <v>426</v>
      </c>
      <c r="F81" s="1"/>
      <c r="G81" s="1"/>
      <c r="H81" s="225"/>
      <c r="I81" s="1058">
        <f>I79-I80</f>
        <v>347400000</v>
      </c>
      <c r="J81" s="437"/>
      <c r="K81" s="1"/>
    </row>
    <row r="82" spans="1:11" ht="15" hidden="1" customHeight="1" x14ac:dyDescent="0.3">
      <c r="A82" s="1"/>
      <c r="B82" s="438"/>
      <c r="C82" s="14" t="s">
        <v>427</v>
      </c>
      <c r="D82" s="14" t="s">
        <v>2</v>
      </c>
      <c r="E82" s="1"/>
      <c r="F82" s="1"/>
      <c r="G82" s="1"/>
      <c r="H82" s="225"/>
      <c r="I82" s="1056"/>
      <c r="J82" s="437"/>
      <c r="K82" s="1"/>
    </row>
    <row r="83" spans="1:11" ht="15" hidden="1" customHeight="1" x14ac:dyDescent="0.3">
      <c r="A83" s="1"/>
      <c r="B83" s="438"/>
      <c r="C83" s="14" t="s">
        <v>428</v>
      </c>
      <c r="D83" s="14" t="s">
        <v>2</v>
      </c>
      <c r="E83" s="14">
        <v>300</v>
      </c>
      <c r="F83" s="14" t="s">
        <v>429</v>
      </c>
      <c r="G83" s="1"/>
      <c r="H83" s="225"/>
      <c r="I83" s="1056"/>
      <c r="J83" s="437"/>
      <c r="K83" s="1"/>
    </row>
    <row r="84" spans="1:11" ht="15" hidden="1" customHeight="1" x14ac:dyDescent="0.3">
      <c r="A84" s="1"/>
      <c r="B84" s="438"/>
      <c r="C84" s="14" t="s">
        <v>430</v>
      </c>
      <c r="D84" s="14" t="s">
        <v>2</v>
      </c>
      <c r="E84" s="14">
        <v>15.5</v>
      </c>
      <c r="F84" s="14" t="s">
        <v>199</v>
      </c>
      <c r="G84" s="1"/>
      <c r="H84" s="225"/>
      <c r="I84" s="1056"/>
      <c r="J84" s="437"/>
      <c r="K84" s="1"/>
    </row>
    <row r="85" spans="1:11" ht="15" hidden="1" customHeight="1" x14ac:dyDescent="0.3">
      <c r="A85" s="1"/>
      <c r="B85" s="438"/>
      <c r="C85" s="14" t="s">
        <v>431</v>
      </c>
      <c r="D85" s="14" t="s">
        <v>2</v>
      </c>
      <c r="E85" s="14">
        <v>20</v>
      </c>
      <c r="F85" s="14" t="s">
        <v>199</v>
      </c>
      <c r="G85" s="1"/>
      <c r="H85" s="225"/>
      <c r="I85" s="1056"/>
      <c r="J85" s="437"/>
      <c r="K85" s="1"/>
    </row>
    <row r="86" spans="1:11" ht="15" hidden="1" customHeight="1" x14ac:dyDescent="0.3">
      <c r="A86" s="1"/>
      <c r="B86" s="438"/>
      <c r="C86" s="1"/>
      <c r="D86" s="1"/>
      <c r="E86" s="1"/>
      <c r="F86" s="1"/>
      <c r="G86" s="1"/>
      <c r="H86" s="225"/>
      <c r="I86" s="1056"/>
      <c r="J86" s="437"/>
      <c r="K86" s="1"/>
    </row>
    <row r="87" spans="1:11" ht="15" hidden="1" customHeight="1" x14ac:dyDescent="0.3">
      <c r="A87" s="1"/>
      <c r="B87" s="438"/>
      <c r="C87" s="14" t="s">
        <v>434</v>
      </c>
      <c r="D87" s="14" t="s">
        <v>2</v>
      </c>
      <c r="E87" s="1"/>
      <c r="F87" s="1"/>
      <c r="G87" s="1"/>
      <c r="H87" s="225"/>
      <c r="I87" s="1056"/>
      <c r="J87" s="437"/>
      <c r="K87" s="1"/>
    </row>
    <row r="88" spans="1:11" ht="15" hidden="1" customHeight="1" x14ac:dyDescent="0.3">
      <c r="A88" s="1"/>
      <c r="B88" s="438"/>
      <c r="C88" s="14" t="s">
        <v>435</v>
      </c>
      <c r="D88" s="1"/>
      <c r="E88" s="1"/>
      <c r="F88" s="1"/>
      <c r="G88" s="1"/>
      <c r="H88" s="225"/>
      <c r="I88" s="1056"/>
      <c r="J88" s="437"/>
      <c r="K88" s="1"/>
    </row>
    <row r="89" spans="1:11" ht="15" hidden="1" customHeight="1" x14ac:dyDescent="0.3">
      <c r="A89" s="1"/>
      <c r="B89" s="444"/>
      <c r="C89" s="263"/>
      <c r="D89" s="263"/>
      <c r="E89" s="263"/>
      <c r="F89" s="263"/>
      <c r="G89" s="263"/>
      <c r="H89" s="228"/>
      <c r="I89" s="229"/>
      <c r="J89" s="445"/>
      <c r="K89" s="1"/>
    </row>
    <row r="90" spans="1:11" ht="15" hidden="1" customHeight="1" x14ac:dyDescent="0.3">
      <c r="A90" s="1"/>
      <c r="B90" s="438"/>
      <c r="C90" s="14" t="s">
        <v>436</v>
      </c>
      <c r="D90" s="1"/>
      <c r="E90" s="1"/>
      <c r="F90" s="1"/>
      <c r="G90" s="1"/>
      <c r="H90" s="225"/>
      <c r="I90" s="1056"/>
      <c r="J90" s="437"/>
      <c r="K90" s="1"/>
    </row>
    <row r="91" spans="1:11" ht="15" hidden="1" customHeight="1" x14ac:dyDescent="0.3">
      <c r="A91" s="1"/>
      <c r="B91" s="438"/>
      <c r="C91" s="14" t="s">
        <v>456</v>
      </c>
      <c r="D91" s="1"/>
      <c r="E91" s="1"/>
      <c r="F91" s="1"/>
      <c r="G91" s="1"/>
      <c r="H91" s="225"/>
      <c r="I91" s="1056"/>
      <c r="J91" s="439">
        <f>I81/(H77*H78)</f>
        <v>289500</v>
      </c>
      <c r="K91" s="1"/>
    </row>
    <row r="92" spans="1:11" ht="15" hidden="1" customHeight="1" x14ac:dyDescent="0.3">
      <c r="A92" s="1"/>
      <c r="B92" s="438"/>
      <c r="C92" s="14" t="s">
        <v>438</v>
      </c>
      <c r="D92" s="1"/>
      <c r="E92" s="1"/>
      <c r="F92" s="1"/>
      <c r="G92" s="1"/>
      <c r="H92" s="225"/>
      <c r="I92" s="1056"/>
      <c r="J92" s="439">
        <f>(((0.25*(H77+1))/(2*H77)))*(I79/H78)</f>
        <v>120625</v>
      </c>
      <c r="K92" s="1"/>
    </row>
    <row r="93" spans="1:11" ht="15" hidden="1" customHeight="1" x14ac:dyDescent="0.3">
      <c r="A93" s="1"/>
      <c r="B93" s="438"/>
      <c r="C93" s="14" t="s">
        <v>439</v>
      </c>
      <c r="D93" s="393" t="s">
        <v>440</v>
      </c>
      <c r="E93" s="14">
        <v>0.15</v>
      </c>
      <c r="F93" s="393" t="s">
        <v>238</v>
      </c>
      <c r="G93" s="14">
        <f>E83</f>
        <v>300</v>
      </c>
      <c r="H93" s="226" t="s">
        <v>441</v>
      </c>
      <c r="I93" s="1058">
        <f>I63</f>
        <v>6800</v>
      </c>
      <c r="J93" s="439">
        <f>E93*G93*I93</f>
        <v>306000</v>
      </c>
      <c r="K93" s="1"/>
    </row>
    <row r="94" spans="1:11" ht="15" hidden="1" customHeight="1" x14ac:dyDescent="0.3">
      <c r="A94" s="1"/>
      <c r="B94" s="438"/>
      <c r="C94" s="14" t="s">
        <v>442</v>
      </c>
      <c r="D94" s="393" t="s">
        <v>440</v>
      </c>
      <c r="E94" s="441">
        <f>E84/200</f>
        <v>7.7499999999999999E-2</v>
      </c>
      <c r="F94" s="393" t="s">
        <v>238</v>
      </c>
      <c r="G94" s="442">
        <f>E83/G93</f>
        <v>1</v>
      </c>
      <c r="H94" s="226" t="s">
        <v>441</v>
      </c>
      <c r="I94" s="1058">
        <f>I64</f>
        <v>9750</v>
      </c>
      <c r="J94" s="439">
        <f>E94*G94*I94</f>
        <v>755.625</v>
      </c>
      <c r="K94" s="1"/>
    </row>
    <row r="95" spans="1:11" ht="15" hidden="1" customHeight="1" x14ac:dyDescent="0.3">
      <c r="A95" s="1"/>
      <c r="B95" s="438"/>
      <c r="C95" s="14" t="s">
        <v>444</v>
      </c>
      <c r="D95" s="393" t="s">
        <v>440</v>
      </c>
      <c r="E95" s="441">
        <f>E85/250</f>
        <v>0.08</v>
      </c>
      <c r="F95" s="393" t="s">
        <v>238</v>
      </c>
      <c r="G95" s="14">
        <v>1.2</v>
      </c>
      <c r="H95" s="226" t="s">
        <v>441</v>
      </c>
      <c r="I95" s="1058">
        <f>I94</f>
        <v>9750</v>
      </c>
      <c r="J95" s="439">
        <f>E95*G95*I95</f>
        <v>936</v>
      </c>
      <c r="K95" s="1"/>
    </row>
    <row r="96" spans="1:11" ht="15" hidden="1" customHeight="1" x14ac:dyDescent="0.3">
      <c r="A96" s="1"/>
      <c r="B96" s="438"/>
      <c r="C96" s="14" t="s">
        <v>464</v>
      </c>
      <c r="D96" s="393" t="s">
        <v>440</v>
      </c>
      <c r="E96" s="446"/>
      <c r="F96" s="1"/>
      <c r="G96" s="14">
        <v>2</v>
      </c>
      <c r="H96" s="226" t="s">
        <v>156</v>
      </c>
      <c r="I96" s="1058">
        <f>I65</f>
        <v>7750</v>
      </c>
      <c r="J96" s="439">
        <f>G96*I96</f>
        <v>15500</v>
      </c>
      <c r="K96" s="1"/>
    </row>
    <row r="97" spans="1:11" ht="15" hidden="1" customHeight="1" x14ac:dyDescent="0.3">
      <c r="A97" s="1"/>
      <c r="B97" s="438"/>
      <c r="C97" s="14" t="s">
        <v>447</v>
      </c>
      <c r="D97" s="393" t="s">
        <v>440</v>
      </c>
      <c r="E97" s="14" t="s">
        <v>448</v>
      </c>
      <c r="F97" s="1"/>
      <c r="G97" s="1"/>
      <c r="H97" s="225"/>
      <c r="I97" s="1056"/>
      <c r="J97" s="439">
        <f>0.1*((I79/(H77*H78)))</f>
        <v>32166.666666666672</v>
      </c>
      <c r="K97" s="1"/>
    </row>
    <row r="98" spans="1:11" ht="15" hidden="1" customHeight="1" x14ac:dyDescent="0.3">
      <c r="A98" s="1"/>
      <c r="B98" s="438"/>
      <c r="C98" s="1"/>
      <c r="D98" s="1"/>
      <c r="E98" s="1"/>
      <c r="F98" s="1"/>
      <c r="G98" s="1"/>
      <c r="H98" s="225"/>
      <c r="I98" s="1056"/>
      <c r="J98" s="443">
        <f>SUM(J91:J97)</f>
        <v>765483.29166666663</v>
      </c>
      <c r="K98" s="1"/>
    </row>
    <row r="99" spans="1:11" ht="15" hidden="1" customHeight="1" x14ac:dyDescent="0.3">
      <c r="A99" s="1"/>
      <c r="B99" s="438"/>
      <c r="C99" s="14" t="s">
        <v>449</v>
      </c>
      <c r="D99" s="1"/>
      <c r="E99" s="1"/>
      <c r="F99" s="1"/>
      <c r="G99" s="1"/>
      <c r="H99" s="225"/>
      <c r="I99" s="1056"/>
      <c r="J99" s="437"/>
      <c r="K99" s="1"/>
    </row>
    <row r="100" spans="1:11" ht="15" hidden="1" customHeight="1" x14ac:dyDescent="0.3">
      <c r="A100" s="1"/>
      <c r="B100" s="438"/>
      <c r="C100" s="14" t="s">
        <v>450</v>
      </c>
      <c r="D100" s="1"/>
      <c r="E100" s="1"/>
      <c r="F100" s="1"/>
      <c r="G100" s="1"/>
      <c r="H100" s="225"/>
      <c r="I100" s="1056"/>
      <c r="J100" s="439">
        <f>J98*0.1</f>
        <v>76548.329166666663</v>
      </c>
      <c r="K100" s="1"/>
    </row>
    <row r="101" spans="1:11" ht="15" hidden="1" customHeight="1" x14ac:dyDescent="0.3">
      <c r="A101" s="1"/>
      <c r="B101" s="438"/>
      <c r="C101" s="1"/>
      <c r="D101" s="14" t="s">
        <v>465</v>
      </c>
      <c r="E101" s="1"/>
      <c r="F101" s="1"/>
      <c r="G101" s="1"/>
      <c r="H101" s="225"/>
      <c r="I101" s="1056"/>
      <c r="J101" s="443">
        <f>SUM(J98:J100)</f>
        <v>842031.62083333335</v>
      </c>
      <c r="K101" s="1"/>
    </row>
    <row r="102" spans="1:11" ht="15" hidden="1" customHeight="1" x14ac:dyDescent="0.3">
      <c r="A102" s="1"/>
      <c r="B102" s="438"/>
      <c r="C102" s="1"/>
      <c r="D102" s="14" t="s">
        <v>459</v>
      </c>
      <c r="E102" s="1"/>
      <c r="F102" s="1"/>
      <c r="G102" s="1"/>
      <c r="H102" s="225"/>
      <c r="I102" s="1056"/>
      <c r="J102" s="439">
        <f>ROUND(J101-5,-1)</f>
        <v>842030</v>
      </c>
      <c r="K102" s="1"/>
    </row>
    <row r="103" spans="1:11" ht="15" hidden="1" customHeight="1" x14ac:dyDescent="0.3">
      <c r="A103" s="1"/>
      <c r="B103" s="438"/>
      <c r="C103" s="1"/>
      <c r="D103" s="1"/>
      <c r="E103" s="1"/>
      <c r="F103" s="1"/>
      <c r="G103" s="1"/>
      <c r="H103" s="225"/>
      <c r="I103" s="1056"/>
      <c r="J103" s="437"/>
      <c r="K103" s="1"/>
    </row>
    <row r="104" spans="1:11" ht="15" hidden="1" customHeight="1" x14ac:dyDescent="0.3">
      <c r="A104" s="1"/>
      <c r="B104" s="438"/>
      <c r="C104" s="1"/>
      <c r="D104" s="1"/>
      <c r="E104" s="1"/>
      <c r="F104" s="1"/>
      <c r="G104" s="1"/>
      <c r="H104" s="225"/>
      <c r="I104" s="1056"/>
      <c r="J104" s="437"/>
      <c r="K104" s="1"/>
    </row>
    <row r="105" spans="1:11" ht="15" hidden="1" customHeight="1" thickBot="1" x14ac:dyDescent="0.35">
      <c r="A105" s="1"/>
      <c r="B105" s="447"/>
      <c r="C105" s="4"/>
      <c r="D105" s="448"/>
      <c r="E105" s="4"/>
      <c r="F105" s="4"/>
      <c r="G105" s="4"/>
      <c r="H105" s="230"/>
      <c r="I105" s="231"/>
      <c r="J105" s="449"/>
      <c r="K105" s="1"/>
    </row>
    <row r="106" spans="1:11" ht="15" customHeight="1" x14ac:dyDescent="0.3"/>
    <row r="107" spans="1:11" ht="15" customHeight="1" x14ac:dyDescent="0.3"/>
    <row r="108" spans="1:11" ht="15" customHeight="1" x14ac:dyDescent="0.3"/>
    <row r="109" spans="1:11" ht="15" customHeight="1" x14ac:dyDescent="0.3"/>
    <row r="110" spans="1:11" ht="15" customHeight="1" x14ac:dyDescent="0.3"/>
    <row r="111" spans="1:11" ht="15" customHeight="1" x14ac:dyDescent="0.3"/>
    <row r="112" spans="1:11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</sheetData>
  <mergeCells count="4">
    <mergeCell ref="B3:B5"/>
    <mergeCell ref="C3:H5"/>
    <mergeCell ref="I3:I4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RAB</vt:lpstr>
      <vt:lpstr>HARSAT</vt:lpstr>
      <vt:lpstr>ANALISA</vt:lpstr>
      <vt:lpstr>UPAH BAHAN</vt:lpstr>
      <vt:lpstr>JADWAL</vt:lpstr>
      <vt:lpstr>ANALISA SR</vt:lpstr>
      <vt:lpstr>SMKK</vt:lpstr>
      <vt:lpstr>Sheet1</vt:lpstr>
      <vt:lpstr>BOR 8"</vt:lpstr>
      <vt:lpstr>BOR 6"</vt:lpstr>
      <vt:lpstr>BOR 4"</vt:lpstr>
      <vt:lpstr>BOR 3"</vt:lpstr>
      <vt:lpstr>ANALISA!Print_Area</vt:lpstr>
      <vt:lpstr>JADWAL!Print_Area</vt:lpstr>
      <vt:lpstr>RAB!Print_Area</vt:lpstr>
      <vt:lpstr>'UPAH BAHAN'!Print_Area</vt:lpstr>
      <vt:lpstr>RAB!Print_Titles</vt:lpstr>
      <vt:lpstr>'UPAH BAHAN'!Print_Titles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2024-11-15T05:59:38Z</cp:lastPrinted>
  <dcterms:created xsi:type="dcterms:W3CDTF">2022-02-14T04:01:42Z</dcterms:created>
  <dcterms:modified xsi:type="dcterms:W3CDTF">2026-03-09T03:32:51Z</dcterms:modified>
</cp:coreProperties>
</file>